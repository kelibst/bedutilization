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4BF10E2B-58AB-4EBF-B1AA-A6D1AA9DB825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Control" sheetId="1" r:id="rId1"/>
    <sheet name="DailyData" sheetId="2" state="hidden" r:id="rId2"/>
    <sheet name="Admissions" sheetId="3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L12" i="20" s="1"/>
  <c r="G12" i="20"/>
  <c r="F12" i="20"/>
  <c r="E12" i="20"/>
  <c r="D12" i="20"/>
  <c r="C12" i="20"/>
  <c r="B12" i="20"/>
  <c r="J11" i="20"/>
  <c r="I11" i="20"/>
  <c r="H11" i="20"/>
  <c r="O11" i="20" s="1"/>
  <c r="G11" i="20"/>
  <c r="F11" i="20"/>
  <c r="E11" i="20"/>
  <c r="N11" i="20" s="1"/>
  <c r="D11" i="20"/>
  <c r="P11" i="20" s="1"/>
  <c r="C11" i="20"/>
  <c r="B11" i="20"/>
  <c r="K10" i="20"/>
  <c r="J10" i="20"/>
  <c r="I10" i="20"/>
  <c r="H10" i="20"/>
  <c r="G10" i="20"/>
  <c r="F10" i="20"/>
  <c r="E10" i="20"/>
  <c r="N10" i="20" s="1"/>
  <c r="D10" i="20"/>
  <c r="P10" i="20" s="1"/>
  <c r="C10" i="20"/>
  <c r="M10" i="20" s="1"/>
  <c r="B10" i="20"/>
  <c r="J9" i="20"/>
  <c r="I9" i="20"/>
  <c r="H9" i="20"/>
  <c r="L9" i="20" s="1"/>
  <c r="G9" i="20"/>
  <c r="F9" i="20"/>
  <c r="E9" i="20"/>
  <c r="D9" i="20"/>
  <c r="C9" i="20"/>
  <c r="B9" i="20"/>
  <c r="J8" i="20"/>
  <c r="I8" i="20"/>
  <c r="H8" i="20"/>
  <c r="K8" i="20" s="1"/>
  <c r="G8" i="20"/>
  <c r="F8" i="20"/>
  <c r="E8" i="20"/>
  <c r="D8" i="20"/>
  <c r="C8" i="20"/>
  <c r="B8" i="20"/>
  <c r="J7" i="20"/>
  <c r="I7" i="20"/>
  <c r="H7" i="20"/>
  <c r="O7" i="20" s="1"/>
  <c r="G7" i="20"/>
  <c r="F7" i="20"/>
  <c r="E7" i="20"/>
  <c r="N7" i="20" s="1"/>
  <c r="D7" i="20"/>
  <c r="P7" i="20" s="1"/>
  <c r="C7" i="20"/>
  <c r="B7" i="20"/>
  <c r="K6" i="20"/>
  <c r="J6" i="20"/>
  <c r="I6" i="20"/>
  <c r="H6" i="20"/>
  <c r="G6" i="20"/>
  <c r="F6" i="20"/>
  <c r="E6" i="20"/>
  <c r="N6" i="20" s="1"/>
  <c r="D6" i="20"/>
  <c r="C6" i="20"/>
  <c r="B6" i="20"/>
  <c r="J5" i="20"/>
  <c r="I5" i="20"/>
  <c r="H5" i="20"/>
  <c r="G5" i="20"/>
  <c r="F5" i="20"/>
  <c r="E5" i="20"/>
  <c r="D5" i="20"/>
  <c r="C5" i="20"/>
  <c r="B5" i="20"/>
  <c r="J4" i="20"/>
  <c r="I4" i="20"/>
  <c r="H4" i="20"/>
  <c r="L4" i="20" s="1"/>
  <c r="G4" i="20"/>
  <c r="F4" i="20"/>
  <c r="E4" i="20"/>
  <c r="D4" i="20"/>
  <c r="C4" i="20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K188" i="16"/>
  <c r="J188" i="16"/>
  <c r="I188" i="16"/>
  <c r="H188" i="16"/>
  <c r="O188" i="16" s="1"/>
  <c r="G188" i="16"/>
  <c r="F188" i="16"/>
  <c r="E188" i="16"/>
  <c r="D188" i="16"/>
  <c r="C188" i="16"/>
  <c r="B188" i="16"/>
  <c r="J187" i="16"/>
  <c r="I187" i="16"/>
  <c r="H187" i="16"/>
  <c r="H191" i="16" s="1"/>
  <c r="G187" i="16"/>
  <c r="F187" i="16"/>
  <c r="E187" i="16"/>
  <c r="L187" i="16" s="1"/>
  <c r="D187" i="16"/>
  <c r="D191" i="16" s="1"/>
  <c r="C187" i="16"/>
  <c r="B187" i="16"/>
  <c r="J186" i="16"/>
  <c r="I186" i="16"/>
  <c r="H186" i="16"/>
  <c r="O186" i="16" s="1"/>
  <c r="G186" i="16"/>
  <c r="F186" i="16"/>
  <c r="E186" i="16"/>
  <c r="N186" i="16" s="1"/>
  <c r="D186" i="16"/>
  <c r="C186" i="16"/>
  <c r="B186" i="16"/>
  <c r="L185" i="16"/>
  <c r="J185" i="16"/>
  <c r="I185" i="16"/>
  <c r="H185" i="16"/>
  <c r="G185" i="16"/>
  <c r="F185" i="16"/>
  <c r="E185" i="16"/>
  <c r="D185" i="16"/>
  <c r="P185" i="16" s="1"/>
  <c r="C185" i="16"/>
  <c r="B185" i="16"/>
  <c r="K184" i="16"/>
  <c r="J184" i="16"/>
  <c r="I184" i="16"/>
  <c r="H184" i="16"/>
  <c r="O184" i="16" s="1"/>
  <c r="G184" i="16"/>
  <c r="F184" i="16"/>
  <c r="E184" i="16"/>
  <c r="D184" i="16"/>
  <c r="C184" i="16"/>
  <c r="B184" i="16"/>
  <c r="J183" i="16"/>
  <c r="I183" i="16"/>
  <c r="H183" i="16"/>
  <c r="G183" i="16"/>
  <c r="F183" i="16"/>
  <c r="E183" i="16"/>
  <c r="L183" i="16" s="1"/>
  <c r="D183" i="16"/>
  <c r="C183" i="16"/>
  <c r="B183" i="16"/>
  <c r="J182" i="16"/>
  <c r="I182" i="16"/>
  <c r="H182" i="16"/>
  <c r="O182" i="16" s="1"/>
  <c r="G182" i="16"/>
  <c r="F182" i="16"/>
  <c r="E182" i="16"/>
  <c r="N182" i="16" s="1"/>
  <c r="D182" i="16"/>
  <c r="C182" i="16"/>
  <c r="B182" i="16"/>
  <c r="L181" i="16"/>
  <c r="J181" i="16"/>
  <c r="I181" i="16"/>
  <c r="H181" i="16"/>
  <c r="G181" i="16"/>
  <c r="F181" i="16"/>
  <c r="E181" i="16"/>
  <c r="D181" i="16"/>
  <c r="P181" i="16" s="1"/>
  <c r="C181" i="16"/>
  <c r="B181" i="16"/>
  <c r="K180" i="16"/>
  <c r="J180" i="16"/>
  <c r="J190" i="16" s="1"/>
  <c r="I180" i="16"/>
  <c r="H180" i="16"/>
  <c r="G180" i="16"/>
  <c r="G190" i="16" s="1"/>
  <c r="F180" i="16"/>
  <c r="F190" i="16" s="1"/>
  <c r="E180" i="16"/>
  <c r="D180" i="16"/>
  <c r="C180" i="16"/>
  <c r="B180" i="16"/>
  <c r="B190" i="16" s="1"/>
  <c r="B173" i="16"/>
  <c r="K172" i="16"/>
  <c r="J172" i="16"/>
  <c r="I172" i="16"/>
  <c r="H172" i="16"/>
  <c r="O172" i="16" s="1"/>
  <c r="G172" i="16"/>
  <c r="F172" i="16"/>
  <c r="E172" i="16"/>
  <c r="D172" i="16"/>
  <c r="C172" i="16"/>
  <c r="B172" i="16"/>
  <c r="J171" i="16"/>
  <c r="I171" i="16"/>
  <c r="H171" i="16"/>
  <c r="H175" i="16" s="1"/>
  <c r="G171" i="16"/>
  <c r="F171" i="16"/>
  <c r="E171" i="16"/>
  <c r="L171" i="16" s="1"/>
  <c r="D171" i="16"/>
  <c r="D175" i="16" s="1"/>
  <c r="C171" i="16"/>
  <c r="B171" i="16"/>
  <c r="J170" i="16"/>
  <c r="I170" i="16"/>
  <c r="H170" i="16"/>
  <c r="O170" i="16" s="1"/>
  <c r="G170" i="16"/>
  <c r="F170" i="16"/>
  <c r="E170" i="16"/>
  <c r="N170" i="16" s="1"/>
  <c r="D170" i="16"/>
  <c r="C170" i="16"/>
  <c r="B170" i="16"/>
  <c r="L169" i="16"/>
  <c r="J169" i="16"/>
  <c r="I169" i="16"/>
  <c r="H169" i="16"/>
  <c r="G169" i="16"/>
  <c r="F169" i="16"/>
  <c r="E169" i="16"/>
  <c r="D169" i="16"/>
  <c r="P169" i="16" s="1"/>
  <c r="C169" i="16"/>
  <c r="M169" i="16" s="1"/>
  <c r="B169" i="16"/>
  <c r="K168" i="16"/>
  <c r="J168" i="16"/>
  <c r="I168" i="16"/>
  <c r="H168" i="16"/>
  <c r="O168" i="16" s="1"/>
  <c r="G168" i="16"/>
  <c r="F168" i="16"/>
  <c r="E168" i="16"/>
  <c r="D168" i="16"/>
  <c r="C168" i="16"/>
  <c r="B168" i="16"/>
  <c r="J167" i="16"/>
  <c r="I167" i="16"/>
  <c r="H167" i="16"/>
  <c r="G167" i="16"/>
  <c r="F167" i="16"/>
  <c r="E167" i="16"/>
  <c r="L167" i="16" s="1"/>
  <c r="D167" i="16"/>
  <c r="C167" i="16"/>
  <c r="B167" i="16"/>
  <c r="J166" i="16"/>
  <c r="I166" i="16"/>
  <c r="H166" i="16"/>
  <c r="O166" i="16" s="1"/>
  <c r="G166" i="16"/>
  <c r="F166" i="16"/>
  <c r="E166" i="16"/>
  <c r="N166" i="16" s="1"/>
  <c r="D166" i="16"/>
  <c r="C166" i="16"/>
  <c r="B166" i="16"/>
  <c r="L165" i="16"/>
  <c r="J165" i="16"/>
  <c r="I165" i="16"/>
  <c r="H165" i="16"/>
  <c r="G165" i="16"/>
  <c r="F165" i="16"/>
  <c r="E165" i="16"/>
  <c r="D165" i="16"/>
  <c r="P165" i="16" s="1"/>
  <c r="C165" i="16"/>
  <c r="M165" i="16" s="1"/>
  <c r="B165" i="16"/>
  <c r="K164" i="16"/>
  <c r="J164" i="16"/>
  <c r="J174" i="16" s="1"/>
  <c r="I164" i="16"/>
  <c r="H164" i="16"/>
  <c r="G164" i="16"/>
  <c r="G174" i="16" s="1"/>
  <c r="F164" i="16"/>
  <c r="E164" i="16"/>
  <c r="D164" i="16"/>
  <c r="C164" i="16"/>
  <c r="B164" i="16"/>
  <c r="B174" i="16" s="1"/>
  <c r="D159" i="16"/>
  <c r="B157" i="16"/>
  <c r="K156" i="16"/>
  <c r="J156" i="16"/>
  <c r="I156" i="16"/>
  <c r="H156" i="16"/>
  <c r="O156" i="16" s="1"/>
  <c r="G156" i="16"/>
  <c r="F156" i="16"/>
  <c r="E156" i="16"/>
  <c r="D156" i="16"/>
  <c r="C156" i="16"/>
  <c r="B156" i="16"/>
  <c r="J155" i="16"/>
  <c r="I155" i="16"/>
  <c r="I159" i="16" s="1"/>
  <c r="H155" i="16"/>
  <c r="H159" i="16" s="1"/>
  <c r="G155" i="16"/>
  <c r="F155" i="16"/>
  <c r="E155" i="16"/>
  <c r="E159" i="16" s="1"/>
  <c r="D155" i="16"/>
  <c r="C155" i="16"/>
  <c r="B155" i="16"/>
  <c r="J154" i="16"/>
  <c r="I154" i="16"/>
  <c r="H154" i="16"/>
  <c r="K154" i="16" s="1"/>
  <c r="G154" i="16"/>
  <c r="F154" i="16"/>
  <c r="E154" i="16"/>
  <c r="D154" i="16"/>
  <c r="C154" i="16"/>
  <c r="M154" i="16" s="1"/>
  <c r="B154" i="16"/>
  <c r="K153" i="16"/>
  <c r="J153" i="16"/>
  <c r="I153" i="16"/>
  <c r="H153" i="16"/>
  <c r="G153" i="16"/>
  <c r="F153" i="16"/>
  <c r="E153" i="16"/>
  <c r="D153" i="16"/>
  <c r="C153" i="16"/>
  <c r="O153" i="16" s="1"/>
  <c r="B153" i="16"/>
  <c r="J152" i="16"/>
  <c r="I152" i="16"/>
  <c r="H152" i="16"/>
  <c r="L152" i="16" s="1"/>
  <c r="G152" i="16"/>
  <c r="F152" i="16"/>
  <c r="E152" i="16"/>
  <c r="D152" i="16"/>
  <c r="P152" i="16" s="1"/>
  <c r="C152" i="16"/>
  <c r="B152" i="16"/>
  <c r="K151" i="16"/>
  <c r="J151" i="16"/>
  <c r="I151" i="16"/>
  <c r="H151" i="16"/>
  <c r="L151" i="16" s="1"/>
  <c r="G151" i="16"/>
  <c r="F151" i="16"/>
  <c r="E151" i="16"/>
  <c r="D151" i="16"/>
  <c r="P151" i="16" s="1"/>
  <c r="C151" i="16"/>
  <c r="M151" i="16" s="1"/>
  <c r="B151" i="16"/>
  <c r="J150" i="16"/>
  <c r="I150" i="16"/>
  <c r="H150" i="16"/>
  <c r="O150" i="16" s="1"/>
  <c r="G150" i="16"/>
  <c r="F150" i="16"/>
  <c r="E150" i="16"/>
  <c r="D150" i="16"/>
  <c r="C150" i="16"/>
  <c r="B150" i="16"/>
  <c r="K149" i="16"/>
  <c r="J149" i="16"/>
  <c r="I149" i="16"/>
  <c r="H149" i="16"/>
  <c r="G149" i="16"/>
  <c r="F149" i="16"/>
  <c r="E149" i="16"/>
  <c r="D149" i="16"/>
  <c r="C149" i="16"/>
  <c r="B149" i="16"/>
  <c r="J148" i="16"/>
  <c r="I148" i="16"/>
  <c r="H148" i="16"/>
  <c r="L148" i="16" s="1"/>
  <c r="G148" i="16"/>
  <c r="G158" i="16" s="1"/>
  <c r="F148" i="16"/>
  <c r="E148" i="16"/>
  <c r="D148" i="16"/>
  <c r="C148" i="16"/>
  <c r="B148" i="16"/>
  <c r="B141" i="16"/>
  <c r="J140" i="16"/>
  <c r="I140" i="16"/>
  <c r="H140" i="16"/>
  <c r="G140" i="16"/>
  <c r="F140" i="16"/>
  <c r="E140" i="16"/>
  <c r="N140" i="16" s="1"/>
  <c r="D140" i="16"/>
  <c r="C140" i="16"/>
  <c r="B140" i="16"/>
  <c r="K139" i="16"/>
  <c r="J139" i="16"/>
  <c r="J143" i="16" s="1"/>
  <c r="I139" i="16"/>
  <c r="H139" i="16"/>
  <c r="G139" i="16"/>
  <c r="G143" i="16" s="1"/>
  <c r="F139" i="16"/>
  <c r="F143" i="16" s="1"/>
  <c r="E139" i="16"/>
  <c r="D139" i="16"/>
  <c r="C139" i="16"/>
  <c r="O139" i="16" s="1"/>
  <c r="B139" i="16"/>
  <c r="B143" i="16" s="1"/>
  <c r="J138" i="16"/>
  <c r="I138" i="16"/>
  <c r="H138" i="16"/>
  <c r="L138" i="16" s="1"/>
  <c r="G138" i="16"/>
  <c r="F138" i="16"/>
  <c r="E138" i="16"/>
  <c r="D138" i="16"/>
  <c r="P138" i="16" s="1"/>
  <c r="C138" i="16"/>
  <c r="B138" i="16"/>
  <c r="K137" i="16"/>
  <c r="J137" i="16"/>
  <c r="I137" i="16"/>
  <c r="H137" i="16"/>
  <c r="G137" i="16"/>
  <c r="F137" i="16"/>
  <c r="E137" i="16"/>
  <c r="D137" i="16"/>
  <c r="C137" i="16"/>
  <c r="M137" i="16" s="1"/>
  <c r="B137" i="16"/>
  <c r="J136" i="16"/>
  <c r="I136" i="16"/>
  <c r="H136" i="16"/>
  <c r="O136" i="16" s="1"/>
  <c r="G136" i="16"/>
  <c r="F136" i="16"/>
  <c r="E136" i="16"/>
  <c r="D136" i="16"/>
  <c r="C136" i="16"/>
  <c r="B136" i="16"/>
  <c r="K135" i="16"/>
  <c r="J135" i="16"/>
  <c r="I135" i="16"/>
  <c r="H135" i="16"/>
  <c r="G135" i="16"/>
  <c r="F135" i="16"/>
  <c r="E135" i="16"/>
  <c r="D135" i="16"/>
  <c r="C135" i="16"/>
  <c r="O135" i="16" s="1"/>
  <c r="B135" i="16"/>
  <c r="J134" i="16"/>
  <c r="I134" i="16"/>
  <c r="H134" i="16"/>
  <c r="G134" i="16"/>
  <c r="F134" i="16"/>
  <c r="E134" i="16"/>
  <c r="D134" i="16"/>
  <c r="C134" i="16"/>
  <c r="B134" i="16"/>
  <c r="J133" i="16"/>
  <c r="I133" i="16"/>
  <c r="H133" i="16"/>
  <c r="K133" i="16" s="1"/>
  <c r="G133" i="16"/>
  <c r="F133" i="16"/>
  <c r="E133" i="16"/>
  <c r="D133" i="16"/>
  <c r="P133" i="16" s="1"/>
  <c r="C133" i="16"/>
  <c r="B133" i="16"/>
  <c r="J132" i="16"/>
  <c r="I132" i="16"/>
  <c r="H132" i="16"/>
  <c r="G132" i="16"/>
  <c r="F132" i="16"/>
  <c r="E132" i="16"/>
  <c r="D132" i="16"/>
  <c r="C132" i="16"/>
  <c r="N132" i="16" s="1"/>
  <c r="B132" i="16"/>
  <c r="B142" i="16" s="1"/>
  <c r="B125" i="16"/>
  <c r="J124" i="16"/>
  <c r="I124" i="16"/>
  <c r="H124" i="16"/>
  <c r="G124" i="16"/>
  <c r="F124" i="16"/>
  <c r="E124" i="16"/>
  <c r="D124" i="16"/>
  <c r="C124" i="16"/>
  <c r="B124" i="16"/>
  <c r="J123" i="16"/>
  <c r="I123" i="16"/>
  <c r="I127" i="16" s="1"/>
  <c r="H123" i="16"/>
  <c r="K123" i="16" s="1"/>
  <c r="G123" i="16"/>
  <c r="F123" i="16"/>
  <c r="F127" i="16" s="1"/>
  <c r="E123" i="16"/>
  <c r="E127" i="16" s="1"/>
  <c r="D123" i="16"/>
  <c r="P123" i="16" s="1"/>
  <c r="C123" i="16"/>
  <c r="B123" i="16"/>
  <c r="B127" i="16" s="1"/>
  <c r="J122" i="16"/>
  <c r="I122" i="16"/>
  <c r="H122" i="16"/>
  <c r="G122" i="16"/>
  <c r="F122" i="16"/>
  <c r="N122" i="16" s="1"/>
  <c r="E122" i="16"/>
  <c r="D122" i="16"/>
  <c r="C122" i="16"/>
  <c r="B122" i="16"/>
  <c r="J121" i="16"/>
  <c r="I121" i="16"/>
  <c r="H121" i="16"/>
  <c r="K121" i="16" s="1"/>
  <c r="G121" i="16"/>
  <c r="F121" i="16"/>
  <c r="E121" i="16"/>
  <c r="N121" i="16" s="1"/>
  <c r="D121" i="16"/>
  <c r="C121" i="16"/>
  <c r="B121" i="16"/>
  <c r="L120" i="16"/>
  <c r="J120" i="16"/>
  <c r="I120" i="16"/>
  <c r="H120" i="16"/>
  <c r="G120" i="16"/>
  <c r="F120" i="16"/>
  <c r="E120" i="16"/>
  <c r="D120" i="16"/>
  <c r="C120" i="16"/>
  <c r="B120" i="16"/>
  <c r="J119" i="16"/>
  <c r="I119" i="16"/>
  <c r="H119" i="16"/>
  <c r="K119" i="16" s="1"/>
  <c r="G119" i="16"/>
  <c r="F119" i="16"/>
  <c r="E119" i="16"/>
  <c r="N119" i="16" s="1"/>
  <c r="D119" i="16"/>
  <c r="P119" i="16" s="1"/>
  <c r="C119" i="16"/>
  <c r="B119" i="16"/>
  <c r="J118" i="16"/>
  <c r="I118" i="16"/>
  <c r="H118" i="16"/>
  <c r="G118" i="16"/>
  <c r="F118" i="16"/>
  <c r="N118" i="16" s="1"/>
  <c r="E118" i="16"/>
  <c r="D118" i="16"/>
  <c r="C118" i="16"/>
  <c r="B118" i="16"/>
  <c r="K117" i="16"/>
  <c r="J117" i="16"/>
  <c r="I117" i="16"/>
  <c r="H117" i="16"/>
  <c r="G117" i="16"/>
  <c r="F117" i="16"/>
  <c r="E117" i="16"/>
  <c r="N117" i="16" s="1"/>
  <c r="D117" i="16"/>
  <c r="C117" i="16"/>
  <c r="O117" i="16" s="1"/>
  <c r="B117" i="16"/>
  <c r="J116" i="16"/>
  <c r="I116" i="16"/>
  <c r="H116" i="16"/>
  <c r="L116" i="16" s="1"/>
  <c r="G116" i="16"/>
  <c r="F116" i="16"/>
  <c r="E116" i="16"/>
  <c r="D116" i="16"/>
  <c r="D126" i="16" s="1"/>
  <c r="C116" i="16"/>
  <c r="B116" i="16"/>
  <c r="B109" i="16"/>
  <c r="J108" i="16"/>
  <c r="I108" i="16"/>
  <c r="H108" i="16"/>
  <c r="O108" i="16" s="1"/>
  <c r="G108" i="16"/>
  <c r="F108" i="16"/>
  <c r="E108" i="16"/>
  <c r="D108" i="16"/>
  <c r="C108" i="16"/>
  <c r="B108" i="16"/>
  <c r="J107" i="16"/>
  <c r="I107" i="16"/>
  <c r="H107" i="16"/>
  <c r="H111" i="16" s="1"/>
  <c r="G107" i="16"/>
  <c r="G111" i="16" s="1"/>
  <c r="F107" i="16"/>
  <c r="E107" i="16"/>
  <c r="D107" i="16"/>
  <c r="D111" i="16" s="1"/>
  <c r="C107" i="16"/>
  <c r="B107" i="16"/>
  <c r="J106" i="16"/>
  <c r="I106" i="16"/>
  <c r="H106" i="16"/>
  <c r="G106" i="16"/>
  <c r="F106" i="16"/>
  <c r="N106" i="16" s="1"/>
  <c r="E106" i="16"/>
  <c r="L106" i="16" s="1"/>
  <c r="D106" i="16"/>
  <c r="C106" i="16"/>
  <c r="B106" i="16"/>
  <c r="J105" i="16"/>
  <c r="I105" i="16"/>
  <c r="H105" i="16"/>
  <c r="L105" i="16" s="1"/>
  <c r="G105" i="16"/>
  <c r="F105" i="16"/>
  <c r="E105" i="16"/>
  <c r="D105" i="16"/>
  <c r="C105" i="16"/>
  <c r="B105" i="16"/>
  <c r="J104" i="16"/>
  <c r="I104" i="16"/>
  <c r="H104" i="16"/>
  <c r="G104" i="16"/>
  <c r="F104" i="16"/>
  <c r="E104" i="16"/>
  <c r="N104" i="16" s="1"/>
  <c r="D104" i="16"/>
  <c r="C104" i="16"/>
  <c r="B104" i="16"/>
  <c r="J103" i="16"/>
  <c r="I103" i="16"/>
  <c r="H103" i="16"/>
  <c r="K103" i="16" s="1"/>
  <c r="G103" i="16"/>
  <c r="F103" i="16"/>
  <c r="E103" i="16"/>
  <c r="N103" i="16" s="1"/>
  <c r="D103" i="16"/>
  <c r="C103" i="16"/>
  <c r="B103" i="16"/>
  <c r="L102" i="16"/>
  <c r="J102" i="16"/>
  <c r="I102" i="16"/>
  <c r="H102" i="16"/>
  <c r="G102" i="16"/>
  <c r="F102" i="16"/>
  <c r="E102" i="16"/>
  <c r="D102" i="16"/>
  <c r="C102" i="16"/>
  <c r="M102" i="16" s="1"/>
  <c r="B102" i="16"/>
  <c r="J101" i="16"/>
  <c r="I101" i="16"/>
  <c r="H101" i="16"/>
  <c r="K101" i="16" s="1"/>
  <c r="G101" i="16"/>
  <c r="F101" i="16"/>
  <c r="E101" i="16"/>
  <c r="N101" i="16" s="1"/>
  <c r="D101" i="16"/>
  <c r="C101" i="16"/>
  <c r="B101" i="16"/>
  <c r="J100" i="16"/>
  <c r="J110" i="16" s="1"/>
  <c r="I100" i="16"/>
  <c r="H100" i="16"/>
  <c r="G100" i="16"/>
  <c r="G110" i="16" s="1"/>
  <c r="F100" i="16"/>
  <c r="E100" i="16"/>
  <c r="D100" i="16"/>
  <c r="D110" i="16" s="1"/>
  <c r="C100" i="16"/>
  <c r="C110" i="16" s="1"/>
  <c r="B100" i="16"/>
  <c r="B110" i="16" s="1"/>
  <c r="B93" i="16"/>
  <c r="J92" i="16"/>
  <c r="I92" i="16"/>
  <c r="H92" i="16"/>
  <c r="L92" i="16" s="1"/>
  <c r="G92" i="16"/>
  <c r="F92" i="16"/>
  <c r="E92" i="16"/>
  <c r="D92" i="16"/>
  <c r="C92" i="16"/>
  <c r="B92" i="16"/>
  <c r="K91" i="16"/>
  <c r="J91" i="16"/>
  <c r="J95" i="16" s="1"/>
  <c r="I91" i="16"/>
  <c r="I95" i="16" s="1"/>
  <c r="H91" i="16"/>
  <c r="G91" i="16"/>
  <c r="G95" i="16" s="1"/>
  <c r="F91" i="16"/>
  <c r="F95" i="16" s="1"/>
  <c r="E91" i="16"/>
  <c r="D91" i="16"/>
  <c r="C91" i="16"/>
  <c r="C95" i="16" s="1"/>
  <c r="B91" i="16"/>
  <c r="B95" i="16" s="1"/>
  <c r="J90" i="16"/>
  <c r="I90" i="16"/>
  <c r="H90" i="16"/>
  <c r="L90" i="16" s="1"/>
  <c r="G90" i="16"/>
  <c r="F90" i="16"/>
  <c r="E90" i="16"/>
  <c r="N90" i="16" s="1"/>
  <c r="D90" i="16"/>
  <c r="C90" i="16"/>
  <c r="B90" i="16"/>
  <c r="M89" i="16"/>
  <c r="J89" i="16"/>
  <c r="I89" i="16"/>
  <c r="H89" i="16"/>
  <c r="G89" i="16"/>
  <c r="F89" i="16"/>
  <c r="E89" i="16"/>
  <c r="N89" i="16" s="1"/>
  <c r="D89" i="16"/>
  <c r="C89" i="16"/>
  <c r="B89" i="16"/>
  <c r="J88" i="16"/>
  <c r="I88" i="16"/>
  <c r="H88" i="16"/>
  <c r="G88" i="16"/>
  <c r="F88" i="16"/>
  <c r="E88" i="16"/>
  <c r="D88" i="16"/>
  <c r="C88" i="16"/>
  <c r="B88" i="16"/>
  <c r="K87" i="16"/>
  <c r="J87" i="16"/>
  <c r="I87" i="16"/>
  <c r="H87" i="16"/>
  <c r="G87" i="16"/>
  <c r="F87" i="16"/>
  <c r="E87" i="16"/>
  <c r="D87" i="16"/>
  <c r="C87" i="16"/>
  <c r="M87" i="16" s="1"/>
  <c r="B87" i="16"/>
  <c r="J86" i="16"/>
  <c r="I86" i="16"/>
  <c r="H86" i="16"/>
  <c r="G86" i="16"/>
  <c r="F86" i="16"/>
  <c r="E86" i="16"/>
  <c r="D86" i="16"/>
  <c r="C86" i="16"/>
  <c r="B86" i="16"/>
  <c r="J85" i="16"/>
  <c r="I85" i="16"/>
  <c r="H85" i="16"/>
  <c r="G85" i="16"/>
  <c r="F85" i="16"/>
  <c r="E85" i="16"/>
  <c r="N85" i="16" s="1"/>
  <c r="D85" i="16"/>
  <c r="C85" i="16"/>
  <c r="B85" i="16"/>
  <c r="J84" i="16"/>
  <c r="J94" i="16" s="1"/>
  <c r="I84" i="16"/>
  <c r="H84" i="16"/>
  <c r="G84" i="16"/>
  <c r="G94" i="16" s="1"/>
  <c r="F84" i="16"/>
  <c r="F94" i="16" s="1"/>
  <c r="E84" i="16"/>
  <c r="D84" i="16"/>
  <c r="D94" i="16" s="1"/>
  <c r="C84" i="16"/>
  <c r="N84" i="16" s="1"/>
  <c r="B84" i="16"/>
  <c r="B94" i="16" s="1"/>
  <c r="B77" i="16"/>
  <c r="J76" i="16"/>
  <c r="I76" i="16"/>
  <c r="H76" i="16"/>
  <c r="G76" i="16"/>
  <c r="F76" i="16"/>
  <c r="E76" i="16"/>
  <c r="D76" i="16"/>
  <c r="C76" i="16"/>
  <c r="B76" i="16"/>
  <c r="K75" i="16"/>
  <c r="J75" i="16"/>
  <c r="J79" i="16" s="1"/>
  <c r="I75" i="16"/>
  <c r="I79" i="16" s="1"/>
  <c r="H75" i="16"/>
  <c r="H79" i="16" s="1"/>
  <c r="G75" i="16"/>
  <c r="G79" i="16" s="1"/>
  <c r="F75" i="16"/>
  <c r="F79" i="16" s="1"/>
  <c r="E75" i="16"/>
  <c r="E79" i="16" s="1"/>
  <c r="D75" i="16"/>
  <c r="D79" i="16" s="1"/>
  <c r="C75" i="16"/>
  <c r="C79" i="16" s="1"/>
  <c r="B75" i="16"/>
  <c r="B79" i="16" s="1"/>
  <c r="J74" i="16"/>
  <c r="I74" i="16"/>
  <c r="H74" i="16"/>
  <c r="L74" i="16" s="1"/>
  <c r="G74" i="16"/>
  <c r="F74" i="16"/>
  <c r="E74" i="16"/>
  <c r="N74" i="16" s="1"/>
  <c r="D74" i="16"/>
  <c r="C74" i="16"/>
  <c r="B74" i="16"/>
  <c r="J73" i="16"/>
  <c r="I73" i="16"/>
  <c r="H73" i="16"/>
  <c r="K73" i="16" s="1"/>
  <c r="G73" i="16"/>
  <c r="F73" i="16"/>
  <c r="E73" i="16"/>
  <c r="D73" i="16"/>
  <c r="C73" i="16"/>
  <c r="B73" i="16"/>
  <c r="J72" i="16"/>
  <c r="I72" i="16"/>
  <c r="H72" i="16"/>
  <c r="G72" i="16"/>
  <c r="F72" i="16"/>
  <c r="E72" i="16"/>
  <c r="D72" i="16"/>
  <c r="P72" i="16" s="1"/>
  <c r="C72" i="16"/>
  <c r="B72" i="16"/>
  <c r="K71" i="16"/>
  <c r="J71" i="16"/>
  <c r="I71" i="16"/>
  <c r="H71" i="16"/>
  <c r="G71" i="16"/>
  <c r="F71" i="16"/>
  <c r="E71" i="16"/>
  <c r="N71" i="16" s="1"/>
  <c r="D71" i="16"/>
  <c r="C71" i="16"/>
  <c r="O71" i="16" s="1"/>
  <c r="B71" i="16"/>
  <c r="J70" i="16"/>
  <c r="I70" i="16"/>
  <c r="H70" i="16"/>
  <c r="G70" i="16"/>
  <c r="F70" i="16"/>
  <c r="N70" i="16" s="1"/>
  <c r="E70" i="16"/>
  <c r="D70" i="16"/>
  <c r="C70" i="16"/>
  <c r="B70" i="16"/>
  <c r="J69" i="16"/>
  <c r="I69" i="16"/>
  <c r="H69" i="16"/>
  <c r="L69" i="16" s="1"/>
  <c r="G69" i="16"/>
  <c r="F69" i="16"/>
  <c r="E69" i="16"/>
  <c r="D69" i="16"/>
  <c r="C69" i="16"/>
  <c r="B69" i="16"/>
  <c r="J68" i="16"/>
  <c r="J78" i="16" s="1"/>
  <c r="I68" i="16"/>
  <c r="H68" i="16"/>
  <c r="G68" i="16"/>
  <c r="F68" i="16"/>
  <c r="F78" i="16" s="1"/>
  <c r="E68" i="16"/>
  <c r="D68" i="16"/>
  <c r="C68" i="16"/>
  <c r="B68" i="16"/>
  <c r="B78" i="16" s="1"/>
  <c r="B61" i="16"/>
  <c r="J60" i="16"/>
  <c r="I60" i="16"/>
  <c r="H60" i="16"/>
  <c r="G60" i="16"/>
  <c r="F60" i="16"/>
  <c r="E60" i="16"/>
  <c r="D60" i="16"/>
  <c r="C60" i="16"/>
  <c r="B60" i="16"/>
  <c r="K59" i="16"/>
  <c r="J59" i="16"/>
  <c r="I59" i="16"/>
  <c r="I63" i="16" s="1"/>
  <c r="H59" i="16"/>
  <c r="H63" i="16" s="1"/>
  <c r="G59" i="16"/>
  <c r="G63" i="16" s="1"/>
  <c r="F59" i="16"/>
  <c r="E59" i="16"/>
  <c r="D59" i="16"/>
  <c r="D63" i="16" s="1"/>
  <c r="C59" i="16"/>
  <c r="O59" i="16" s="1"/>
  <c r="B59" i="16"/>
  <c r="J58" i="16"/>
  <c r="I58" i="16"/>
  <c r="H58" i="16"/>
  <c r="G58" i="16"/>
  <c r="F58" i="16"/>
  <c r="E58" i="16"/>
  <c r="D58" i="16"/>
  <c r="C58" i="16"/>
  <c r="B58" i="16"/>
  <c r="J57" i="16"/>
  <c r="I57" i="16"/>
  <c r="H57" i="16"/>
  <c r="K57" i="16" s="1"/>
  <c r="G57" i="16"/>
  <c r="F57" i="16"/>
  <c r="E57" i="16"/>
  <c r="D57" i="16"/>
  <c r="C57" i="16"/>
  <c r="B57" i="16"/>
  <c r="J56" i="16"/>
  <c r="I56" i="16"/>
  <c r="H56" i="16"/>
  <c r="G56" i="16"/>
  <c r="F56" i="16"/>
  <c r="E56" i="16"/>
  <c r="D56" i="16"/>
  <c r="C56" i="16"/>
  <c r="B56" i="16"/>
  <c r="K55" i="16"/>
  <c r="J55" i="16"/>
  <c r="I55" i="16"/>
  <c r="H55" i="16"/>
  <c r="G55" i="16"/>
  <c r="F55" i="16"/>
  <c r="E55" i="16"/>
  <c r="N55" i="16" s="1"/>
  <c r="D55" i="16"/>
  <c r="C55" i="16"/>
  <c r="O55" i="16" s="1"/>
  <c r="B55" i="16"/>
  <c r="J54" i="16"/>
  <c r="I54" i="16"/>
  <c r="H54" i="16"/>
  <c r="G54" i="16"/>
  <c r="F54" i="16"/>
  <c r="N54" i="16" s="1"/>
  <c r="E54" i="16"/>
  <c r="D54" i="16"/>
  <c r="C54" i="16"/>
  <c r="B54" i="16"/>
  <c r="J53" i="16"/>
  <c r="I53" i="16"/>
  <c r="H53" i="16"/>
  <c r="L53" i="16" s="1"/>
  <c r="G53" i="16"/>
  <c r="F53" i="16"/>
  <c r="E53" i="16"/>
  <c r="D53" i="16"/>
  <c r="C53" i="16"/>
  <c r="B53" i="16"/>
  <c r="J52" i="16"/>
  <c r="J62" i="16" s="1"/>
  <c r="I52" i="16"/>
  <c r="I62" i="16" s="1"/>
  <c r="H52" i="16"/>
  <c r="G52" i="16"/>
  <c r="G62" i="16" s="1"/>
  <c r="F52" i="16"/>
  <c r="F62" i="16" s="1"/>
  <c r="E52" i="16"/>
  <c r="E62" i="16" s="1"/>
  <c r="D52" i="16"/>
  <c r="C52" i="16"/>
  <c r="C62" i="16" s="1"/>
  <c r="B52" i="16"/>
  <c r="B62" i="16" s="1"/>
  <c r="B45" i="16"/>
  <c r="J44" i="16"/>
  <c r="I44" i="16"/>
  <c r="H44" i="16"/>
  <c r="G44" i="16"/>
  <c r="F44" i="16"/>
  <c r="E44" i="16"/>
  <c r="D44" i="16"/>
  <c r="C44" i="16"/>
  <c r="M44" i="16" s="1"/>
  <c r="B44" i="16"/>
  <c r="J43" i="16"/>
  <c r="I43" i="16"/>
  <c r="I47" i="16" s="1"/>
  <c r="H43" i="16"/>
  <c r="K43" i="16" s="1"/>
  <c r="G43" i="16"/>
  <c r="G47" i="16" s="1"/>
  <c r="F43" i="16"/>
  <c r="E43" i="16"/>
  <c r="N43" i="16" s="1"/>
  <c r="D43" i="16"/>
  <c r="D47" i="16" s="1"/>
  <c r="C43" i="16"/>
  <c r="O43" i="16" s="1"/>
  <c r="B43" i="16"/>
  <c r="J42" i="16"/>
  <c r="I42" i="16"/>
  <c r="H42" i="16"/>
  <c r="O42" i="16" s="1"/>
  <c r="G42" i="16"/>
  <c r="F42" i="16"/>
  <c r="E42" i="16"/>
  <c r="D42" i="16"/>
  <c r="C42" i="16"/>
  <c r="B42" i="16"/>
  <c r="J41" i="16"/>
  <c r="I41" i="16"/>
  <c r="H41" i="16"/>
  <c r="K41" i="16" s="1"/>
  <c r="G41" i="16"/>
  <c r="F41" i="16"/>
  <c r="E41" i="16"/>
  <c r="D41" i="16"/>
  <c r="C41" i="16"/>
  <c r="O41" i="16" s="1"/>
  <c r="B41" i="16"/>
  <c r="J40" i="16"/>
  <c r="I40" i="16"/>
  <c r="H40" i="16"/>
  <c r="G40" i="16"/>
  <c r="F40" i="16"/>
  <c r="E40" i="16"/>
  <c r="D40" i="16"/>
  <c r="P40" i="16" s="1"/>
  <c r="C40" i="16"/>
  <c r="B40" i="16"/>
  <c r="K39" i="16"/>
  <c r="J39" i="16"/>
  <c r="I39" i="16"/>
  <c r="H39" i="16"/>
  <c r="G39" i="16"/>
  <c r="F39" i="16"/>
  <c r="E39" i="16"/>
  <c r="D39" i="16"/>
  <c r="C39" i="16"/>
  <c r="O39" i="16" s="1"/>
  <c r="B39" i="16"/>
  <c r="J38" i="16"/>
  <c r="I38" i="16"/>
  <c r="H38" i="16"/>
  <c r="G38" i="16"/>
  <c r="F38" i="16"/>
  <c r="E38" i="16"/>
  <c r="D38" i="16"/>
  <c r="C38" i="16"/>
  <c r="M38" i="16" s="1"/>
  <c r="B38" i="16"/>
  <c r="J37" i="16"/>
  <c r="I37" i="16"/>
  <c r="H37" i="16"/>
  <c r="G37" i="16"/>
  <c r="F37" i="16"/>
  <c r="E37" i="16"/>
  <c r="D37" i="16"/>
  <c r="C37" i="16"/>
  <c r="B37" i="16"/>
  <c r="J36" i="16"/>
  <c r="J46" i="16" s="1"/>
  <c r="I36" i="16"/>
  <c r="I46" i="16" s="1"/>
  <c r="H36" i="16"/>
  <c r="G36" i="16"/>
  <c r="G46" i="16" s="1"/>
  <c r="F36" i="16"/>
  <c r="F46" i="16" s="1"/>
  <c r="E36" i="16"/>
  <c r="E46" i="16" s="1"/>
  <c r="D36" i="16"/>
  <c r="C36" i="16"/>
  <c r="M36" i="16" s="1"/>
  <c r="B36" i="16"/>
  <c r="B46" i="16" s="1"/>
  <c r="B29" i="16"/>
  <c r="J28" i="16"/>
  <c r="I28" i="16"/>
  <c r="H28" i="16"/>
  <c r="G28" i="16"/>
  <c r="F28" i="16"/>
  <c r="E28" i="16"/>
  <c r="D28" i="16"/>
  <c r="C28" i="16"/>
  <c r="M28" i="16" s="1"/>
  <c r="B28" i="16"/>
  <c r="J27" i="16"/>
  <c r="I27" i="16"/>
  <c r="I31" i="16" s="1"/>
  <c r="H27" i="16"/>
  <c r="H31" i="16" s="1"/>
  <c r="G27" i="16"/>
  <c r="G31" i="16" s="1"/>
  <c r="F27" i="16"/>
  <c r="E27" i="16"/>
  <c r="N27" i="16" s="1"/>
  <c r="D27" i="16"/>
  <c r="D31" i="16" s="1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L25" i="16" s="1"/>
  <c r="G25" i="16"/>
  <c r="F25" i="16"/>
  <c r="E25" i="16"/>
  <c r="D25" i="16"/>
  <c r="C25" i="16"/>
  <c r="O25" i="16" s="1"/>
  <c r="B25" i="16"/>
  <c r="J24" i="16"/>
  <c r="I24" i="16"/>
  <c r="H24" i="16"/>
  <c r="O24" i="16" s="1"/>
  <c r="G24" i="16"/>
  <c r="F24" i="16"/>
  <c r="E24" i="16"/>
  <c r="D24" i="16"/>
  <c r="C24" i="16"/>
  <c r="B24" i="16"/>
  <c r="K23" i="16"/>
  <c r="J23" i="16"/>
  <c r="I23" i="16"/>
  <c r="H23" i="16"/>
  <c r="G23" i="16"/>
  <c r="F23" i="16"/>
  <c r="E23" i="16"/>
  <c r="D23" i="16"/>
  <c r="C23" i="16"/>
  <c r="O23" i="16" s="1"/>
  <c r="B23" i="16"/>
  <c r="J22" i="16"/>
  <c r="I22" i="16"/>
  <c r="H22" i="16"/>
  <c r="L22" i="16" s="1"/>
  <c r="G22" i="16"/>
  <c r="F22" i="16"/>
  <c r="E22" i="16"/>
  <c r="D22" i="16"/>
  <c r="P22" i="16" s="1"/>
  <c r="C22" i="16"/>
  <c r="M22" i="16" s="1"/>
  <c r="B22" i="16"/>
  <c r="J21" i="16"/>
  <c r="I21" i="16"/>
  <c r="H21" i="16"/>
  <c r="G21" i="16"/>
  <c r="F21" i="16"/>
  <c r="E21" i="16"/>
  <c r="D21" i="16"/>
  <c r="C21" i="16"/>
  <c r="B21" i="16"/>
  <c r="J20" i="16"/>
  <c r="J30" i="16" s="1"/>
  <c r="I20" i="16"/>
  <c r="I30" i="16" s="1"/>
  <c r="H20" i="16"/>
  <c r="G20" i="16"/>
  <c r="G30" i="16" s="1"/>
  <c r="F20" i="16"/>
  <c r="F30" i="16" s="1"/>
  <c r="E20" i="16"/>
  <c r="E30" i="16" s="1"/>
  <c r="D20" i="16"/>
  <c r="D30" i="16" s="1"/>
  <c r="C20" i="16"/>
  <c r="C30" i="16" s="1"/>
  <c r="B20" i="16"/>
  <c r="B30" i="16" s="1"/>
  <c r="B13" i="16"/>
  <c r="J12" i="16"/>
  <c r="I12" i="16"/>
  <c r="H12" i="16"/>
  <c r="L12" i="16" s="1"/>
  <c r="G12" i="16"/>
  <c r="F12" i="16"/>
  <c r="E12" i="16"/>
  <c r="D12" i="16"/>
  <c r="P12" i="16" s="1"/>
  <c r="C12" i="16"/>
  <c r="B12" i="16"/>
  <c r="J11" i="16"/>
  <c r="J15" i="16" s="1"/>
  <c r="I11" i="16"/>
  <c r="I15" i="16" s="1"/>
  <c r="H11" i="16"/>
  <c r="G11" i="16"/>
  <c r="F11" i="16"/>
  <c r="F15" i="16" s="1"/>
  <c r="E11" i="16"/>
  <c r="E15" i="16" s="1"/>
  <c r="D11" i="16"/>
  <c r="C11" i="16"/>
  <c r="B11" i="16"/>
  <c r="B15" i="16" s="1"/>
  <c r="J10" i="16"/>
  <c r="I10" i="16"/>
  <c r="H10" i="16"/>
  <c r="O10" i="16" s="1"/>
  <c r="G10" i="16"/>
  <c r="F10" i="16"/>
  <c r="N10" i="16" s="1"/>
  <c r="E10" i="16"/>
  <c r="D10" i="16"/>
  <c r="C10" i="16"/>
  <c r="B10" i="16"/>
  <c r="K9" i="16"/>
  <c r="J9" i="16"/>
  <c r="I9" i="16"/>
  <c r="H9" i="16"/>
  <c r="G9" i="16"/>
  <c r="F9" i="16"/>
  <c r="E9" i="16"/>
  <c r="D9" i="16"/>
  <c r="C9" i="16"/>
  <c r="O9" i="16" s="1"/>
  <c r="B9" i="16"/>
  <c r="J8" i="16"/>
  <c r="I8" i="16"/>
  <c r="H8" i="16"/>
  <c r="L8" i="16" s="1"/>
  <c r="G8" i="16"/>
  <c r="F8" i="16"/>
  <c r="N8" i="16" s="1"/>
  <c r="E8" i="16"/>
  <c r="D8" i="16"/>
  <c r="P8" i="16" s="1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5" i="16"/>
  <c r="I5" i="16"/>
  <c r="H5" i="16"/>
  <c r="G5" i="16"/>
  <c r="F5" i="16"/>
  <c r="E5" i="16"/>
  <c r="D5" i="16"/>
  <c r="C5" i="16"/>
  <c r="B5" i="16"/>
  <c r="J4" i="16"/>
  <c r="I4" i="16"/>
  <c r="H4" i="16"/>
  <c r="G4" i="16"/>
  <c r="G14" i="16" s="1"/>
  <c r="F4" i="16"/>
  <c r="E4" i="16"/>
  <c r="D4" i="16"/>
  <c r="C4" i="16"/>
  <c r="M4" i="16" s="1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I405" i="15"/>
  <c r="O405" i="15" s="1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L5" i="16" l="1"/>
  <c r="M5" i="16"/>
  <c r="L7" i="16"/>
  <c r="N9" i="16"/>
  <c r="L11" i="16"/>
  <c r="N12" i="16"/>
  <c r="L21" i="16"/>
  <c r="N22" i="16"/>
  <c r="N23" i="16"/>
  <c r="M24" i="16"/>
  <c r="P25" i="16"/>
  <c r="P26" i="16"/>
  <c r="L26" i="16"/>
  <c r="O27" i="16"/>
  <c r="K27" i="16"/>
  <c r="L37" i="16"/>
  <c r="N38" i="16"/>
  <c r="N39" i="16"/>
  <c r="M40" i="16"/>
  <c r="P41" i="16"/>
  <c r="M56" i="16"/>
  <c r="P57" i="16"/>
  <c r="P58" i="16"/>
  <c r="L58" i="16"/>
  <c r="P76" i="16"/>
  <c r="L85" i="16"/>
  <c r="K85" i="16"/>
  <c r="O85" i="16"/>
  <c r="N86" i="16"/>
  <c r="L87" i="16"/>
  <c r="O87" i="16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368" i="15"/>
  <c r="P370" i="15"/>
  <c r="P372" i="15"/>
  <c r="P374" i="15"/>
  <c r="P376" i="15"/>
  <c r="P378" i="15"/>
  <c r="P380" i="15"/>
  <c r="P382" i="15"/>
  <c r="P384" i="15"/>
  <c r="P386" i="15"/>
  <c r="P388" i="15"/>
  <c r="P390" i="15"/>
  <c r="P392" i="15"/>
  <c r="P394" i="15"/>
  <c r="P396" i="15"/>
  <c r="P398" i="15"/>
  <c r="P408" i="15"/>
  <c r="P410" i="15"/>
  <c r="P412" i="15"/>
  <c r="P414" i="15"/>
  <c r="P416" i="15"/>
  <c r="P418" i="15"/>
  <c r="P420" i="15"/>
  <c r="P422" i="15"/>
  <c r="P424" i="15"/>
  <c r="P426" i="15"/>
  <c r="P428" i="15"/>
  <c r="P430" i="15"/>
  <c r="P432" i="15"/>
  <c r="P434" i="15"/>
  <c r="P436" i="15"/>
  <c r="P439" i="15"/>
  <c r="P449" i="15"/>
  <c r="P451" i="15"/>
  <c r="P453" i="15"/>
  <c r="P455" i="15"/>
  <c r="P457" i="15"/>
  <c r="P461" i="15"/>
  <c r="P465" i="15"/>
  <c r="P469" i="15"/>
  <c r="P471" i="15"/>
  <c r="P473" i="15"/>
  <c r="P477" i="15"/>
  <c r="P479" i="15"/>
  <c r="F14" i="16"/>
  <c r="J14" i="16"/>
  <c r="N5" i="16"/>
  <c r="P9" i="16"/>
  <c r="M10" i="16"/>
  <c r="M12" i="16"/>
  <c r="N21" i="16"/>
  <c r="P23" i="16"/>
  <c r="K25" i="16"/>
  <c r="N28" i="16"/>
  <c r="N37" i="16"/>
  <c r="P39" i="16"/>
  <c r="L40" i="16"/>
  <c r="L43" i="16"/>
  <c r="N44" i="16"/>
  <c r="N53" i="16"/>
  <c r="M54" i="16"/>
  <c r="P55" i="16"/>
  <c r="O56" i="16"/>
  <c r="O57" i="16"/>
  <c r="N60" i="16"/>
  <c r="N69" i="16"/>
  <c r="M70" i="16"/>
  <c r="M72" i="16"/>
  <c r="O73" i="16"/>
  <c r="M79" i="16"/>
  <c r="P86" i="16"/>
  <c r="P88" i="16"/>
  <c r="L89" i="16"/>
  <c r="K89" i="16"/>
  <c r="O89" i="16"/>
  <c r="P91" i="16"/>
  <c r="L91" i="16"/>
  <c r="O91" i="16"/>
  <c r="M91" i="16"/>
  <c r="P5" i="16"/>
  <c r="P7" i="16"/>
  <c r="P21" i="16"/>
  <c r="N26" i="16"/>
  <c r="P37" i="16"/>
  <c r="O38" i="16"/>
  <c r="L41" i="16"/>
  <c r="N42" i="16"/>
  <c r="P53" i="16"/>
  <c r="P54" i="16"/>
  <c r="L54" i="16"/>
  <c r="L57" i="16"/>
  <c r="N58" i="16"/>
  <c r="N59" i="16"/>
  <c r="M60" i="16"/>
  <c r="P69" i="16"/>
  <c r="O70" i="16"/>
  <c r="P74" i="16"/>
  <c r="L79" i="16"/>
  <c r="M75" i="16"/>
  <c r="L76" i="16"/>
  <c r="L84" i="16"/>
  <c r="P85" i="16"/>
  <c r="P87" i="16"/>
  <c r="N88" i="16"/>
  <c r="P90" i="16"/>
  <c r="P460" i="15"/>
  <c r="P462" i="15"/>
  <c r="P464" i="15"/>
  <c r="P466" i="15"/>
  <c r="P468" i="15"/>
  <c r="P470" i="15"/>
  <c r="P472" i="15"/>
  <c r="P474" i="15"/>
  <c r="P476" i="15"/>
  <c r="P478" i="15"/>
  <c r="D14" i="16"/>
  <c r="L4" i="16"/>
  <c r="O5" i="16"/>
  <c r="K5" i="16"/>
  <c r="O6" i="16"/>
  <c r="M7" i="16"/>
  <c r="K7" i="16"/>
  <c r="L9" i="16"/>
  <c r="M9" i="16"/>
  <c r="G15" i="16"/>
  <c r="K11" i="16"/>
  <c r="O20" i="16"/>
  <c r="O21" i="16"/>
  <c r="K21" i="16"/>
  <c r="L23" i="16"/>
  <c r="N24" i="16"/>
  <c r="N25" i="16"/>
  <c r="M26" i="16"/>
  <c r="B31" i="16"/>
  <c r="F31" i="16"/>
  <c r="J31" i="16"/>
  <c r="O28" i="16"/>
  <c r="C31" i="16"/>
  <c r="D46" i="16"/>
  <c r="H46" i="16"/>
  <c r="O37" i="16"/>
  <c r="K37" i="16"/>
  <c r="L39" i="16"/>
  <c r="N40" i="16"/>
  <c r="N41" i="16"/>
  <c r="M42" i="16"/>
  <c r="B47" i="16"/>
  <c r="F47" i="16"/>
  <c r="J47" i="16"/>
  <c r="P44" i="16"/>
  <c r="L44" i="16"/>
  <c r="E47" i="16"/>
  <c r="D62" i="16"/>
  <c r="O52" i="16"/>
  <c r="O53" i="16"/>
  <c r="K53" i="16"/>
  <c r="L55" i="16"/>
  <c r="N56" i="16"/>
  <c r="N57" i="16"/>
  <c r="M58" i="16"/>
  <c r="B63" i="16"/>
  <c r="F63" i="16"/>
  <c r="J63" i="16"/>
  <c r="O60" i="16"/>
  <c r="C63" i="16"/>
  <c r="D78" i="16"/>
  <c r="M68" i="16"/>
  <c r="O69" i="16"/>
  <c r="K69" i="16"/>
  <c r="P71" i="16"/>
  <c r="L71" i="16"/>
  <c r="N72" i="16"/>
  <c r="N73" i="16"/>
  <c r="N75" i="16"/>
  <c r="O75" i="16"/>
  <c r="N76" i="16"/>
  <c r="M85" i="16"/>
  <c r="L86" i="16"/>
  <c r="L88" i="16"/>
  <c r="P89" i="16"/>
  <c r="O100" i="16"/>
  <c r="P101" i="16"/>
  <c r="P102" i="16"/>
  <c r="P103" i="16"/>
  <c r="M104" i="16"/>
  <c r="M106" i="16"/>
  <c r="I111" i="16"/>
  <c r="N108" i="16"/>
  <c r="E126" i="16"/>
  <c r="I126" i="16"/>
  <c r="O118" i="16"/>
  <c r="P120" i="16"/>
  <c r="P121" i="16"/>
  <c r="P124" i="16"/>
  <c r="H126" i="16"/>
  <c r="O132" i="16"/>
  <c r="P134" i="16"/>
  <c r="L134" i="16"/>
  <c r="P137" i="16"/>
  <c r="L137" i="16"/>
  <c r="O137" i="16"/>
  <c r="D158" i="16"/>
  <c r="O151" i="16"/>
  <c r="B159" i="16"/>
  <c r="F159" i="16"/>
  <c r="J159" i="16"/>
  <c r="M156" i="16"/>
  <c r="N167" i="16"/>
  <c r="B175" i="16"/>
  <c r="F175" i="16"/>
  <c r="P175" i="16" s="1"/>
  <c r="J175" i="16"/>
  <c r="M180" i="16"/>
  <c r="N183" i="16"/>
  <c r="M184" i="16"/>
  <c r="B191" i="16"/>
  <c r="F191" i="16"/>
  <c r="P191" i="16" s="1"/>
  <c r="J191" i="16"/>
  <c r="M188" i="16"/>
  <c r="O4" i="20"/>
  <c r="K4" i="20"/>
  <c r="P6" i="20"/>
  <c r="L6" i="20"/>
  <c r="N8" i="20"/>
  <c r="M9" i="20"/>
  <c r="M12" i="20"/>
  <c r="E94" i="16"/>
  <c r="I94" i="16"/>
  <c r="N87" i="16"/>
  <c r="N91" i="16"/>
  <c r="E95" i="16"/>
  <c r="N95" i="16" s="1"/>
  <c r="E110" i="16"/>
  <c r="I110" i="16"/>
  <c r="M101" i="16"/>
  <c r="O103" i="16"/>
  <c r="O104" i="16"/>
  <c r="P105" i="16"/>
  <c r="P106" i="16"/>
  <c r="B126" i="16"/>
  <c r="F126" i="16"/>
  <c r="J126" i="16"/>
  <c r="L117" i="16"/>
  <c r="M117" i="16"/>
  <c r="M119" i="16"/>
  <c r="O121" i="16"/>
  <c r="O122" i="16"/>
  <c r="G127" i="16"/>
  <c r="E142" i="16"/>
  <c r="I142" i="16"/>
  <c r="M133" i="16"/>
  <c r="F142" i="16"/>
  <c r="J142" i="16"/>
  <c r="N138" i="16"/>
  <c r="M139" i="16"/>
  <c r="I143" i="16"/>
  <c r="M140" i="16"/>
  <c r="N152" i="16"/>
  <c r="L153" i="16"/>
  <c r="M153" i="16"/>
  <c r="C159" i="16"/>
  <c r="G159" i="16"/>
  <c r="L155" i="16"/>
  <c r="D174" i="16"/>
  <c r="H174" i="16"/>
  <c r="K174" i="16" s="1"/>
  <c r="O164" i="16"/>
  <c r="P166" i="16"/>
  <c r="M167" i="16"/>
  <c r="P170" i="16"/>
  <c r="C175" i="16"/>
  <c r="G175" i="16"/>
  <c r="D190" i="16"/>
  <c r="H190" i="16"/>
  <c r="K190" i="16" s="1"/>
  <c r="O180" i="16"/>
  <c r="P182" i="16"/>
  <c r="M183" i="16"/>
  <c r="P184" i="16"/>
  <c r="P186" i="16"/>
  <c r="C191" i="16"/>
  <c r="G191" i="16"/>
  <c r="P188" i="16"/>
  <c r="P5" i="20"/>
  <c r="P8" i="20"/>
  <c r="P92" i="16"/>
  <c r="L101" i="16"/>
  <c r="N102" i="16"/>
  <c r="L103" i="16"/>
  <c r="M103" i="16"/>
  <c r="M105" i="16"/>
  <c r="K105" i="16"/>
  <c r="O107" i="16"/>
  <c r="K107" i="16"/>
  <c r="L119" i="16"/>
  <c r="N120" i="16"/>
  <c r="L121" i="16"/>
  <c r="M121" i="16"/>
  <c r="L123" i="16"/>
  <c r="N124" i="16"/>
  <c r="J127" i="16"/>
  <c r="L133" i="16"/>
  <c r="N134" i="16"/>
  <c r="N135" i="16"/>
  <c r="D143" i="16"/>
  <c r="H143" i="16"/>
  <c r="K143" i="16" s="1"/>
  <c r="N149" i="16"/>
  <c r="N153" i="16"/>
  <c r="P155" i="16"/>
  <c r="N156" i="16"/>
  <c r="I174" i="16"/>
  <c r="N165" i="16"/>
  <c r="M166" i="16"/>
  <c r="K166" i="16"/>
  <c r="P167" i="16"/>
  <c r="N168" i="16"/>
  <c r="N169" i="16"/>
  <c r="M170" i="16"/>
  <c r="K170" i="16"/>
  <c r="P171" i="16"/>
  <c r="N172" i="16"/>
  <c r="N181" i="16"/>
  <c r="K182" i="16"/>
  <c r="P183" i="16"/>
  <c r="N184" i="16"/>
  <c r="N185" i="16"/>
  <c r="K186" i="16"/>
  <c r="P187" i="16"/>
  <c r="N188" i="16"/>
  <c r="N4" i="20"/>
  <c r="M5" i="20"/>
  <c r="O8" i="20"/>
  <c r="L10" i="20"/>
  <c r="N12" i="20"/>
  <c r="N92" i="16"/>
  <c r="N100" i="16"/>
  <c r="M107" i="16"/>
  <c r="C111" i="16"/>
  <c r="O111" i="16" s="1"/>
  <c r="P117" i="16"/>
  <c r="M118" i="16"/>
  <c r="P135" i="16"/>
  <c r="C143" i="16"/>
  <c r="P149" i="16"/>
  <c r="P153" i="16"/>
  <c r="O154" i="16"/>
  <c r="N159" i="16"/>
  <c r="P156" i="16"/>
  <c r="P164" i="16"/>
  <c r="P168" i="16"/>
  <c r="P172" i="16"/>
  <c r="P4" i="20"/>
  <c r="L5" i="20"/>
  <c r="M6" i="20"/>
  <c r="L8" i="20"/>
  <c r="P9" i="20"/>
  <c r="P12" i="20"/>
  <c r="P463" i="15"/>
  <c r="B14" i="16"/>
  <c r="P14" i="16" s="1"/>
  <c r="M8" i="16"/>
  <c r="C15" i="16"/>
  <c r="M11" i="16"/>
  <c r="O12" i="16"/>
  <c r="K12" i="16"/>
  <c r="N30" i="16"/>
  <c r="N62" i="16"/>
  <c r="K126" i="16"/>
  <c r="L126" i="16"/>
  <c r="P467" i="15"/>
  <c r="O8" i="16"/>
  <c r="K8" i="16"/>
  <c r="P10" i="16"/>
  <c r="D15" i="16"/>
  <c r="P15" i="16" s="1"/>
  <c r="O11" i="16"/>
  <c r="P30" i="16"/>
  <c r="O31" i="16"/>
  <c r="K31" i="16"/>
  <c r="P46" i="16"/>
  <c r="P62" i="16"/>
  <c r="O63" i="16"/>
  <c r="K63" i="16"/>
  <c r="P78" i="16"/>
  <c r="P126" i="16"/>
  <c r="H14" i="16"/>
  <c r="O4" i="16"/>
  <c r="K4" i="16"/>
  <c r="P4" i="16"/>
  <c r="P6" i="16"/>
  <c r="O7" i="16"/>
  <c r="N11" i="16"/>
  <c r="P94" i="16"/>
  <c r="P459" i="15"/>
  <c r="P475" i="15"/>
  <c r="E14" i="16"/>
  <c r="I14" i="16"/>
  <c r="M6" i="16"/>
  <c r="N6" i="16"/>
  <c r="N7" i="16"/>
  <c r="N15" i="16"/>
  <c r="P31" i="16"/>
  <c r="L46" i="16"/>
  <c r="K46" i="16"/>
  <c r="P47" i="16"/>
  <c r="N47" i="16"/>
  <c r="P63" i="16"/>
  <c r="N4" i="16"/>
  <c r="L6" i="16"/>
  <c r="L10" i="16"/>
  <c r="L20" i="16"/>
  <c r="P20" i="16"/>
  <c r="M21" i="16"/>
  <c r="L24" i="16"/>
  <c r="P24" i="16"/>
  <c r="M25" i="16"/>
  <c r="L28" i="16"/>
  <c r="P28" i="16"/>
  <c r="H30" i="16"/>
  <c r="E31" i="16"/>
  <c r="N31" i="16" s="1"/>
  <c r="N36" i="16"/>
  <c r="L38" i="16"/>
  <c r="P38" i="16"/>
  <c r="M39" i="16"/>
  <c r="L42" i="16"/>
  <c r="P42" i="16"/>
  <c r="M43" i="16"/>
  <c r="C47" i="16"/>
  <c r="L52" i="16"/>
  <c r="P52" i="16"/>
  <c r="M53" i="16"/>
  <c r="L56" i="16"/>
  <c r="P56" i="16"/>
  <c r="M57" i="16"/>
  <c r="L60" i="16"/>
  <c r="P60" i="16"/>
  <c r="H62" i="16"/>
  <c r="E63" i="16"/>
  <c r="N63" i="16" s="1"/>
  <c r="N68" i="16"/>
  <c r="L70" i="16"/>
  <c r="P70" i="16"/>
  <c r="M71" i="16"/>
  <c r="P79" i="16"/>
  <c r="H78" i="16"/>
  <c r="O102" i="16"/>
  <c r="K102" i="16"/>
  <c r="P104" i="16"/>
  <c r="O105" i="16"/>
  <c r="B111" i="16"/>
  <c r="F111" i="16"/>
  <c r="P111" i="16" s="1"/>
  <c r="J111" i="16"/>
  <c r="M108" i="16"/>
  <c r="K111" i="16"/>
  <c r="M116" i="16"/>
  <c r="O116" i="16"/>
  <c r="K116" i="16"/>
  <c r="P116" i="16"/>
  <c r="P118" i="16"/>
  <c r="O119" i="16"/>
  <c r="M122" i="16"/>
  <c r="N123" i="16"/>
  <c r="C142" i="16"/>
  <c r="G142" i="16"/>
  <c r="N133" i="16"/>
  <c r="L139" i="16"/>
  <c r="C158" i="16"/>
  <c r="M164" i="16"/>
  <c r="M168" i="16"/>
  <c r="M172" i="16"/>
  <c r="N180" i="16"/>
  <c r="E190" i="16"/>
  <c r="I190" i="16"/>
  <c r="M182" i="16"/>
  <c r="M186" i="16"/>
  <c r="C14" i="16"/>
  <c r="M14" i="16" s="1"/>
  <c r="H15" i="16"/>
  <c r="M20" i="16"/>
  <c r="K22" i="16"/>
  <c r="O22" i="16"/>
  <c r="K26" i="16"/>
  <c r="O26" i="16"/>
  <c r="L27" i="16"/>
  <c r="P27" i="16"/>
  <c r="K36" i="16"/>
  <c r="O36" i="16"/>
  <c r="K40" i="16"/>
  <c r="O40" i="16"/>
  <c r="K44" i="16"/>
  <c r="O44" i="16"/>
  <c r="C46" i="16"/>
  <c r="M46" i="16" s="1"/>
  <c r="H47" i="16"/>
  <c r="M52" i="16"/>
  <c r="K54" i="16"/>
  <c r="O54" i="16"/>
  <c r="K58" i="16"/>
  <c r="O58" i="16"/>
  <c r="L59" i="16"/>
  <c r="P59" i="16"/>
  <c r="C78" i="16"/>
  <c r="G78" i="16"/>
  <c r="K68" i="16"/>
  <c r="O68" i="16"/>
  <c r="K72" i="16"/>
  <c r="O72" i="16"/>
  <c r="L73" i="16"/>
  <c r="M73" i="16"/>
  <c r="M74" i="16"/>
  <c r="M76" i="16"/>
  <c r="K79" i="16"/>
  <c r="M84" i="16"/>
  <c r="M86" i="16"/>
  <c r="M88" i="16"/>
  <c r="M90" i="16"/>
  <c r="P100" i="16"/>
  <c r="O101" i="16"/>
  <c r="N105" i="16"/>
  <c r="L124" i="16"/>
  <c r="D142" i="16"/>
  <c r="P142" i="16" s="1"/>
  <c r="L135" i="16"/>
  <c r="M135" i="16"/>
  <c r="M138" i="16"/>
  <c r="O138" i="16"/>
  <c r="K138" i="16"/>
  <c r="N139" i="16"/>
  <c r="E143" i="16"/>
  <c r="N143" i="16" s="1"/>
  <c r="P140" i="16"/>
  <c r="L149" i="16"/>
  <c r="M149" i="16"/>
  <c r="M152" i="16"/>
  <c r="O152" i="16"/>
  <c r="K152" i="16"/>
  <c r="P154" i="16"/>
  <c r="O159" i="16"/>
  <c r="K159" i="16"/>
  <c r="L159" i="16"/>
  <c r="E191" i="16"/>
  <c r="N191" i="16" s="1"/>
  <c r="I191" i="16"/>
  <c r="O191" i="16"/>
  <c r="K191" i="16"/>
  <c r="N20" i="16"/>
  <c r="M23" i="16"/>
  <c r="M27" i="16"/>
  <c r="L36" i="16"/>
  <c r="P36" i="16"/>
  <c r="M37" i="16"/>
  <c r="M41" i="16"/>
  <c r="N52" i="16"/>
  <c r="M55" i="16"/>
  <c r="M59" i="16"/>
  <c r="L68" i="16"/>
  <c r="P68" i="16"/>
  <c r="M69" i="16"/>
  <c r="L72" i="16"/>
  <c r="O74" i="16"/>
  <c r="K74" i="16"/>
  <c r="O76" i="16"/>
  <c r="K76" i="16"/>
  <c r="N79" i="16"/>
  <c r="O84" i="16"/>
  <c r="K84" i="16"/>
  <c r="O86" i="16"/>
  <c r="K86" i="16"/>
  <c r="O88" i="16"/>
  <c r="K88" i="16"/>
  <c r="O90" i="16"/>
  <c r="K90" i="16"/>
  <c r="M92" i="16"/>
  <c r="O92" i="16"/>
  <c r="K92" i="16"/>
  <c r="C127" i="16"/>
  <c r="M123" i="16"/>
  <c r="M124" i="16"/>
  <c r="O124" i="16"/>
  <c r="K124" i="16"/>
  <c r="M134" i="16"/>
  <c r="O134" i="16"/>
  <c r="K134" i="16"/>
  <c r="P136" i="16"/>
  <c r="P143" i="16"/>
  <c r="H158" i="16"/>
  <c r="M148" i="16"/>
  <c r="O148" i="16"/>
  <c r="K148" i="16"/>
  <c r="P148" i="16"/>
  <c r="P150" i="16"/>
  <c r="N164" i="16"/>
  <c r="E174" i="16"/>
  <c r="K6" i="16"/>
  <c r="K10" i="16"/>
  <c r="P11" i="16"/>
  <c r="K20" i="16"/>
  <c r="K24" i="16"/>
  <c r="K28" i="16"/>
  <c r="K38" i="16"/>
  <c r="K42" i="16"/>
  <c r="P43" i="16"/>
  <c r="K52" i="16"/>
  <c r="K56" i="16"/>
  <c r="K60" i="16"/>
  <c r="E78" i="16"/>
  <c r="N78" i="16" s="1"/>
  <c r="I78" i="16"/>
  <c r="K70" i="16"/>
  <c r="P73" i="16"/>
  <c r="O79" i="16"/>
  <c r="P84" i="16"/>
  <c r="H94" i="16"/>
  <c r="O106" i="16"/>
  <c r="K106" i="16"/>
  <c r="N107" i="16"/>
  <c r="E111" i="16"/>
  <c r="N111" i="16" s="1"/>
  <c r="P108" i="16"/>
  <c r="F110" i="16"/>
  <c r="P110" i="16" s="1"/>
  <c r="C126" i="16"/>
  <c r="M126" i="16" s="1"/>
  <c r="G126" i="16"/>
  <c r="M120" i="16"/>
  <c r="O120" i="16"/>
  <c r="K120" i="16"/>
  <c r="P122" i="16"/>
  <c r="O123" i="16"/>
  <c r="P132" i="16"/>
  <c r="O133" i="16"/>
  <c r="M136" i="16"/>
  <c r="N136" i="16"/>
  <c r="N137" i="16"/>
  <c r="L143" i="16"/>
  <c r="O143" i="16"/>
  <c r="E158" i="16"/>
  <c r="I158" i="16"/>
  <c r="M150" i="16"/>
  <c r="N150" i="16"/>
  <c r="N151" i="16"/>
  <c r="E175" i="16"/>
  <c r="N175" i="16" s="1"/>
  <c r="I175" i="16"/>
  <c r="O175" i="16"/>
  <c r="K175" i="16"/>
  <c r="L175" i="16"/>
  <c r="L100" i="16"/>
  <c r="L104" i="16"/>
  <c r="L108" i="16"/>
  <c r="H110" i="16"/>
  <c r="M110" i="16" s="1"/>
  <c r="N116" i="16"/>
  <c r="L118" i="16"/>
  <c r="L122" i="16"/>
  <c r="L132" i="16"/>
  <c r="L136" i="16"/>
  <c r="L140" i="16"/>
  <c r="H142" i="16"/>
  <c r="B158" i="16"/>
  <c r="F158" i="16"/>
  <c r="J158" i="16"/>
  <c r="N148" i="16"/>
  <c r="O149" i="16"/>
  <c r="L150" i="16"/>
  <c r="L154" i="16"/>
  <c r="M159" i="16"/>
  <c r="M175" i="16"/>
  <c r="C174" i="16"/>
  <c r="C190" i="16"/>
  <c r="L75" i="16"/>
  <c r="P75" i="16"/>
  <c r="C94" i="16"/>
  <c r="M94" i="16" s="1"/>
  <c r="D95" i="16"/>
  <c r="P95" i="16" s="1"/>
  <c r="H95" i="16"/>
  <c r="M100" i="16"/>
  <c r="L107" i="16"/>
  <c r="P107" i="16"/>
  <c r="D127" i="16"/>
  <c r="P127" i="16" s="1"/>
  <c r="H127" i="16"/>
  <c r="M132" i="16"/>
  <c r="P139" i="16"/>
  <c r="N154" i="16"/>
  <c r="O155" i="16"/>
  <c r="K155" i="16"/>
  <c r="N155" i="16"/>
  <c r="L156" i="16"/>
  <c r="O165" i="16"/>
  <c r="K165" i="16"/>
  <c r="L166" i="16"/>
  <c r="O167" i="16"/>
  <c r="K167" i="16"/>
  <c r="L168" i="16"/>
  <c r="O169" i="16"/>
  <c r="K169" i="16"/>
  <c r="L170" i="16"/>
  <c r="O171" i="16"/>
  <c r="K171" i="16"/>
  <c r="N171" i="16"/>
  <c r="L172" i="16"/>
  <c r="L190" i="16"/>
  <c r="O181" i="16"/>
  <c r="K181" i="16"/>
  <c r="M181" i="16"/>
  <c r="L182" i="16"/>
  <c r="O183" i="16"/>
  <c r="K183" i="16"/>
  <c r="L184" i="16"/>
  <c r="O185" i="16"/>
  <c r="K185" i="16"/>
  <c r="M185" i="16"/>
  <c r="L186" i="16"/>
  <c r="O187" i="16"/>
  <c r="K187" i="16"/>
  <c r="N187" i="16"/>
  <c r="L188" i="16"/>
  <c r="K100" i="16"/>
  <c r="K104" i="16"/>
  <c r="K108" i="16"/>
  <c r="K118" i="16"/>
  <c r="K122" i="16"/>
  <c r="K132" i="16"/>
  <c r="K136" i="16"/>
  <c r="K140" i="16"/>
  <c r="O140" i="16"/>
  <c r="K150" i="16"/>
  <c r="P190" i="16"/>
  <c r="M4" i="20"/>
  <c r="N5" i="20"/>
  <c r="O6" i="20"/>
  <c r="L7" i="20"/>
  <c r="M8" i="20"/>
  <c r="N9" i="20"/>
  <c r="O10" i="20"/>
  <c r="L11" i="20"/>
  <c r="M171" i="16"/>
  <c r="F174" i="16"/>
  <c r="P174" i="16" s="1"/>
  <c r="L180" i="16"/>
  <c r="P180" i="16"/>
  <c r="K5" i="20"/>
  <c r="O5" i="20"/>
  <c r="M7" i="20"/>
  <c r="K9" i="20"/>
  <c r="O9" i="20"/>
  <c r="M11" i="20"/>
  <c r="K12" i="20"/>
  <c r="O12" i="20"/>
  <c r="M155" i="16"/>
  <c r="L164" i="16"/>
  <c r="M187" i="16"/>
  <c r="K7" i="20"/>
  <c r="K11" i="20"/>
  <c r="L111" i="16" l="1"/>
  <c r="O126" i="16"/>
  <c r="N158" i="16"/>
  <c r="P159" i="16"/>
  <c r="O142" i="16"/>
  <c r="K142" i="16"/>
  <c r="L142" i="16"/>
  <c r="L191" i="16"/>
  <c r="M158" i="16"/>
  <c r="M190" i="16"/>
  <c r="O190" i="16"/>
  <c r="L158" i="16"/>
  <c r="K158" i="16"/>
  <c r="O158" i="16"/>
  <c r="O62" i="16"/>
  <c r="K62" i="16"/>
  <c r="L62" i="16"/>
  <c r="M191" i="16"/>
  <c r="O94" i="16"/>
  <c r="K94" i="16"/>
  <c r="L94" i="16"/>
  <c r="N174" i="16"/>
  <c r="N126" i="16"/>
  <c r="M143" i="16"/>
  <c r="M142" i="16"/>
  <c r="O78" i="16"/>
  <c r="K78" i="16"/>
  <c r="L78" i="16"/>
  <c r="M47" i="16"/>
  <c r="M31" i="16"/>
  <c r="N14" i="16"/>
  <c r="M62" i="16"/>
  <c r="L14" i="16"/>
  <c r="O14" i="16"/>
  <c r="K14" i="16"/>
  <c r="N110" i="16"/>
  <c r="L63" i="16"/>
  <c r="L174" i="16"/>
  <c r="L127" i="16"/>
  <c r="O127" i="16"/>
  <c r="K127" i="16"/>
  <c r="M174" i="16"/>
  <c r="O174" i="16"/>
  <c r="P158" i="16"/>
  <c r="M127" i="16"/>
  <c r="L15" i="16"/>
  <c r="O15" i="16"/>
  <c r="K15" i="16"/>
  <c r="N127" i="16"/>
  <c r="O30" i="16"/>
  <c r="K30" i="16"/>
  <c r="L30" i="16"/>
  <c r="M63" i="16"/>
  <c r="M30" i="16"/>
  <c r="L31" i="16"/>
  <c r="N46" i="16"/>
  <c r="L95" i="16"/>
  <c r="O95" i="16"/>
  <c r="K95" i="16"/>
  <c r="M95" i="16"/>
  <c r="O110" i="16"/>
  <c r="K110" i="16"/>
  <c r="L110" i="16"/>
  <c r="N94" i="16"/>
  <c r="M111" i="16"/>
  <c r="M78" i="16"/>
  <c r="L47" i="16"/>
  <c r="O47" i="16"/>
  <c r="K47" i="16"/>
  <c r="N190" i="16"/>
  <c r="O46" i="16"/>
  <c r="N142" i="16"/>
  <c r="M15" i="16"/>
</calcChain>
</file>

<file path=xl/sharedStrings.xml><?xml version="1.0" encoding="utf-8"?>
<sst xmlns="http://schemas.openxmlformats.org/spreadsheetml/2006/main" count="4697" uniqueCount="390">
  <si>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</si>
  <si>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</si>
  <si>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</si>
  <si>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</si>
  <si>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</si>
  <si>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</si>
  <si>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</si>
  <si>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</si>
  <si>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</si>
  <si>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</si>
  <si>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</si>
  <si>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</si>
  <si>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</si>
  <si>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</si>
  <si>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</si>
  <si>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</si>
  <si>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</si>
  <si>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</si>
  <si>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</si>
  <si>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</si>
  <si>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</si>
  <si>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</si>
  <si>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</si>
  <si>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</si>
  <si>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</si>
  <si>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</si>
  <si>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</si>
  <si>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</si>
  <si>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</si>
  <si>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</si>
  <si>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</si>
  <si>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</si>
  <si>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</si>
  <si>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</si>
  <si>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</si>
  <si>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</si>
  <si>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</si>
  <si>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</si>
  <si>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</si>
  <si>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</si>
  <si>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</si>
  <si>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</si>
  <si>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</si>
  <si>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</si>
  <si>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</si>
  <si>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</si>
  <si>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</si>
  <si>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</si>
  <si>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</si>
  <si>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</si>
  <si>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</si>
  <si>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</si>
  <si>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</si>
  <si>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</si>
  <si>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</si>
  <si>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</si>
  <si>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</si>
  <si>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</si>
  <si>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</si>
  <si>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</si>
  <si>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</si>
  <si>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</si>
  <si>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</si>
  <si>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</si>
  <si>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</si>
  <si>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</si>
  <si>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</si>
  <si>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</si>
  <si>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</si>
  <si>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</si>
  <si>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</si>
  <si>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</si>
  <si>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</si>
  <si>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</si>
  <si>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</si>
  <si>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</si>
  <si>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</si>
  <si>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</si>
  <si>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</si>
  <si>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</si>
  <si>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</si>
  <si>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</si>
  <si>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</si>
  <si>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</si>
  <si>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</si>
  <si>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</si>
  <si>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</si>
  <si>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</si>
  <si>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</si>
  <si>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</si>
  <si>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</si>
  <si>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</si>
  <si>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</si>
  <si>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</si>
  <si>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</si>
  <si>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</si>
  <si>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</si>
  <si>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</si>
  <si>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</si>
  <si>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</si>
  <si>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</si>
  <si>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</si>
  <si>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</si>
  <si>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</si>
  <si>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</si>
  <si>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</si>
  <si>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</si>
  <si>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</si>
  <si>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</si>
  <si>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</si>
  <si>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</si>
  <si>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</si>
  <si>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</si>
  <si>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</si>
  <si>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</si>
  <si>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</si>
  <si>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</si>
  <si>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</si>
  <si>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</si>
  <si>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</si>
  <si>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</si>
  <si>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</si>
  <si>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</si>
  <si>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</si>
  <si>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</si>
  <si>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</si>
  <si>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</si>
  <si>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</si>
  <si>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</si>
  <si>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</si>
  <si>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</si>
  <si>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</si>
  <si>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</si>
  <si>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</si>
  <si>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</si>
  <si>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</si>
  <si>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</si>
  <si>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</si>
  <si>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</si>
  <si>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</si>
  <si>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</si>
  <si>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</si>
  <si>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</si>
  <si>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</si>
  <si>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</si>
  <si>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</si>
  <si>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</si>
  <si>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</si>
  <si>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</si>
  <si>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</si>
  <si>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</si>
  <si>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</si>
  <si>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</si>
  <si>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</si>
  <si>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</si>
  <si>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</si>
  <si>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</si>
  <si>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</si>
  <si>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</si>
  <si>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</si>
  <si>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</si>
  <si>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</si>
  <si>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</si>
  <si>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</si>
  <si>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</si>
  <si>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</si>
  <si>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</si>
  <si>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</si>
  <si>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</si>
  <si>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</si>
  <si>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</si>
  <si>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</si>
  <si>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</si>
  <si>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</si>
  <si>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</si>
  <si>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</si>
  <si>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</si>
  <si>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</si>
  <si>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</si>
  <si>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</si>
  <si>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</si>
  <si>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</si>
  <si>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</si>
  <si>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</si>
  <si>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</si>
  <si>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</si>
  <si>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</si>
  <si>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</si>
  <si>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</si>
  <si>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</si>
  <si>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</si>
  <si>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</si>
  <si>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</si>
  <si>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</si>
  <si>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</si>
  <si>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</si>
  <si>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</si>
  <si>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</si>
  <si>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</si>
  <si>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</si>
  <si>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</si>
  <si>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</si>
  <si>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</si>
  <si>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</si>
  <si>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</si>
  <si>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</si>
  <si>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</si>
  <si>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</si>
  <si>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</si>
  <si>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</si>
  <si>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</si>
  <si>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</si>
  <si>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</si>
  <si>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</si>
  <si>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</si>
  <si>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</si>
  <si>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</si>
  <si>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2026-00001</t>
  </si>
  <si>
    <t>-</t>
  </si>
  <si>
    <t>Age Entry</t>
  </si>
  <si>
    <t>Days</t>
  </si>
  <si>
    <t>M</t>
  </si>
  <si>
    <t>Insured</t>
  </si>
  <si>
    <t>2026-00001-IMP</t>
  </si>
  <si>
    <t>F</t>
  </si>
  <si>
    <t>2026-00001-IMP2</t>
  </si>
  <si>
    <t>2026-00001-IMP3</t>
  </si>
  <si>
    <t>2026-00001-IMP4</t>
  </si>
  <si>
    <t>2026-00001-IMP5</t>
  </si>
  <si>
    <t>2026-00001-IMP6</t>
  </si>
  <si>
    <t>2026-00001-IMP7</t>
  </si>
  <si>
    <t>2026-00001-IMP8</t>
  </si>
  <si>
    <t>2026-00001-IMP9</t>
  </si>
  <si>
    <t>2026-00001-IMP10</t>
  </si>
  <si>
    <t>2026-00001-IMP11</t>
  </si>
  <si>
    <t>2026-00001-IMP12</t>
  </si>
  <si>
    <t>2026-00001-IMP13</t>
  </si>
  <si>
    <t>2026-00001-IMP14</t>
  </si>
  <si>
    <t>2026-00001-IMP15</t>
  </si>
  <si>
    <t>2026-00001-IMP16</t>
  </si>
  <si>
    <t>2026-00001-IMP17</t>
  </si>
  <si>
    <t>2026-00001-IMP18</t>
  </si>
  <si>
    <t>2026-00001-IMP19</t>
  </si>
  <si>
    <t>2026-00001-IMP20</t>
  </si>
  <si>
    <t>2026-00001-IMP21</t>
  </si>
  <si>
    <t>2026-00001-IMP22</t>
  </si>
  <si>
    <t>2026-00001-IMP23</t>
  </si>
  <si>
    <t>2026-00001-IMP24</t>
  </si>
  <si>
    <t>2026-00001-IMP25</t>
  </si>
  <si>
    <t>2026-00001-IMP26</t>
  </si>
  <si>
    <t>2026-00001-IMP27</t>
  </si>
  <si>
    <t>2026-00001-IMP28</t>
  </si>
  <si>
    <t>2026-00001-IMP29</t>
  </si>
  <si>
    <t>2026-00001-IMP30</t>
  </si>
  <si>
    <t>2026-00001-IMP31</t>
  </si>
  <si>
    <t>2026-00001-IMP32</t>
  </si>
  <si>
    <t>2026-00001-IMP33</t>
  </si>
  <si>
    <t>2026-00001-IMP34</t>
  </si>
  <si>
    <t>Years</t>
  </si>
  <si>
    <t>2026-00001-IMP35</t>
  </si>
  <si>
    <t>A2026-00001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</si>
  <si>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</si>
  <si>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</si>
  <si>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</si>
  <si>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</si>
  <si>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</si>
  <si>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</si>
  <si>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</si>
  <si>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</si>
  <si>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</si>
  <si>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</si>
  <si>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</si>
  <si>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</si>
  <si>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</si>
  <si>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</si>
  <si>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</si>
  <si>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</si>
  <si>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</si>
  <si>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</si>
  <si>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</si>
  <si>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</si>
  <si>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</si>
  <si>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</si>
  <si>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</si>
  <si>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</si>
  <si>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</si>
  <si>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</si>
  <si>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</si>
  <si>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</si>
  <si>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</si>
  <si>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</si>
  <si>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</si>
  <si>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</si>
  <si>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</si>
  <si>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</si>
  <si>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</si>
  <si>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</si>
  <si>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</si>
  <si>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</si>
  <si>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</si>
  <si>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</si>
  <si>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</si>
  <si>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</si>
  <si>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</si>
  <si>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</si>
  <si>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</si>
  <si>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</si>
  <si>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</si>
  <si>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</si>
  <si>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</si>
  <si>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</si>
  <si>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</si>
  <si>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</si>
  <si>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</si>
  <si>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</si>
  <si>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</si>
  <si>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</si>
  <si>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</si>
  <si>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</si>
  <si>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</si>
  <si>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</si>
  <si>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</si>
  <si>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</si>
  <si>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</si>
  <si>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</si>
  <si>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</si>
  <si>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</si>
  <si>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</si>
  <si>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</si>
  <si>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</si>
  <si>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</si>
  <si>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</si>
  <si>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</si>
  <si>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</si>
  <si>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</si>
  <si>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</si>
  <si>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</si>
  <si>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</si>
  <si>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</si>
  <si>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</si>
  <si>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</si>
  <si>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</si>
  <si>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</si>
  <si>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</si>
  <si>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</si>
  <si>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</si>
  <si>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</si>
  <si>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</si>
  <si>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</si>
  <si>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</si>
  <si>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</si>
  <si>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</si>
  <si>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</si>
  <si>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</si>
  <si>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A2026-00095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</si>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</sst>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98C6F2A5-E264-C6BF-D9A5-09197224C1D8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9DA427D0-F82B-73EB-87DE-14CAC8C60F02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F9E82C27-5B1D-72CC-CC46-754762E029D8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4502B394-5C55-32C9-11C1-83B8479EC766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21BD7CDD-457F-320B-8817-692AC67AB245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3DFF8181-F976-10EE-9A62-CBE6B5AEE8D8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0124E741-7E46-4F61-5D83-D16D37990D55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F2FD69BC-BA3E-A88C-87FF-104CC0375A00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5E225961-EDF1-223C-5D64-0B47C26F434D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C5BD6FFC-59B2-A404-2777-413B14D1BA99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A6789A6D-28B1-0411-A9D7-51C42DF3365C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569E598B-6C37-6CB2-619D-9AA13D1D25BD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84131D3B-F17D-5034-CF58-5EDC2D5F5EE9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7D1E0A5A-2E08-417B-8551-9D703BBA41AE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304">
  <autoFilter ref="A1:L304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167">
  <autoFilter ref="A1:K167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opLeftCell="A7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3" t="s">
        <v>0</v>
      </c>
      <c r="B1" s="29"/>
      <c r="C1" s="29"/>
      <c r="D1" s="29"/>
      <c r="E1" s="29"/>
      <c r="F1" s="29"/>
      <c r="G1" s="29"/>
      <c r="H1" s="29"/>
    </row>
    <row r="2" spans="1:10" ht="15.75" x14ac:dyDescent="0.25">
      <c r="A2" s="37" t="s">
        <v>1</v>
      </c>
      <c r="B2" s="29"/>
      <c r="C2" s="29"/>
      <c r="D2" s="29"/>
      <c r="E2" s="29"/>
      <c r="F2" s="29"/>
      <c r="G2" s="29"/>
      <c r="H2" s="29"/>
    </row>
    <row r="3" spans="1:10" x14ac:dyDescent="0.25">
      <c r="A3" s="36" t="s">
        <v>2</v>
      </c>
      <c r="B3" s="29"/>
      <c r="C3" s="29"/>
      <c r="D3" s="29"/>
      <c r="E3" s="29"/>
      <c r="F3" s="29"/>
      <c r="G3" s="29"/>
      <c r="H3" s="29"/>
    </row>
    <row r="5" spans="1:10" x14ac:dyDescent="0.25">
      <c r="A5" s="1" t="s">
        <v>3</v>
      </c>
      <c r="B5" s="1">
        <v>2026</v>
      </c>
      <c r="D5" s="1" t="s">
        <v>4</v>
      </c>
      <c r="E5" s="35" t="s">
        <v>2</v>
      </c>
      <c r="F5" s="29"/>
      <c r="G5" s="29"/>
      <c r="H5" s="29"/>
      <c r="J5" t="b">
        <v>1</v>
      </c>
    </row>
    <row r="6" spans="1:10" x14ac:dyDescent="0.25">
      <c r="J6" t="b">
        <v>1</v>
      </c>
    </row>
    <row r="7" spans="1:10" ht="15.75" x14ac:dyDescent="0.25">
      <c r="A7" s="34" t="s">
        <v>5</v>
      </c>
      <c r="B7" s="29"/>
      <c r="C7" s="29"/>
      <c r="D7" s="29"/>
      <c r="E7" s="29"/>
      <c r="F7" s="29"/>
      <c r="G7" s="29"/>
      <c r="H7" s="29"/>
    </row>
    <row r="9" spans="1:10" x14ac:dyDescent="0.25">
      <c r="A9" s="30" t="s">
        <v>205</v>
      </c>
      <c r="B9" s="29"/>
      <c r="C9" s="29"/>
      <c r="D9" s="2" t="s">
        <v>6</v>
      </c>
    </row>
    <row r="11" spans="1:10" x14ac:dyDescent="0.25">
      <c r="A11" s="30" t="s">
        <v>206</v>
      </c>
      <c r="B11" s="29"/>
      <c r="C11" s="29"/>
      <c r="D11" s="2" t="s">
        <v>7</v>
      </c>
    </row>
    <row r="13" spans="1:10" x14ac:dyDescent="0.25">
      <c r="A13" s="30" t="s">
        <v>207</v>
      </c>
      <c r="B13" s="29"/>
      <c r="C13" s="29"/>
      <c r="D13" s="2" t="s">
        <v>8</v>
      </c>
    </row>
    <row r="15" spans="1:10" x14ac:dyDescent="0.25">
      <c r="A15" s="30" t="s">
        <v>208</v>
      </c>
      <c r="B15" s="29"/>
      <c r="C15" s="29"/>
      <c r="D15" s="2" t="s">
        <v>9</v>
      </c>
    </row>
    <row r="17" spans="1:4" x14ac:dyDescent="0.25">
      <c r="A17" s="30" t="s">
        <v>209</v>
      </c>
      <c r="B17" s="29"/>
      <c r="C17" s="29"/>
      <c r="D17" s="2" t="s">
        <v>10</v>
      </c>
    </row>
    <row r="19" spans="1:4" x14ac:dyDescent="0.25">
      <c r="A19" s="30" t="s">
        <v>210</v>
      </c>
      <c r="B19" s="29"/>
      <c r="C19" s="29"/>
      <c r="D19" s="2" t="s">
        <v>11</v>
      </c>
    </row>
    <row r="21" spans="1:4" x14ac:dyDescent="0.25">
      <c r="A21" s="30" t="s">
        <v>211</v>
      </c>
      <c r="B21" s="29"/>
      <c r="C21" s="29"/>
      <c r="D21" s="2" t="s">
        <v>12</v>
      </c>
    </row>
    <row r="23" spans="1:4" x14ac:dyDescent="0.25">
      <c r="A23" s="30" t="s">
        <v>212</v>
      </c>
      <c r="B23" s="29"/>
      <c r="C23" s="29"/>
      <c r="D23" s="2" t="s">
        <v>13</v>
      </c>
    </row>
    <row r="25" spans="1:4" x14ac:dyDescent="0.25">
      <c r="A25" s="30" t="s">
        <v>213</v>
      </c>
      <c r="B25" s="29"/>
      <c r="C25" s="29"/>
      <c r="D25" s="2" t="s">
        <v>14</v>
      </c>
    </row>
    <row r="27" spans="1:4" x14ac:dyDescent="0.25">
      <c r="A27" s="32" t="s">
        <v>15</v>
      </c>
      <c r="B27" s="29"/>
      <c r="C27" s="29"/>
      <c r="D27" s="2" t="s">
        <v>16</v>
      </c>
    </row>
    <row r="29" spans="1:4" x14ac:dyDescent="0.25">
      <c r="A29" s="28" t="s">
        <v>17</v>
      </c>
      <c r="B29" s="29"/>
      <c r="C29" s="29"/>
      <c r="D29" s="2" t="s">
        <v>18</v>
      </c>
    </row>
    <row r="31" spans="1:4" x14ac:dyDescent="0.25">
      <c r="A31" s="28" t="s">
        <v>214</v>
      </c>
      <c r="B31" s="29"/>
      <c r="C31" s="29"/>
      <c r="D31" s="2" t="s">
        <v>19</v>
      </c>
    </row>
    <row r="33" spans="1:6" x14ac:dyDescent="0.25">
      <c r="A33" s="28" t="s">
        <v>215</v>
      </c>
      <c r="B33" s="29"/>
      <c r="C33" s="29"/>
      <c r="D33" s="2" t="s">
        <v>20</v>
      </c>
    </row>
    <row r="35" spans="1:6" x14ac:dyDescent="0.25">
      <c r="A35" s="28" t="s">
        <v>216</v>
      </c>
      <c r="B35" s="29"/>
      <c r="C35" s="29"/>
      <c r="D35" s="2" t="s">
        <v>21</v>
      </c>
    </row>
    <row r="37" spans="1:6" ht="15.75" x14ac:dyDescent="0.25">
      <c r="A37" s="31" t="s">
        <v>22</v>
      </c>
      <c r="B37" s="29"/>
      <c r="C37" s="29"/>
      <c r="D37" s="29"/>
      <c r="E37" s="29"/>
      <c r="F37" s="29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1</v>
      </c>
      <c r="E47" s="4" t="b">
        <v>1</v>
      </c>
      <c r="F47" s="4">
        <v>9</v>
      </c>
    </row>
    <row r="49" spans="1:6" ht="15.75" x14ac:dyDescent="0.25">
      <c r="A49" s="31" t="s">
        <v>47</v>
      </c>
      <c r="B49" s="29"/>
      <c r="C49" s="29"/>
      <c r="D49" s="29"/>
      <c r="E49" s="29"/>
      <c r="F49" s="29"/>
    </row>
    <row r="50" spans="1:6" x14ac:dyDescent="0.25">
      <c r="A50" s="3" t="s">
        <v>48</v>
      </c>
      <c r="B50" s="3" t="s">
        <v>49</v>
      </c>
      <c r="C50" s="3" t="s">
        <v>50</v>
      </c>
    </row>
    <row r="51" spans="1:6" x14ac:dyDescent="0.25">
      <c r="A51" s="4" t="s">
        <v>51</v>
      </c>
      <c r="B51" s="4" t="b">
        <v>1</v>
      </c>
      <c r="C51" s="4" t="s">
        <v>52</v>
      </c>
    </row>
    <row r="52" spans="1:6" x14ac:dyDescent="0.25">
      <c r="A52" s="4" t="s">
        <v>53</v>
      </c>
      <c r="B52" s="4" t="b">
        <v>1</v>
      </c>
      <c r="C52" s="4" t="s">
        <v>54</v>
      </c>
    </row>
    <row r="54" spans="1:6" ht="15.75" x14ac:dyDescent="0.25">
      <c r="A54" s="5" t="s">
        <v>55</v>
      </c>
    </row>
    <row r="55" spans="1:6" x14ac:dyDescent="0.25">
      <c r="A55" s="3" t="s">
        <v>56</v>
      </c>
      <c r="B55" s="3" t="s">
        <v>57</v>
      </c>
      <c r="C55" s="3" t="s">
        <v>58</v>
      </c>
    </row>
    <row r="56" spans="1:6" x14ac:dyDescent="0.25">
      <c r="A56" s="4">
        <v>1</v>
      </c>
      <c r="B56" s="4" t="s">
        <v>59</v>
      </c>
      <c r="C56" s="4">
        <v>31</v>
      </c>
    </row>
    <row r="57" spans="1:6" x14ac:dyDescent="0.25">
      <c r="A57" s="4">
        <v>2</v>
      </c>
      <c r="B57" s="4" t="s">
        <v>60</v>
      </c>
      <c r="C57" s="4">
        <v>28</v>
      </c>
    </row>
    <row r="58" spans="1:6" x14ac:dyDescent="0.25">
      <c r="A58" s="4">
        <v>3</v>
      </c>
      <c r="B58" s="4" t="s">
        <v>61</v>
      </c>
      <c r="C58" s="4">
        <v>31</v>
      </c>
    </row>
    <row r="59" spans="1:6" x14ac:dyDescent="0.25">
      <c r="A59" s="4">
        <v>4</v>
      </c>
      <c r="B59" s="4" t="s">
        <v>62</v>
      </c>
      <c r="C59" s="4">
        <v>30</v>
      </c>
    </row>
    <row r="60" spans="1:6" x14ac:dyDescent="0.25">
      <c r="A60" s="4">
        <v>5</v>
      </c>
      <c r="B60" s="4" t="s">
        <v>63</v>
      </c>
      <c r="C60" s="4">
        <v>31</v>
      </c>
    </row>
    <row r="61" spans="1:6" x14ac:dyDescent="0.25">
      <c r="A61" s="4">
        <v>6</v>
      </c>
      <c r="B61" s="4" t="s">
        <v>64</v>
      </c>
      <c r="C61" s="4">
        <v>30</v>
      </c>
    </row>
    <row r="62" spans="1:6" x14ac:dyDescent="0.25">
      <c r="A62" s="4">
        <v>7</v>
      </c>
      <c r="B62" s="4" t="s">
        <v>65</v>
      </c>
      <c r="C62" s="4">
        <v>31</v>
      </c>
    </row>
    <row r="63" spans="1:6" x14ac:dyDescent="0.25">
      <c r="A63" s="4">
        <v>8</v>
      </c>
      <c r="B63" s="4" t="s">
        <v>66</v>
      </c>
      <c r="C63" s="4">
        <v>31</v>
      </c>
    </row>
    <row r="64" spans="1:6" x14ac:dyDescent="0.25">
      <c r="A64" s="4">
        <v>9</v>
      </c>
      <c r="B64" s="4" t="s">
        <v>67</v>
      </c>
      <c r="C64" s="4">
        <v>30</v>
      </c>
    </row>
    <row r="65" spans="1:3" x14ac:dyDescent="0.25">
      <c r="A65" s="4">
        <v>10</v>
      </c>
      <c r="B65" s="4" t="s">
        <v>68</v>
      </c>
      <c r="C65" s="4">
        <v>31</v>
      </c>
    </row>
    <row r="66" spans="1:3" x14ac:dyDescent="0.25">
      <c r="A66" s="4">
        <v>11</v>
      </c>
      <c r="B66" s="4" t="s">
        <v>69</v>
      </c>
      <c r="C66" s="4">
        <v>30</v>
      </c>
    </row>
    <row r="67" spans="1:3" x14ac:dyDescent="0.25">
      <c r="A67" s="4">
        <v>12</v>
      </c>
      <c r="B67" s="4" t="s">
        <v>70</v>
      </c>
      <c r="C67" s="4">
        <v>31</v>
      </c>
    </row>
  </sheetData>
  <mergeCells count="21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71</v>
      </c>
      <c r="B1" t="s">
        <v>72</v>
      </c>
      <c r="C1" t="s">
        <v>23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</row>
    <row r="2" spans="1:12" x14ac:dyDescent="0.25">
      <c r="A2" s="26">
        <v>46023</v>
      </c>
      <c r="B2">
        <v>1</v>
      </c>
      <c r="C2" t="s">
        <v>35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27">
        <v>46070.486284722225</v>
      </c>
    </row>
    <row r="3" spans="1:12" x14ac:dyDescent="0.25">
      <c r="A3" s="26">
        <v>46024</v>
      </c>
      <c r="B3">
        <v>1</v>
      </c>
      <c r="C3" t="s">
        <v>35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27">
        <v>46070.486296296294</v>
      </c>
    </row>
    <row r="4" spans="1:12" x14ac:dyDescent="0.25">
      <c r="A4" s="26">
        <v>46025</v>
      </c>
      <c r="B4">
        <v>1</v>
      </c>
      <c r="C4" t="s">
        <v>35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27">
        <v>46070.486307870371</v>
      </c>
    </row>
    <row r="5" spans="1:12" x14ac:dyDescent="0.25">
      <c r="A5" s="26">
        <v>46026</v>
      </c>
      <c r="B5">
        <v>1</v>
      </c>
      <c r="C5" t="s">
        <v>35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27">
        <v>46070.486307870371</v>
      </c>
    </row>
    <row r="6" spans="1:12" x14ac:dyDescent="0.25">
      <c r="A6" s="26">
        <v>46027</v>
      </c>
      <c r="B6">
        <v>1</v>
      </c>
      <c r="C6" t="s">
        <v>35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27">
        <v>46070.486319444448</v>
      </c>
    </row>
    <row r="7" spans="1:12" x14ac:dyDescent="0.25">
      <c r="A7" s="26">
        <v>46028</v>
      </c>
      <c r="B7">
        <v>1</v>
      </c>
      <c r="C7" t="s">
        <v>35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27">
        <v>46070.486319444448</v>
      </c>
    </row>
    <row r="8" spans="1:12" x14ac:dyDescent="0.25">
      <c r="A8" s="26">
        <v>46029</v>
      </c>
      <c r="B8">
        <v>1</v>
      </c>
      <c r="C8" t="s">
        <v>35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27">
        <v>46070.486331018517</v>
      </c>
    </row>
    <row r="9" spans="1:12" x14ac:dyDescent="0.25">
      <c r="A9" s="26">
        <v>46030</v>
      </c>
      <c r="B9">
        <v>1</v>
      </c>
      <c r="C9" t="s">
        <v>35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27">
        <v>46070.486342592594</v>
      </c>
    </row>
    <row r="10" spans="1:12" x14ac:dyDescent="0.25">
      <c r="A10" s="26">
        <v>46031</v>
      </c>
      <c r="B10">
        <v>1</v>
      </c>
      <c r="C10" t="s">
        <v>35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27">
        <v>46070.486342592594</v>
      </c>
    </row>
    <row r="11" spans="1:12" x14ac:dyDescent="0.25">
      <c r="A11" s="26">
        <v>46032</v>
      </c>
      <c r="B11">
        <v>1</v>
      </c>
      <c r="C11" t="s">
        <v>35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27">
        <v>46070.486354166664</v>
      </c>
    </row>
    <row r="12" spans="1:12" x14ac:dyDescent="0.25">
      <c r="A12" s="26">
        <v>46033</v>
      </c>
      <c r="B12">
        <v>1</v>
      </c>
      <c r="C12" t="s">
        <v>35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27">
        <v>46070.486354166664</v>
      </c>
    </row>
    <row r="13" spans="1:12" x14ac:dyDescent="0.25">
      <c r="A13" s="26">
        <v>46034</v>
      </c>
      <c r="B13">
        <v>1</v>
      </c>
      <c r="C13" t="s">
        <v>35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27">
        <v>46070.48636574074</v>
      </c>
    </row>
    <row r="14" spans="1:12" x14ac:dyDescent="0.25">
      <c r="A14" s="26">
        <v>46035</v>
      </c>
      <c r="B14">
        <v>1</v>
      </c>
      <c r="C14" t="s">
        <v>35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27">
        <v>46070.486377314817</v>
      </c>
    </row>
    <row r="15" spans="1:12" x14ac:dyDescent="0.25">
      <c r="A15" s="26">
        <v>46036</v>
      </c>
      <c r="B15">
        <v>1</v>
      </c>
      <c r="C15" t="s">
        <v>35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27">
        <v>46070.486388888887</v>
      </c>
    </row>
    <row r="16" spans="1:12" x14ac:dyDescent="0.25">
      <c r="A16" s="26">
        <v>46037</v>
      </c>
      <c r="B16">
        <v>1</v>
      </c>
      <c r="C16" t="s">
        <v>35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27">
        <v>46070.486388888887</v>
      </c>
    </row>
    <row r="17" spans="1:12" x14ac:dyDescent="0.25">
      <c r="A17" s="26">
        <v>46038</v>
      </c>
      <c r="B17">
        <v>1</v>
      </c>
      <c r="C17" t="s">
        <v>35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27">
        <v>46070.486400462964</v>
      </c>
    </row>
    <row r="18" spans="1:12" x14ac:dyDescent="0.25">
      <c r="A18" s="26">
        <v>46039</v>
      </c>
      <c r="B18">
        <v>1</v>
      </c>
      <c r="C18" t="s">
        <v>35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27">
        <v>46070.486400462964</v>
      </c>
    </row>
    <row r="19" spans="1:12" x14ac:dyDescent="0.25">
      <c r="A19" s="26">
        <v>46040</v>
      </c>
      <c r="B19">
        <v>1</v>
      </c>
      <c r="C19" t="s">
        <v>35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27">
        <v>46070.48641203704</v>
      </c>
    </row>
    <row r="20" spans="1:12" x14ac:dyDescent="0.25">
      <c r="A20" s="26">
        <v>46041</v>
      </c>
      <c r="B20">
        <v>1</v>
      </c>
      <c r="C20" t="s">
        <v>35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27">
        <v>46070.48642361111</v>
      </c>
    </row>
    <row r="21" spans="1:12" x14ac:dyDescent="0.25">
      <c r="A21" s="26">
        <v>46042</v>
      </c>
      <c r="B21">
        <v>1</v>
      </c>
      <c r="C21" t="s">
        <v>35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27">
        <v>46070.48642361111</v>
      </c>
    </row>
    <row r="22" spans="1:12" x14ac:dyDescent="0.25">
      <c r="A22" s="26">
        <v>46043</v>
      </c>
      <c r="B22">
        <v>1</v>
      </c>
      <c r="C22" t="s">
        <v>35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27">
        <v>46070.486435185187</v>
      </c>
    </row>
    <row r="23" spans="1:12" x14ac:dyDescent="0.25">
      <c r="A23" s="26">
        <v>46044</v>
      </c>
      <c r="B23">
        <v>1</v>
      </c>
      <c r="C23" t="s">
        <v>35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27">
        <v>46070.486446759256</v>
      </c>
    </row>
    <row r="24" spans="1:12" x14ac:dyDescent="0.25">
      <c r="A24" s="26">
        <v>46045</v>
      </c>
      <c r="B24">
        <v>1</v>
      </c>
      <c r="C24" t="s">
        <v>35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27">
        <v>46070.486446759256</v>
      </c>
    </row>
    <row r="25" spans="1:12" x14ac:dyDescent="0.25">
      <c r="A25" s="26">
        <v>46046</v>
      </c>
      <c r="B25">
        <v>1</v>
      </c>
      <c r="C25" t="s">
        <v>35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27">
        <v>46070.486458333333</v>
      </c>
    </row>
    <row r="26" spans="1:12" x14ac:dyDescent="0.25">
      <c r="A26" s="26">
        <v>46047</v>
      </c>
      <c r="B26">
        <v>1</v>
      </c>
      <c r="C26" t="s">
        <v>35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27">
        <v>46070.486458333333</v>
      </c>
    </row>
    <row r="27" spans="1:12" x14ac:dyDescent="0.25">
      <c r="A27" s="26">
        <v>46048</v>
      </c>
      <c r="B27">
        <v>1</v>
      </c>
      <c r="C27" t="s">
        <v>35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27">
        <v>46070.48646990741</v>
      </c>
    </row>
    <row r="28" spans="1:12" x14ac:dyDescent="0.25">
      <c r="A28" s="26">
        <v>46049</v>
      </c>
      <c r="B28">
        <v>1</v>
      </c>
      <c r="C28" t="s">
        <v>35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27">
        <v>46070.486481481479</v>
      </c>
    </row>
    <row r="29" spans="1:12" x14ac:dyDescent="0.25">
      <c r="A29" s="26">
        <v>46050</v>
      </c>
      <c r="B29">
        <v>1</v>
      </c>
      <c r="C29" t="s">
        <v>35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27">
        <v>46070.486481481479</v>
      </c>
    </row>
    <row r="30" spans="1:12" x14ac:dyDescent="0.25">
      <c r="A30" s="26">
        <v>46051</v>
      </c>
      <c r="B30">
        <v>1</v>
      </c>
      <c r="C30" t="s">
        <v>35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27">
        <v>46070.486493055556</v>
      </c>
    </row>
    <row r="31" spans="1:12" x14ac:dyDescent="0.25">
      <c r="A31" s="26">
        <v>46052</v>
      </c>
      <c r="B31">
        <v>1</v>
      </c>
      <c r="C31" t="s">
        <v>35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27">
        <v>46070.486493055556</v>
      </c>
    </row>
    <row r="32" spans="1:12" x14ac:dyDescent="0.25">
      <c r="A32" s="26">
        <v>46053</v>
      </c>
      <c r="B32">
        <v>1</v>
      </c>
      <c r="C32" t="s">
        <v>35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27">
        <v>46070.486504629633</v>
      </c>
    </row>
    <row r="33" spans="1:12" x14ac:dyDescent="0.25">
      <c r="A33" s="26">
        <v>46056</v>
      </c>
      <c r="B33">
        <v>2</v>
      </c>
      <c r="C33" t="s">
        <v>35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6</v>
      </c>
      <c r="K33">
        <v>8</v>
      </c>
      <c r="L33" s="27">
        <v>46070.486516203702</v>
      </c>
    </row>
    <row r="34" spans="1:12" x14ac:dyDescent="0.25">
      <c r="A34" s="26">
        <v>46023</v>
      </c>
      <c r="B34">
        <v>1</v>
      </c>
      <c r="C34" t="s">
        <v>37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9</v>
      </c>
      <c r="K34">
        <v>6</v>
      </c>
      <c r="L34" s="27">
        <v>46070.486516203702</v>
      </c>
    </row>
    <row r="35" spans="1:12" x14ac:dyDescent="0.25">
      <c r="A35" s="26">
        <v>46024</v>
      </c>
      <c r="B35">
        <v>1</v>
      </c>
      <c r="C35" t="s">
        <v>37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6</v>
      </c>
      <c r="K35">
        <v>9</v>
      </c>
      <c r="L35" s="27">
        <v>46070.486527777779</v>
      </c>
    </row>
    <row r="36" spans="1:12" x14ac:dyDescent="0.25">
      <c r="A36" s="26">
        <v>46025</v>
      </c>
      <c r="B36">
        <v>1</v>
      </c>
      <c r="C36" t="s">
        <v>37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9</v>
      </c>
      <c r="K36">
        <v>9</v>
      </c>
      <c r="L36" s="27">
        <v>46070.486539351848</v>
      </c>
    </row>
    <row r="37" spans="1:12" x14ac:dyDescent="0.25">
      <c r="A37" s="26">
        <v>46026</v>
      </c>
      <c r="B37">
        <v>1</v>
      </c>
      <c r="C37" t="s">
        <v>37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9</v>
      </c>
      <c r="K37">
        <v>15</v>
      </c>
      <c r="L37" s="27">
        <v>46070.486539351848</v>
      </c>
    </row>
    <row r="38" spans="1:12" x14ac:dyDescent="0.25">
      <c r="A38" s="26">
        <v>46027</v>
      </c>
      <c r="B38">
        <v>1</v>
      </c>
      <c r="C38" t="s">
        <v>37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15</v>
      </c>
      <c r="K38">
        <v>14</v>
      </c>
      <c r="L38" s="27">
        <v>46070.486550925925</v>
      </c>
    </row>
    <row r="39" spans="1:12" x14ac:dyDescent="0.25">
      <c r="A39" s="26">
        <v>46028</v>
      </c>
      <c r="B39">
        <v>1</v>
      </c>
      <c r="C39" t="s">
        <v>37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14</v>
      </c>
      <c r="K39">
        <v>12</v>
      </c>
      <c r="L39" s="27">
        <v>46070.486550925925</v>
      </c>
    </row>
    <row r="40" spans="1:12" x14ac:dyDescent="0.25">
      <c r="A40" s="26">
        <v>46029</v>
      </c>
      <c r="B40">
        <v>1</v>
      </c>
      <c r="C40" t="s">
        <v>37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12</v>
      </c>
      <c r="K40">
        <v>8</v>
      </c>
      <c r="L40" s="27">
        <v>46070.486562500002</v>
      </c>
    </row>
    <row r="41" spans="1:12" x14ac:dyDescent="0.25">
      <c r="A41" s="26">
        <v>46030</v>
      </c>
      <c r="B41">
        <v>1</v>
      </c>
      <c r="C41" t="s">
        <v>37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8</v>
      </c>
      <c r="K41">
        <v>12</v>
      </c>
      <c r="L41" s="27">
        <v>46070.486574074072</v>
      </c>
    </row>
    <row r="42" spans="1:12" x14ac:dyDescent="0.25">
      <c r="A42" s="26">
        <v>46031</v>
      </c>
      <c r="B42">
        <v>1</v>
      </c>
      <c r="C42" t="s">
        <v>37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12</v>
      </c>
      <c r="K42">
        <v>9</v>
      </c>
      <c r="L42" s="27">
        <v>46070.486574074072</v>
      </c>
    </row>
    <row r="43" spans="1:12" x14ac:dyDescent="0.25">
      <c r="A43" s="26">
        <v>46032</v>
      </c>
      <c r="B43">
        <v>1</v>
      </c>
      <c r="C43" t="s">
        <v>37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9</v>
      </c>
      <c r="K43">
        <v>10</v>
      </c>
      <c r="L43" s="27">
        <v>46070.486585648148</v>
      </c>
    </row>
    <row r="44" spans="1:12" x14ac:dyDescent="0.25">
      <c r="A44" s="26">
        <v>46033</v>
      </c>
      <c r="B44">
        <v>1</v>
      </c>
      <c r="C44" t="s">
        <v>37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10</v>
      </c>
      <c r="K44">
        <v>12</v>
      </c>
      <c r="L44" s="27">
        <v>46070.486585648148</v>
      </c>
    </row>
    <row r="45" spans="1:12" x14ac:dyDescent="0.25">
      <c r="A45" s="26">
        <v>46034</v>
      </c>
      <c r="B45">
        <v>1</v>
      </c>
      <c r="C45" t="s">
        <v>37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12</v>
      </c>
      <c r="K45">
        <v>15</v>
      </c>
      <c r="L45" s="27">
        <v>46070.486597222225</v>
      </c>
    </row>
    <row r="46" spans="1:12" x14ac:dyDescent="0.25">
      <c r="A46" s="26">
        <v>46035</v>
      </c>
      <c r="B46">
        <v>1</v>
      </c>
      <c r="C46" t="s">
        <v>37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15</v>
      </c>
      <c r="K46">
        <v>16</v>
      </c>
      <c r="L46" s="27">
        <v>46070.486608796295</v>
      </c>
    </row>
    <row r="47" spans="1:12" x14ac:dyDescent="0.25">
      <c r="A47" s="26">
        <v>46036</v>
      </c>
      <c r="B47">
        <v>1</v>
      </c>
      <c r="C47" t="s">
        <v>37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16</v>
      </c>
      <c r="K47">
        <v>17</v>
      </c>
      <c r="L47" s="27">
        <v>46070.486608796295</v>
      </c>
    </row>
    <row r="48" spans="1:12" x14ac:dyDescent="0.25">
      <c r="A48" s="26">
        <v>46037</v>
      </c>
      <c r="B48">
        <v>1</v>
      </c>
      <c r="C48" t="s">
        <v>37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17</v>
      </c>
      <c r="K48">
        <v>9</v>
      </c>
      <c r="L48" s="27">
        <v>46070.486620370371</v>
      </c>
    </row>
    <row r="49" spans="1:12" x14ac:dyDescent="0.25">
      <c r="A49" s="26">
        <v>46038</v>
      </c>
      <c r="B49">
        <v>1</v>
      </c>
      <c r="C49" t="s">
        <v>37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9</v>
      </c>
      <c r="K49">
        <v>10</v>
      </c>
      <c r="L49" s="27">
        <v>46070.486631944441</v>
      </c>
    </row>
    <row r="50" spans="1:12" x14ac:dyDescent="0.25">
      <c r="A50" s="26">
        <v>46039</v>
      </c>
      <c r="B50">
        <v>1</v>
      </c>
      <c r="C50" t="s">
        <v>37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10</v>
      </c>
      <c r="K50">
        <v>11</v>
      </c>
      <c r="L50" s="27">
        <v>46070.486631944441</v>
      </c>
    </row>
    <row r="51" spans="1:12" x14ac:dyDescent="0.25">
      <c r="A51" s="26">
        <v>46040</v>
      </c>
      <c r="B51">
        <v>1</v>
      </c>
      <c r="C51" t="s">
        <v>37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11</v>
      </c>
      <c r="K51">
        <v>10</v>
      </c>
      <c r="L51" s="27">
        <v>46070.486643518518</v>
      </c>
    </row>
    <row r="52" spans="1:12" x14ac:dyDescent="0.25">
      <c r="A52" s="26">
        <v>46041</v>
      </c>
      <c r="B52">
        <v>1</v>
      </c>
      <c r="C52" t="s">
        <v>37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10</v>
      </c>
      <c r="K52">
        <v>13</v>
      </c>
      <c r="L52" s="27">
        <v>46070.486643518518</v>
      </c>
    </row>
    <row r="53" spans="1:12" x14ac:dyDescent="0.25">
      <c r="A53" s="26">
        <v>46042</v>
      </c>
      <c r="B53">
        <v>1</v>
      </c>
      <c r="C53" t="s">
        <v>37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13</v>
      </c>
      <c r="K53">
        <v>16</v>
      </c>
      <c r="L53" s="27">
        <v>46070.486655092594</v>
      </c>
    </row>
    <row r="54" spans="1:12" x14ac:dyDescent="0.25">
      <c r="A54" s="26">
        <v>46043</v>
      </c>
      <c r="B54">
        <v>1</v>
      </c>
      <c r="C54" t="s">
        <v>37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16</v>
      </c>
      <c r="K54">
        <v>13</v>
      </c>
      <c r="L54" s="27">
        <v>46070.486666666664</v>
      </c>
    </row>
    <row r="55" spans="1:12" x14ac:dyDescent="0.25">
      <c r="A55" s="26">
        <v>46044</v>
      </c>
      <c r="B55">
        <v>1</v>
      </c>
      <c r="C55" t="s">
        <v>37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13</v>
      </c>
      <c r="K55">
        <v>13</v>
      </c>
      <c r="L55" s="27">
        <v>46070.486666666664</v>
      </c>
    </row>
    <row r="56" spans="1:12" x14ac:dyDescent="0.25">
      <c r="A56" s="26">
        <v>46045</v>
      </c>
      <c r="B56">
        <v>1</v>
      </c>
      <c r="C56" t="s">
        <v>37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13</v>
      </c>
      <c r="K56">
        <v>9</v>
      </c>
      <c r="L56" s="27">
        <v>46070.486678240741</v>
      </c>
    </row>
    <row r="57" spans="1:12" x14ac:dyDescent="0.25">
      <c r="A57" s="26">
        <v>46046</v>
      </c>
      <c r="B57">
        <v>1</v>
      </c>
      <c r="C57" t="s">
        <v>37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9</v>
      </c>
      <c r="K57">
        <v>7</v>
      </c>
      <c r="L57" s="27">
        <v>46070.486689814818</v>
      </c>
    </row>
    <row r="58" spans="1:12" x14ac:dyDescent="0.25">
      <c r="A58" s="26">
        <v>46047</v>
      </c>
      <c r="B58">
        <v>1</v>
      </c>
      <c r="C58" t="s">
        <v>37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7</v>
      </c>
      <c r="K58">
        <v>10</v>
      </c>
      <c r="L58" s="27">
        <v>46070.486689814818</v>
      </c>
    </row>
    <row r="59" spans="1:12" x14ac:dyDescent="0.25">
      <c r="A59" s="26">
        <v>46048</v>
      </c>
      <c r="B59">
        <v>1</v>
      </c>
      <c r="C59" t="s">
        <v>37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10</v>
      </c>
      <c r="K59">
        <v>8</v>
      </c>
      <c r="L59" s="27">
        <v>46070.486701388887</v>
      </c>
    </row>
    <row r="60" spans="1:12" x14ac:dyDescent="0.25">
      <c r="A60" s="26">
        <v>46049</v>
      </c>
      <c r="B60">
        <v>1</v>
      </c>
      <c r="C60" t="s">
        <v>37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8</v>
      </c>
      <c r="K60">
        <v>8</v>
      </c>
      <c r="L60" s="27">
        <v>46070.486701388887</v>
      </c>
    </row>
    <row r="61" spans="1:12" x14ac:dyDescent="0.25">
      <c r="A61" s="26">
        <v>46050</v>
      </c>
      <c r="B61">
        <v>1</v>
      </c>
      <c r="C61" t="s">
        <v>37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8</v>
      </c>
      <c r="K61">
        <v>9</v>
      </c>
      <c r="L61" s="27">
        <v>46070.486712962964</v>
      </c>
    </row>
    <row r="62" spans="1:12" x14ac:dyDescent="0.25">
      <c r="A62" s="26">
        <v>46051</v>
      </c>
      <c r="B62">
        <v>1</v>
      </c>
      <c r="C62" t="s">
        <v>37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9</v>
      </c>
      <c r="K62">
        <v>11</v>
      </c>
      <c r="L62" s="27">
        <v>46070.486724537041</v>
      </c>
    </row>
    <row r="63" spans="1:12" x14ac:dyDescent="0.25">
      <c r="A63" s="26">
        <v>46052</v>
      </c>
      <c r="B63">
        <v>1</v>
      </c>
      <c r="C63" t="s">
        <v>37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11</v>
      </c>
      <c r="K63">
        <v>9</v>
      </c>
      <c r="L63" s="27">
        <v>46070.486724537041</v>
      </c>
    </row>
    <row r="64" spans="1:12" x14ac:dyDescent="0.25">
      <c r="A64" s="26">
        <v>46053</v>
      </c>
      <c r="B64">
        <v>1</v>
      </c>
      <c r="C64" t="s">
        <v>37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9</v>
      </c>
      <c r="K64">
        <v>12</v>
      </c>
      <c r="L64" s="27">
        <v>46070.48673611111</v>
      </c>
    </row>
    <row r="65" spans="1:12" x14ac:dyDescent="0.25">
      <c r="A65" s="26">
        <v>46054</v>
      </c>
      <c r="B65">
        <v>2</v>
      </c>
      <c r="C65" t="s">
        <v>37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12</v>
      </c>
      <c r="K65">
        <v>12</v>
      </c>
      <c r="L65" s="27">
        <v>46070.486747685187</v>
      </c>
    </row>
    <row r="66" spans="1:12" x14ac:dyDescent="0.25">
      <c r="A66" s="26">
        <v>46023</v>
      </c>
      <c r="B66">
        <v>1</v>
      </c>
      <c r="C66" t="s">
        <v>39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12</v>
      </c>
      <c r="K66">
        <v>14</v>
      </c>
      <c r="L66" s="27">
        <v>46070.486747685187</v>
      </c>
    </row>
    <row r="67" spans="1:12" x14ac:dyDescent="0.25">
      <c r="A67" s="26">
        <v>46024</v>
      </c>
      <c r="B67">
        <v>1</v>
      </c>
      <c r="C67" t="s">
        <v>39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14</v>
      </c>
      <c r="K67">
        <v>13</v>
      </c>
      <c r="L67" s="27">
        <v>46070.486759259256</v>
      </c>
    </row>
    <row r="68" spans="1:12" x14ac:dyDescent="0.25">
      <c r="A68" s="26">
        <v>46025</v>
      </c>
      <c r="B68">
        <v>1</v>
      </c>
      <c r="C68" t="s">
        <v>39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13</v>
      </c>
      <c r="K68">
        <v>14</v>
      </c>
      <c r="L68" s="27">
        <v>46070.486759259256</v>
      </c>
    </row>
    <row r="69" spans="1:12" x14ac:dyDescent="0.25">
      <c r="A69" s="26">
        <v>46026</v>
      </c>
      <c r="B69">
        <v>1</v>
      </c>
      <c r="C69" t="s">
        <v>39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14</v>
      </c>
      <c r="K69">
        <v>10</v>
      </c>
      <c r="L69" s="27">
        <v>46070.486770833333</v>
      </c>
    </row>
    <row r="70" spans="1:12" x14ac:dyDescent="0.25">
      <c r="A70" s="26">
        <v>46027</v>
      </c>
      <c r="B70">
        <v>1</v>
      </c>
      <c r="C70" t="s">
        <v>39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10</v>
      </c>
      <c r="K70">
        <v>14</v>
      </c>
      <c r="L70" s="27">
        <v>46070.48678240741</v>
      </c>
    </row>
    <row r="71" spans="1:12" x14ac:dyDescent="0.25">
      <c r="A71" s="26">
        <v>46028</v>
      </c>
      <c r="B71">
        <v>1</v>
      </c>
      <c r="C71" t="s">
        <v>39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14</v>
      </c>
      <c r="K71">
        <v>18</v>
      </c>
      <c r="L71" s="27">
        <v>46070.48678240741</v>
      </c>
    </row>
    <row r="72" spans="1:12" x14ac:dyDescent="0.25">
      <c r="A72" s="26">
        <v>46029</v>
      </c>
      <c r="B72">
        <v>1</v>
      </c>
      <c r="C72" t="s">
        <v>39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18</v>
      </c>
      <c r="K72">
        <v>20</v>
      </c>
      <c r="L72" s="27">
        <v>46070.486793981479</v>
      </c>
    </row>
    <row r="73" spans="1:12" x14ac:dyDescent="0.25">
      <c r="A73" s="26">
        <v>46030</v>
      </c>
      <c r="B73">
        <v>1</v>
      </c>
      <c r="C73" t="s">
        <v>39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20</v>
      </c>
      <c r="K73">
        <v>19</v>
      </c>
      <c r="L73" s="27">
        <v>46070.486793981479</v>
      </c>
    </row>
    <row r="74" spans="1:12" x14ac:dyDescent="0.25">
      <c r="A74" s="26">
        <v>46031</v>
      </c>
      <c r="B74">
        <v>1</v>
      </c>
      <c r="C74" t="s">
        <v>39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19</v>
      </c>
      <c r="K74">
        <v>18</v>
      </c>
      <c r="L74" s="27">
        <v>46070.486805555556</v>
      </c>
    </row>
    <row r="75" spans="1:12" x14ac:dyDescent="0.25">
      <c r="A75" s="26">
        <v>46032</v>
      </c>
      <c r="B75">
        <v>1</v>
      </c>
      <c r="C75" t="s">
        <v>39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18</v>
      </c>
      <c r="K75">
        <v>20</v>
      </c>
      <c r="L75" s="27">
        <v>46070.486817129633</v>
      </c>
    </row>
    <row r="76" spans="1:12" x14ac:dyDescent="0.25">
      <c r="A76" s="26">
        <v>46033</v>
      </c>
      <c r="B76">
        <v>1</v>
      </c>
      <c r="C76" t="s">
        <v>39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20</v>
      </c>
      <c r="K76">
        <v>18</v>
      </c>
      <c r="L76" s="27">
        <v>46070.486817129633</v>
      </c>
    </row>
    <row r="77" spans="1:12" x14ac:dyDescent="0.25">
      <c r="A77" s="26">
        <v>46034</v>
      </c>
      <c r="B77">
        <v>1</v>
      </c>
      <c r="C77" t="s">
        <v>39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18</v>
      </c>
      <c r="K77">
        <v>19</v>
      </c>
      <c r="L77" s="27">
        <v>46070.486828703702</v>
      </c>
    </row>
    <row r="78" spans="1:12" x14ac:dyDescent="0.25">
      <c r="A78" s="26">
        <v>46035</v>
      </c>
      <c r="B78">
        <v>1</v>
      </c>
      <c r="C78" t="s">
        <v>39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19</v>
      </c>
      <c r="K78">
        <v>17</v>
      </c>
      <c r="L78" s="27">
        <v>46070.486828703702</v>
      </c>
    </row>
    <row r="79" spans="1:12" x14ac:dyDescent="0.25">
      <c r="A79" s="26">
        <v>46036</v>
      </c>
      <c r="B79">
        <v>1</v>
      </c>
      <c r="C79" t="s">
        <v>39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17</v>
      </c>
      <c r="K79">
        <v>11</v>
      </c>
      <c r="L79" s="27">
        <v>46070.486840277779</v>
      </c>
    </row>
    <row r="80" spans="1:12" x14ac:dyDescent="0.25">
      <c r="A80" s="26">
        <v>46037</v>
      </c>
      <c r="B80">
        <v>1</v>
      </c>
      <c r="C80" t="s">
        <v>39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11</v>
      </c>
      <c r="K80">
        <v>11</v>
      </c>
      <c r="L80" s="27">
        <v>46070.486851851849</v>
      </c>
    </row>
    <row r="81" spans="1:12" x14ac:dyDescent="0.25">
      <c r="A81" s="26">
        <v>46038</v>
      </c>
      <c r="B81">
        <v>1</v>
      </c>
      <c r="C81" t="s">
        <v>39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11</v>
      </c>
      <c r="K81">
        <v>11</v>
      </c>
      <c r="L81" s="27">
        <v>46070.486851851849</v>
      </c>
    </row>
    <row r="82" spans="1:12" x14ac:dyDescent="0.25">
      <c r="A82" s="26">
        <v>46039</v>
      </c>
      <c r="B82">
        <v>1</v>
      </c>
      <c r="C82" t="s">
        <v>39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11</v>
      </c>
      <c r="K82">
        <v>8</v>
      </c>
      <c r="L82" s="27">
        <v>46070.486863425926</v>
      </c>
    </row>
    <row r="83" spans="1:12" x14ac:dyDescent="0.25">
      <c r="A83" s="26">
        <v>46040</v>
      </c>
      <c r="B83">
        <v>1</v>
      </c>
      <c r="C83" t="s">
        <v>39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8</v>
      </c>
      <c r="K83">
        <v>8</v>
      </c>
      <c r="L83" s="27">
        <v>46070.486875000002</v>
      </c>
    </row>
    <row r="84" spans="1:12" x14ac:dyDescent="0.25">
      <c r="A84" s="26">
        <v>46041</v>
      </c>
      <c r="B84">
        <v>1</v>
      </c>
      <c r="C84" t="s">
        <v>39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8</v>
      </c>
      <c r="K84">
        <v>8</v>
      </c>
      <c r="L84" s="27">
        <v>46070.486875000002</v>
      </c>
    </row>
    <row r="85" spans="1:12" x14ac:dyDescent="0.25">
      <c r="A85" s="26">
        <v>46042</v>
      </c>
      <c r="B85">
        <v>1</v>
      </c>
      <c r="C85" t="s">
        <v>39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8</v>
      </c>
      <c r="K85">
        <v>7</v>
      </c>
      <c r="L85" s="27">
        <v>46070.486886574072</v>
      </c>
    </row>
    <row r="86" spans="1:12" x14ac:dyDescent="0.25">
      <c r="A86" s="26">
        <v>46043</v>
      </c>
      <c r="B86">
        <v>1</v>
      </c>
      <c r="C86" t="s">
        <v>39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7</v>
      </c>
      <c r="K86">
        <v>5</v>
      </c>
      <c r="L86" s="27">
        <v>46070.486886574072</v>
      </c>
    </row>
    <row r="87" spans="1:12" x14ac:dyDescent="0.25">
      <c r="A87" s="26">
        <v>46044</v>
      </c>
      <c r="B87">
        <v>1</v>
      </c>
      <c r="C87" t="s">
        <v>39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5</v>
      </c>
      <c r="K87">
        <v>6</v>
      </c>
      <c r="L87" s="27">
        <v>46070.486898148149</v>
      </c>
    </row>
    <row r="88" spans="1:12" x14ac:dyDescent="0.25">
      <c r="A88" s="26">
        <v>46045</v>
      </c>
      <c r="B88">
        <v>1</v>
      </c>
      <c r="C88" t="s">
        <v>39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6</v>
      </c>
      <c r="K88">
        <v>6</v>
      </c>
      <c r="L88" s="27">
        <v>46070.486909722225</v>
      </c>
    </row>
    <row r="89" spans="1:12" x14ac:dyDescent="0.25">
      <c r="A89" s="26">
        <v>46046</v>
      </c>
      <c r="B89">
        <v>1</v>
      </c>
      <c r="C89" t="s">
        <v>39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6</v>
      </c>
      <c r="K89">
        <v>6</v>
      </c>
      <c r="L89" s="27">
        <v>46070.486909722225</v>
      </c>
    </row>
    <row r="90" spans="1:12" x14ac:dyDescent="0.25">
      <c r="A90" s="26">
        <v>46047</v>
      </c>
      <c r="B90">
        <v>1</v>
      </c>
      <c r="C90" t="s">
        <v>39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6</v>
      </c>
      <c r="K90">
        <v>3</v>
      </c>
      <c r="L90" s="27">
        <v>46070.486921296295</v>
      </c>
    </row>
    <row r="91" spans="1:12" x14ac:dyDescent="0.25">
      <c r="A91" s="26">
        <v>46048</v>
      </c>
      <c r="B91">
        <v>1</v>
      </c>
      <c r="C91" t="s">
        <v>39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6</v>
      </c>
      <c r="L91" s="27">
        <v>46070.486932870372</v>
      </c>
    </row>
    <row r="92" spans="1:12" x14ac:dyDescent="0.25">
      <c r="A92" s="26">
        <v>46049</v>
      </c>
      <c r="B92">
        <v>1</v>
      </c>
      <c r="C92" t="s">
        <v>39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6</v>
      </c>
      <c r="K92">
        <v>10</v>
      </c>
      <c r="L92" s="27">
        <v>46070.486932870372</v>
      </c>
    </row>
    <row r="93" spans="1:12" x14ac:dyDescent="0.25">
      <c r="A93" s="26">
        <v>46050</v>
      </c>
      <c r="B93">
        <v>1</v>
      </c>
      <c r="C93" t="s">
        <v>39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10</v>
      </c>
      <c r="K93">
        <v>14</v>
      </c>
      <c r="L93" s="27">
        <v>46070.486944444441</v>
      </c>
    </row>
    <row r="94" spans="1:12" x14ac:dyDescent="0.25">
      <c r="A94" s="26">
        <v>46051</v>
      </c>
      <c r="B94">
        <v>1</v>
      </c>
      <c r="C94" t="s">
        <v>39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14</v>
      </c>
      <c r="K94">
        <v>13</v>
      </c>
      <c r="L94" s="27">
        <v>46070.486944444441</v>
      </c>
    </row>
    <row r="95" spans="1:12" x14ac:dyDescent="0.25">
      <c r="A95" s="26">
        <v>46052</v>
      </c>
      <c r="B95">
        <v>1</v>
      </c>
      <c r="C95" t="s">
        <v>39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13</v>
      </c>
      <c r="K95">
        <v>15</v>
      </c>
      <c r="L95" s="27">
        <v>46070.486956018518</v>
      </c>
    </row>
    <row r="96" spans="1:12" x14ac:dyDescent="0.25">
      <c r="A96" s="26">
        <v>46053</v>
      </c>
      <c r="B96">
        <v>1</v>
      </c>
      <c r="C96" t="s">
        <v>39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15</v>
      </c>
      <c r="K96">
        <v>7</v>
      </c>
      <c r="L96" s="27">
        <v>46070.486967592595</v>
      </c>
    </row>
    <row r="97" spans="1:12" x14ac:dyDescent="0.25">
      <c r="A97" s="26">
        <v>46054</v>
      </c>
      <c r="B97">
        <v>2</v>
      </c>
      <c r="C97" t="s">
        <v>39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</v>
      </c>
      <c r="K97">
        <v>7</v>
      </c>
      <c r="L97" s="27">
        <v>46070.486967592595</v>
      </c>
    </row>
    <row r="98" spans="1:12" x14ac:dyDescent="0.25">
      <c r="A98" s="26">
        <v>46023</v>
      </c>
      <c r="B98">
        <v>1</v>
      </c>
      <c r="C98" t="s">
        <v>33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7</v>
      </c>
      <c r="K98">
        <v>5</v>
      </c>
      <c r="L98" s="27">
        <v>46070.486979166664</v>
      </c>
    </row>
    <row r="99" spans="1:12" x14ac:dyDescent="0.25">
      <c r="A99" s="26">
        <v>46024</v>
      </c>
      <c r="B99">
        <v>1</v>
      </c>
      <c r="C99" t="s">
        <v>33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5</v>
      </c>
      <c r="K99">
        <v>5</v>
      </c>
      <c r="L99" s="27">
        <v>46070.486979166664</v>
      </c>
    </row>
    <row r="100" spans="1:12" x14ac:dyDescent="0.25">
      <c r="A100" s="26">
        <v>46025</v>
      </c>
      <c r="B100">
        <v>1</v>
      </c>
      <c r="C100" t="s">
        <v>33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</v>
      </c>
      <c r="K100">
        <v>8</v>
      </c>
      <c r="L100" s="27">
        <v>46070.486990740741</v>
      </c>
    </row>
    <row r="101" spans="1:12" x14ac:dyDescent="0.25">
      <c r="A101" s="26">
        <v>46026</v>
      </c>
      <c r="B101">
        <v>1</v>
      </c>
      <c r="C101" t="s">
        <v>33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</v>
      </c>
      <c r="K101">
        <v>10</v>
      </c>
      <c r="L101" s="27">
        <v>46070.487002314818</v>
      </c>
    </row>
    <row r="102" spans="1:12" x14ac:dyDescent="0.25">
      <c r="A102" s="26">
        <v>46027</v>
      </c>
      <c r="B102">
        <v>1</v>
      </c>
      <c r="C102" t="s">
        <v>33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10</v>
      </c>
      <c r="K102">
        <v>10</v>
      </c>
      <c r="L102" s="27">
        <v>46070.487002314818</v>
      </c>
    </row>
    <row r="103" spans="1:12" x14ac:dyDescent="0.25">
      <c r="A103" s="26">
        <v>46028</v>
      </c>
      <c r="B103">
        <v>1</v>
      </c>
      <c r="C103" t="s">
        <v>33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10</v>
      </c>
      <c r="K103">
        <v>9</v>
      </c>
      <c r="L103" s="27">
        <v>46070.487013888887</v>
      </c>
    </row>
    <row r="104" spans="1:12" x14ac:dyDescent="0.25">
      <c r="A104" s="26">
        <v>46029</v>
      </c>
      <c r="B104">
        <v>1</v>
      </c>
      <c r="C104" t="s">
        <v>33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27">
        <v>46070.487025462964</v>
      </c>
    </row>
    <row r="105" spans="1:12" x14ac:dyDescent="0.25">
      <c r="A105" s="26">
        <v>46030</v>
      </c>
      <c r="B105">
        <v>1</v>
      </c>
      <c r="C105" t="s">
        <v>33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7</v>
      </c>
      <c r="L105" s="27">
        <v>46070.487025462964</v>
      </c>
    </row>
    <row r="106" spans="1:12" x14ac:dyDescent="0.25">
      <c r="A106" s="26">
        <v>46031</v>
      </c>
      <c r="B106">
        <v>1</v>
      </c>
      <c r="C106" t="s">
        <v>33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</v>
      </c>
      <c r="K106">
        <v>9</v>
      </c>
      <c r="L106" s="27">
        <v>46070.487037037034</v>
      </c>
    </row>
    <row r="107" spans="1:12" x14ac:dyDescent="0.25">
      <c r="A107" s="26">
        <v>46032</v>
      </c>
      <c r="B107">
        <v>1</v>
      </c>
      <c r="C107" t="s">
        <v>33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9</v>
      </c>
      <c r="K107">
        <v>9</v>
      </c>
      <c r="L107" s="27">
        <v>46070.487037037034</v>
      </c>
    </row>
    <row r="108" spans="1:12" x14ac:dyDescent="0.25">
      <c r="A108" s="26">
        <v>46033</v>
      </c>
      <c r="B108">
        <v>1</v>
      </c>
      <c r="C108" t="s">
        <v>33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9</v>
      </c>
      <c r="K108">
        <v>12</v>
      </c>
      <c r="L108" s="27">
        <v>46070.48704861111</v>
      </c>
    </row>
    <row r="109" spans="1:12" x14ac:dyDescent="0.25">
      <c r="A109" s="26">
        <v>46034</v>
      </c>
      <c r="B109">
        <v>1</v>
      </c>
      <c r="C109" t="s">
        <v>33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12</v>
      </c>
      <c r="K109">
        <v>12</v>
      </c>
      <c r="L109" s="27">
        <v>46070.487060185187</v>
      </c>
    </row>
    <row r="110" spans="1:12" x14ac:dyDescent="0.25">
      <c r="A110" s="26">
        <v>46035</v>
      </c>
      <c r="B110">
        <v>1</v>
      </c>
      <c r="C110" t="s">
        <v>33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12</v>
      </c>
      <c r="L110" s="27">
        <v>46070.487060185187</v>
      </c>
    </row>
    <row r="111" spans="1:12" x14ac:dyDescent="0.25">
      <c r="A111" s="26">
        <v>46036</v>
      </c>
      <c r="B111">
        <v>1</v>
      </c>
      <c r="C111" t="s">
        <v>33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12</v>
      </c>
      <c r="K111">
        <v>17</v>
      </c>
      <c r="L111" s="27">
        <v>46070.487071759257</v>
      </c>
    </row>
    <row r="112" spans="1:12" x14ac:dyDescent="0.25">
      <c r="A112" s="26">
        <v>46037</v>
      </c>
      <c r="B112">
        <v>1</v>
      </c>
      <c r="C112" t="s">
        <v>33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16</v>
      </c>
      <c r="L112" s="27">
        <v>46070.487071759257</v>
      </c>
    </row>
    <row r="113" spans="1:12" x14ac:dyDescent="0.25">
      <c r="A113" s="26">
        <v>46038</v>
      </c>
      <c r="B113">
        <v>1</v>
      </c>
      <c r="C113" t="s">
        <v>33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16</v>
      </c>
      <c r="K113">
        <v>16</v>
      </c>
      <c r="L113" s="27">
        <v>46070.487083333333</v>
      </c>
    </row>
    <row r="114" spans="1:12" x14ac:dyDescent="0.25">
      <c r="A114" s="26">
        <v>46039</v>
      </c>
      <c r="B114">
        <v>1</v>
      </c>
      <c r="C114" t="s">
        <v>33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16</v>
      </c>
      <c r="K114">
        <v>17</v>
      </c>
      <c r="L114" s="27">
        <v>46070.48709490741</v>
      </c>
    </row>
    <row r="115" spans="1:12" x14ac:dyDescent="0.25">
      <c r="A115" s="26">
        <v>46040</v>
      </c>
      <c r="B115">
        <v>1</v>
      </c>
      <c r="C115" t="s">
        <v>33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17</v>
      </c>
      <c r="K115">
        <v>19</v>
      </c>
      <c r="L115" s="27">
        <v>46070.48709490741</v>
      </c>
    </row>
    <row r="116" spans="1:12" x14ac:dyDescent="0.25">
      <c r="A116" s="26">
        <v>46041</v>
      </c>
      <c r="B116">
        <v>1</v>
      </c>
      <c r="C116" t="s">
        <v>33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19</v>
      </c>
      <c r="K116">
        <v>9</v>
      </c>
      <c r="L116" s="27">
        <v>46070.48710648148</v>
      </c>
    </row>
    <row r="117" spans="1:12" x14ac:dyDescent="0.25">
      <c r="A117" s="26">
        <v>46042</v>
      </c>
      <c r="B117">
        <v>1</v>
      </c>
      <c r="C117" t="s">
        <v>33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6</v>
      </c>
      <c r="L117" s="27">
        <v>46070.487118055556</v>
      </c>
    </row>
    <row r="118" spans="1:12" x14ac:dyDescent="0.25">
      <c r="A118" s="26">
        <v>46043</v>
      </c>
      <c r="B118">
        <v>1</v>
      </c>
      <c r="C118" t="s">
        <v>33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6</v>
      </c>
      <c r="K118">
        <v>6</v>
      </c>
      <c r="L118" s="27">
        <v>46070.487118055556</v>
      </c>
    </row>
    <row r="119" spans="1:12" x14ac:dyDescent="0.25">
      <c r="A119" s="26">
        <v>46044</v>
      </c>
      <c r="B119">
        <v>1</v>
      </c>
      <c r="C119" t="s">
        <v>33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9</v>
      </c>
      <c r="L119" s="27">
        <v>46070.487129629626</v>
      </c>
    </row>
    <row r="120" spans="1:12" x14ac:dyDescent="0.25">
      <c r="A120" s="26">
        <v>46045</v>
      </c>
      <c r="B120">
        <v>1</v>
      </c>
      <c r="C120" t="s">
        <v>33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9</v>
      </c>
      <c r="K120">
        <v>5</v>
      </c>
      <c r="L120" s="27">
        <v>46070.487129629626</v>
      </c>
    </row>
    <row r="121" spans="1:12" x14ac:dyDescent="0.25">
      <c r="A121" s="26">
        <v>46046</v>
      </c>
      <c r="B121">
        <v>1</v>
      </c>
      <c r="C121" t="s">
        <v>33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6</v>
      </c>
      <c r="L121" s="27">
        <v>46070.487141203703</v>
      </c>
    </row>
    <row r="122" spans="1:12" x14ac:dyDescent="0.25">
      <c r="A122" s="26">
        <v>46047</v>
      </c>
      <c r="B122">
        <v>1</v>
      </c>
      <c r="C122" t="s">
        <v>33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27">
        <v>46070.48715277778</v>
      </c>
    </row>
    <row r="123" spans="1:12" x14ac:dyDescent="0.25">
      <c r="A123" s="26">
        <v>46048</v>
      </c>
      <c r="B123">
        <v>1</v>
      </c>
      <c r="C123" t="s">
        <v>33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7</v>
      </c>
      <c r="K123">
        <v>7</v>
      </c>
      <c r="L123" s="27">
        <v>46070.48715277778</v>
      </c>
    </row>
    <row r="124" spans="1:12" x14ac:dyDescent="0.25">
      <c r="A124" s="26">
        <v>46049</v>
      </c>
      <c r="B124">
        <v>1</v>
      </c>
      <c r="C124" t="s">
        <v>33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7</v>
      </c>
      <c r="K124">
        <v>6</v>
      </c>
      <c r="L124" s="27">
        <v>46070.487164351849</v>
      </c>
    </row>
    <row r="125" spans="1:12" x14ac:dyDescent="0.25">
      <c r="A125" s="26">
        <v>46050</v>
      </c>
      <c r="B125">
        <v>1</v>
      </c>
      <c r="C125" t="s">
        <v>33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7</v>
      </c>
      <c r="L125" s="27">
        <v>46070.487164351849</v>
      </c>
    </row>
    <row r="126" spans="1:12" x14ac:dyDescent="0.25">
      <c r="A126" s="26">
        <v>46051</v>
      </c>
      <c r="B126">
        <v>1</v>
      </c>
      <c r="C126" t="s">
        <v>33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7</v>
      </c>
      <c r="K126">
        <v>7</v>
      </c>
      <c r="L126" s="27">
        <v>46070.487175925926</v>
      </c>
    </row>
    <row r="127" spans="1:12" x14ac:dyDescent="0.25">
      <c r="A127" s="26">
        <v>46052</v>
      </c>
      <c r="B127">
        <v>1</v>
      </c>
      <c r="C127" t="s">
        <v>33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7</v>
      </c>
      <c r="K127">
        <v>8</v>
      </c>
      <c r="L127" s="27">
        <v>46070.487187500003</v>
      </c>
    </row>
    <row r="128" spans="1:12" x14ac:dyDescent="0.25">
      <c r="A128" s="26">
        <v>46053</v>
      </c>
      <c r="B128">
        <v>1</v>
      </c>
      <c r="C128" t="s">
        <v>33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8</v>
      </c>
      <c r="K128">
        <v>12</v>
      </c>
      <c r="L128" s="27">
        <v>46070.487187500003</v>
      </c>
    </row>
    <row r="129" spans="1:12" x14ac:dyDescent="0.25">
      <c r="A129" s="26">
        <v>46054</v>
      </c>
      <c r="B129">
        <v>2</v>
      </c>
      <c r="C129" t="s">
        <v>33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12</v>
      </c>
      <c r="K129">
        <v>12</v>
      </c>
      <c r="L129" s="27">
        <v>46070.487199074072</v>
      </c>
    </row>
    <row r="130" spans="1:12" x14ac:dyDescent="0.25">
      <c r="A130" s="26">
        <v>46023</v>
      </c>
      <c r="B130">
        <v>1</v>
      </c>
      <c r="C130" t="s">
        <v>45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 s="27">
        <v>46070.487199074072</v>
      </c>
    </row>
    <row r="131" spans="1:12" x14ac:dyDescent="0.25">
      <c r="A131" s="26">
        <v>46024</v>
      </c>
      <c r="B131">
        <v>1</v>
      </c>
      <c r="C131" t="s">
        <v>45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 s="27">
        <v>46070.487210648149</v>
      </c>
    </row>
    <row r="132" spans="1:12" x14ac:dyDescent="0.25">
      <c r="A132" s="26">
        <v>46025</v>
      </c>
      <c r="B132">
        <v>1</v>
      </c>
      <c r="C132" t="s">
        <v>45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 s="27">
        <v>46070.487222222226</v>
      </c>
    </row>
    <row r="133" spans="1:12" x14ac:dyDescent="0.25">
      <c r="A133" s="26">
        <v>46027</v>
      </c>
      <c r="B133">
        <v>1</v>
      </c>
      <c r="C133" t="s">
        <v>45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0</v>
      </c>
      <c r="K133">
        <v>1</v>
      </c>
      <c r="L133" s="27">
        <v>46070.487222222226</v>
      </c>
    </row>
    <row r="134" spans="1:12" x14ac:dyDescent="0.25">
      <c r="A134" s="26">
        <v>46028</v>
      </c>
      <c r="B134">
        <v>1</v>
      </c>
      <c r="C134" t="s">
        <v>45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2</v>
      </c>
      <c r="L134" s="27">
        <v>46070.487233796295</v>
      </c>
    </row>
    <row r="135" spans="1:12" x14ac:dyDescent="0.25">
      <c r="A135" s="26">
        <v>46029</v>
      </c>
      <c r="B135">
        <v>1</v>
      </c>
      <c r="C135" t="s">
        <v>45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2</v>
      </c>
      <c r="K135">
        <v>2</v>
      </c>
      <c r="L135" s="27">
        <v>46070.487233796295</v>
      </c>
    </row>
    <row r="136" spans="1:12" x14ac:dyDescent="0.25">
      <c r="A136" s="26">
        <v>46030</v>
      </c>
      <c r="B136">
        <v>1</v>
      </c>
      <c r="C136" t="s">
        <v>45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2</v>
      </c>
      <c r="K136">
        <v>0</v>
      </c>
      <c r="L136" s="27">
        <v>46070.487245370372</v>
      </c>
    </row>
    <row r="137" spans="1:12" x14ac:dyDescent="0.25">
      <c r="A137" s="26">
        <v>46031</v>
      </c>
      <c r="B137">
        <v>1</v>
      </c>
      <c r="C137" t="s">
        <v>45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27">
        <v>46070.487256944441</v>
      </c>
    </row>
    <row r="138" spans="1:12" x14ac:dyDescent="0.25">
      <c r="A138" s="26">
        <v>46032</v>
      </c>
      <c r="B138">
        <v>1</v>
      </c>
      <c r="C138" t="s">
        <v>45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4</v>
      </c>
      <c r="L138" s="27">
        <v>46070.487256944441</v>
      </c>
    </row>
    <row r="139" spans="1:12" x14ac:dyDescent="0.25">
      <c r="A139" s="26">
        <v>46033</v>
      </c>
      <c r="B139">
        <v>1</v>
      </c>
      <c r="C139" t="s">
        <v>45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4</v>
      </c>
      <c r="K139">
        <v>2</v>
      </c>
      <c r="L139" s="27">
        <v>46070.487268518518</v>
      </c>
    </row>
    <row r="140" spans="1:12" x14ac:dyDescent="0.25">
      <c r="A140" s="26">
        <v>46034</v>
      </c>
      <c r="B140">
        <v>1</v>
      </c>
      <c r="C140" t="s">
        <v>45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 s="27">
        <v>46070.487280092595</v>
      </c>
    </row>
    <row r="141" spans="1:12" x14ac:dyDescent="0.25">
      <c r="A141" s="26">
        <v>46035</v>
      </c>
      <c r="B141">
        <v>1</v>
      </c>
      <c r="C141" t="s">
        <v>45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 s="27">
        <v>46070.487280092595</v>
      </c>
    </row>
    <row r="142" spans="1:12" x14ac:dyDescent="0.25">
      <c r="A142" s="26">
        <v>46036</v>
      </c>
      <c r="B142">
        <v>1</v>
      </c>
      <c r="C142" t="s">
        <v>45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2</v>
      </c>
      <c r="L142" s="27">
        <v>46070.487291666665</v>
      </c>
    </row>
    <row r="143" spans="1:12" x14ac:dyDescent="0.25">
      <c r="A143" s="26">
        <v>46037</v>
      </c>
      <c r="B143">
        <v>1</v>
      </c>
      <c r="C143" t="s">
        <v>45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2</v>
      </c>
      <c r="K143">
        <v>1</v>
      </c>
      <c r="L143" s="27">
        <v>46070.487291666665</v>
      </c>
    </row>
    <row r="144" spans="1:12" x14ac:dyDescent="0.25">
      <c r="A144" s="26">
        <v>46038</v>
      </c>
      <c r="B144">
        <v>1</v>
      </c>
      <c r="C144" t="s">
        <v>45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1</v>
      </c>
      <c r="K144">
        <v>0</v>
      </c>
      <c r="L144" s="27">
        <v>46070.487303240741</v>
      </c>
    </row>
    <row r="145" spans="1:12" x14ac:dyDescent="0.25">
      <c r="A145" s="26">
        <v>46039</v>
      </c>
      <c r="B145">
        <v>1</v>
      </c>
      <c r="C145" t="s">
        <v>45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1</v>
      </c>
      <c r="L145" s="27">
        <v>46070.487314814818</v>
      </c>
    </row>
    <row r="146" spans="1:12" x14ac:dyDescent="0.25">
      <c r="A146" s="26">
        <v>46040</v>
      </c>
      <c r="B146">
        <v>1</v>
      </c>
      <c r="C146" t="s">
        <v>45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1</v>
      </c>
      <c r="K146">
        <v>4</v>
      </c>
      <c r="L146" s="27">
        <v>46070.487314814818</v>
      </c>
    </row>
    <row r="147" spans="1:12" x14ac:dyDescent="0.25">
      <c r="A147" s="26">
        <v>46041</v>
      </c>
      <c r="B147">
        <v>1</v>
      </c>
      <c r="C147" t="s">
        <v>45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4</v>
      </c>
      <c r="K147">
        <v>3</v>
      </c>
      <c r="L147" s="27">
        <v>46070.487326388888</v>
      </c>
    </row>
    <row r="148" spans="1:12" x14ac:dyDescent="0.25">
      <c r="A148" s="26">
        <v>46042</v>
      </c>
      <c r="B148">
        <v>1</v>
      </c>
      <c r="C148" t="s">
        <v>45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3</v>
      </c>
      <c r="K148">
        <v>3</v>
      </c>
      <c r="L148" s="27">
        <v>46070.487337962964</v>
      </c>
    </row>
    <row r="149" spans="1:12" x14ac:dyDescent="0.25">
      <c r="A149" s="26">
        <v>46043</v>
      </c>
      <c r="B149">
        <v>1</v>
      </c>
      <c r="C149" t="s">
        <v>45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3</v>
      </c>
      <c r="K149">
        <v>3</v>
      </c>
      <c r="L149" s="27">
        <v>46070.487337962964</v>
      </c>
    </row>
    <row r="150" spans="1:12" x14ac:dyDescent="0.25">
      <c r="A150" s="26">
        <v>46044</v>
      </c>
      <c r="B150">
        <v>1</v>
      </c>
      <c r="C150" t="s">
        <v>45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3</v>
      </c>
      <c r="K150">
        <v>3</v>
      </c>
      <c r="L150" s="27">
        <v>46070.487349537034</v>
      </c>
    </row>
    <row r="151" spans="1:12" x14ac:dyDescent="0.25">
      <c r="A151" s="26">
        <v>46045</v>
      </c>
      <c r="B151">
        <v>1</v>
      </c>
      <c r="C151" t="s">
        <v>45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3</v>
      </c>
      <c r="K151">
        <v>2</v>
      </c>
      <c r="L151" s="27">
        <v>46070.487349537034</v>
      </c>
    </row>
    <row r="152" spans="1:12" x14ac:dyDescent="0.25">
      <c r="A152" s="26">
        <v>46046</v>
      </c>
      <c r="B152">
        <v>1</v>
      </c>
      <c r="C152" t="s">
        <v>45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2</v>
      </c>
      <c r="K152">
        <v>0</v>
      </c>
      <c r="L152" s="27">
        <v>46070.487361111111</v>
      </c>
    </row>
    <row r="153" spans="1:12" x14ac:dyDescent="0.25">
      <c r="A153" s="26">
        <v>46047</v>
      </c>
      <c r="B153">
        <v>1</v>
      </c>
      <c r="C153" t="s">
        <v>45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L153" s="27">
        <v>46070.487372685187</v>
      </c>
    </row>
    <row r="154" spans="1:12" x14ac:dyDescent="0.25">
      <c r="A154" s="26">
        <v>46048</v>
      </c>
      <c r="B154">
        <v>1</v>
      </c>
      <c r="C154" t="s">
        <v>45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2</v>
      </c>
      <c r="K154">
        <v>1</v>
      </c>
      <c r="L154" s="27">
        <v>46070.487372685187</v>
      </c>
    </row>
    <row r="155" spans="1:12" x14ac:dyDescent="0.25">
      <c r="A155" s="26">
        <v>46049</v>
      </c>
      <c r="B155">
        <v>1</v>
      </c>
      <c r="C155" t="s">
        <v>45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 s="27">
        <v>46070.487384259257</v>
      </c>
    </row>
    <row r="156" spans="1:12" x14ac:dyDescent="0.25">
      <c r="A156" s="26">
        <v>46050</v>
      </c>
      <c r="B156">
        <v>1</v>
      </c>
      <c r="C156" t="s">
        <v>45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0</v>
      </c>
      <c r="K156">
        <v>3</v>
      </c>
      <c r="L156" s="27">
        <v>46070.487384259257</v>
      </c>
    </row>
    <row r="157" spans="1:12" x14ac:dyDescent="0.25">
      <c r="A157" s="26">
        <v>46051</v>
      </c>
      <c r="B157">
        <v>1</v>
      </c>
      <c r="C157" t="s">
        <v>45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3</v>
      </c>
      <c r="K157">
        <v>3</v>
      </c>
      <c r="L157" s="27">
        <v>46070.487395833334</v>
      </c>
    </row>
    <row r="158" spans="1:12" x14ac:dyDescent="0.25">
      <c r="A158" s="26">
        <v>46052</v>
      </c>
      <c r="B158">
        <v>1</v>
      </c>
      <c r="C158" t="s">
        <v>45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3</v>
      </c>
      <c r="K158">
        <v>6</v>
      </c>
      <c r="L158" s="27">
        <v>46070.487407407411</v>
      </c>
    </row>
    <row r="159" spans="1:12" x14ac:dyDescent="0.25">
      <c r="A159" s="26">
        <v>46053</v>
      </c>
      <c r="B159">
        <v>1</v>
      </c>
      <c r="C159" t="s">
        <v>45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6</v>
      </c>
      <c r="K159">
        <v>4</v>
      </c>
      <c r="L159" s="27">
        <v>46070.487407407411</v>
      </c>
    </row>
    <row r="160" spans="1:12" x14ac:dyDescent="0.25">
      <c r="A160" s="26">
        <v>46023</v>
      </c>
      <c r="B160">
        <v>1</v>
      </c>
      <c r="C160" t="s">
        <v>31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16</v>
      </c>
      <c r="K160">
        <v>19</v>
      </c>
      <c r="L160" s="27">
        <v>46070.48741898148</v>
      </c>
    </row>
    <row r="161" spans="1:12" x14ac:dyDescent="0.25">
      <c r="A161" s="26">
        <v>46024</v>
      </c>
      <c r="B161">
        <v>1</v>
      </c>
      <c r="C161" t="s">
        <v>31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19</v>
      </c>
      <c r="K161">
        <v>16</v>
      </c>
      <c r="L161" s="27">
        <v>46070.487430555557</v>
      </c>
    </row>
    <row r="162" spans="1:12" x14ac:dyDescent="0.25">
      <c r="A162" s="26">
        <v>46025</v>
      </c>
      <c r="B162">
        <v>1</v>
      </c>
      <c r="C162" t="s">
        <v>31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16</v>
      </c>
      <c r="K162">
        <v>18</v>
      </c>
      <c r="L162" s="27">
        <v>46070.487430555557</v>
      </c>
    </row>
    <row r="163" spans="1:12" x14ac:dyDescent="0.25">
      <c r="A163" s="26">
        <v>46026</v>
      </c>
      <c r="B163">
        <v>1</v>
      </c>
      <c r="C163" t="s">
        <v>31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18</v>
      </c>
      <c r="K163">
        <v>23</v>
      </c>
      <c r="L163" s="27">
        <v>46070.487442129626</v>
      </c>
    </row>
    <row r="164" spans="1:12" x14ac:dyDescent="0.25">
      <c r="A164" s="26">
        <v>46027</v>
      </c>
      <c r="B164">
        <v>1</v>
      </c>
      <c r="C164" t="s">
        <v>31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23</v>
      </c>
      <c r="K164">
        <v>23</v>
      </c>
      <c r="L164" s="27">
        <v>46070.487442129626</v>
      </c>
    </row>
    <row r="165" spans="1:12" x14ac:dyDescent="0.25">
      <c r="A165" s="26">
        <v>46028</v>
      </c>
      <c r="B165">
        <v>1</v>
      </c>
      <c r="C165" t="s">
        <v>31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23</v>
      </c>
      <c r="K165">
        <v>20</v>
      </c>
      <c r="L165" s="27">
        <v>46070.487453703703</v>
      </c>
    </row>
    <row r="166" spans="1:12" x14ac:dyDescent="0.25">
      <c r="A166" s="26">
        <v>46029</v>
      </c>
      <c r="B166">
        <v>1</v>
      </c>
      <c r="C166" t="s">
        <v>31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20</v>
      </c>
      <c r="K166">
        <v>23</v>
      </c>
      <c r="L166" s="27">
        <v>46070.48746527778</v>
      </c>
    </row>
    <row r="167" spans="1:12" x14ac:dyDescent="0.25">
      <c r="A167" s="26">
        <v>46030</v>
      </c>
      <c r="B167">
        <v>1</v>
      </c>
      <c r="C167" t="s">
        <v>31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23</v>
      </c>
      <c r="K167">
        <v>19</v>
      </c>
      <c r="L167" s="27">
        <v>46070.48746527778</v>
      </c>
    </row>
    <row r="168" spans="1:12" x14ac:dyDescent="0.25">
      <c r="A168" s="26">
        <v>46031</v>
      </c>
      <c r="B168">
        <v>1</v>
      </c>
      <c r="C168" t="s">
        <v>31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19</v>
      </c>
      <c r="K168">
        <v>20</v>
      </c>
      <c r="L168" s="27">
        <v>46070.487476851849</v>
      </c>
    </row>
    <row r="169" spans="1:12" x14ac:dyDescent="0.25">
      <c r="A169" s="26">
        <v>46032</v>
      </c>
      <c r="B169">
        <v>1</v>
      </c>
      <c r="C169" t="s">
        <v>31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20</v>
      </c>
      <c r="K169">
        <v>16</v>
      </c>
      <c r="L169" s="27">
        <v>46070.487476851849</v>
      </c>
    </row>
    <row r="170" spans="1:12" x14ac:dyDescent="0.25">
      <c r="A170" s="26">
        <v>46033</v>
      </c>
      <c r="B170">
        <v>1</v>
      </c>
      <c r="C170" t="s">
        <v>31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16</v>
      </c>
      <c r="L170" s="27">
        <v>46070.487488425926</v>
      </c>
    </row>
    <row r="171" spans="1:12" x14ac:dyDescent="0.25">
      <c r="A171" s="26">
        <v>46034</v>
      </c>
      <c r="B171">
        <v>1</v>
      </c>
      <c r="C171" t="s">
        <v>31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16</v>
      </c>
      <c r="K171">
        <v>17</v>
      </c>
      <c r="L171" s="27">
        <v>46070.487500000003</v>
      </c>
    </row>
    <row r="172" spans="1:12" x14ac:dyDescent="0.25">
      <c r="A172" s="26">
        <v>46035</v>
      </c>
      <c r="B172">
        <v>1</v>
      </c>
      <c r="C172" t="s">
        <v>31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17</v>
      </c>
      <c r="K172">
        <v>17</v>
      </c>
      <c r="L172" s="27">
        <v>46070.487500000003</v>
      </c>
    </row>
    <row r="173" spans="1:12" x14ac:dyDescent="0.25">
      <c r="A173" s="26">
        <v>46036</v>
      </c>
      <c r="B173">
        <v>1</v>
      </c>
      <c r="C173" t="s">
        <v>31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17</v>
      </c>
      <c r="K173">
        <v>16</v>
      </c>
      <c r="L173" s="27">
        <v>46070.487511574072</v>
      </c>
    </row>
    <row r="174" spans="1:12" x14ac:dyDescent="0.25">
      <c r="A174" s="26">
        <v>46037</v>
      </c>
      <c r="B174">
        <v>1</v>
      </c>
      <c r="C174" t="s">
        <v>31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16</v>
      </c>
      <c r="K174">
        <v>17</v>
      </c>
      <c r="L174" s="27">
        <v>46070.487511574072</v>
      </c>
    </row>
    <row r="175" spans="1:12" x14ac:dyDescent="0.25">
      <c r="A175" s="26">
        <v>46038</v>
      </c>
      <c r="B175">
        <v>1</v>
      </c>
      <c r="C175" t="s">
        <v>31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17</v>
      </c>
      <c r="K175">
        <v>16</v>
      </c>
      <c r="L175" s="27">
        <v>46070.487523148149</v>
      </c>
    </row>
    <row r="176" spans="1:12" x14ac:dyDescent="0.25">
      <c r="A176" s="26">
        <v>46039</v>
      </c>
      <c r="B176">
        <v>1</v>
      </c>
      <c r="C176" t="s">
        <v>31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16</v>
      </c>
      <c r="K176">
        <v>18</v>
      </c>
      <c r="L176" s="27">
        <v>46070.487534722219</v>
      </c>
    </row>
    <row r="177" spans="1:12" x14ac:dyDescent="0.25">
      <c r="A177" s="26">
        <v>46040</v>
      </c>
      <c r="B177">
        <v>1</v>
      </c>
      <c r="C177" t="s">
        <v>31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18</v>
      </c>
      <c r="K177">
        <v>20</v>
      </c>
      <c r="L177" s="27">
        <v>46070.487534722219</v>
      </c>
    </row>
    <row r="178" spans="1:12" x14ac:dyDescent="0.25">
      <c r="A178" s="26">
        <v>46041</v>
      </c>
      <c r="B178">
        <v>1</v>
      </c>
      <c r="C178" t="s">
        <v>31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20</v>
      </c>
      <c r="K178">
        <v>23</v>
      </c>
      <c r="L178" s="27">
        <v>46070.487546296295</v>
      </c>
    </row>
    <row r="179" spans="1:12" x14ac:dyDescent="0.25">
      <c r="A179" s="26">
        <v>46042</v>
      </c>
      <c r="B179">
        <v>1</v>
      </c>
      <c r="C179" t="s">
        <v>31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23</v>
      </c>
      <c r="K179">
        <v>16</v>
      </c>
      <c r="L179" s="27">
        <v>46070.487557870372</v>
      </c>
    </row>
    <row r="180" spans="1:12" x14ac:dyDescent="0.25">
      <c r="A180" s="26">
        <v>46043</v>
      </c>
      <c r="B180">
        <v>1</v>
      </c>
      <c r="C180" t="s">
        <v>31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16</v>
      </c>
      <c r="K180">
        <v>14</v>
      </c>
      <c r="L180" s="27">
        <v>46070.487557870372</v>
      </c>
    </row>
    <row r="181" spans="1:12" x14ac:dyDescent="0.25">
      <c r="A181" s="26">
        <v>46044</v>
      </c>
      <c r="B181">
        <v>1</v>
      </c>
      <c r="C181" t="s">
        <v>31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14</v>
      </c>
      <c r="K181">
        <v>15</v>
      </c>
      <c r="L181" s="27">
        <v>46070.487569444442</v>
      </c>
    </row>
    <row r="182" spans="1:12" x14ac:dyDescent="0.25">
      <c r="A182" s="26">
        <v>46045</v>
      </c>
      <c r="B182">
        <v>1</v>
      </c>
      <c r="C182" t="s">
        <v>31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15</v>
      </c>
      <c r="K182">
        <v>15</v>
      </c>
      <c r="L182" s="27">
        <v>46070.487569444442</v>
      </c>
    </row>
    <row r="183" spans="1:12" x14ac:dyDescent="0.25">
      <c r="A183" s="26">
        <v>46046</v>
      </c>
      <c r="B183">
        <v>1</v>
      </c>
      <c r="C183" t="s">
        <v>31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15</v>
      </c>
      <c r="K183">
        <v>17</v>
      </c>
      <c r="L183" s="27">
        <v>46070.487581018519</v>
      </c>
    </row>
    <row r="184" spans="1:12" x14ac:dyDescent="0.25">
      <c r="A184" s="26">
        <v>46047</v>
      </c>
      <c r="B184">
        <v>1</v>
      </c>
      <c r="C184" t="s">
        <v>31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17</v>
      </c>
      <c r="K184">
        <v>13</v>
      </c>
      <c r="L184" s="27">
        <v>46070.487592592595</v>
      </c>
    </row>
    <row r="185" spans="1:12" x14ac:dyDescent="0.25">
      <c r="A185" s="26">
        <v>46048</v>
      </c>
      <c r="B185">
        <v>1</v>
      </c>
      <c r="C185" t="s">
        <v>31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13</v>
      </c>
      <c r="K185">
        <v>14</v>
      </c>
      <c r="L185" s="27">
        <v>46070.487592592595</v>
      </c>
    </row>
    <row r="186" spans="1:12" x14ac:dyDescent="0.25">
      <c r="A186" s="26">
        <v>46049</v>
      </c>
      <c r="B186">
        <v>1</v>
      </c>
      <c r="C186" t="s">
        <v>31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14</v>
      </c>
      <c r="K186">
        <v>10</v>
      </c>
      <c r="L186" s="27">
        <v>46070.487604166665</v>
      </c>
    </row>
    <row r="187" spans="1:12" x14ac:dyDescent="0.25">
      <c r="A187" s="26">
        <v>46050</v>
      </c>
      <c r="B187">
        <v>1</v>
      </c>
      <c r="C187" t="s">
        <v>31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10</v>
      </c>
      <c r="K187">
        <v>11</v>
      </c>
      <c r="L187" s="27">
        <v>46070.487604166665</v>
      </c>
    </row>
    <row r="188" spans="1:12" x14ac:dyDescent="0.25">
      <c r="A188" s="26">
        <v>46051</v>
      </c>
      <c r="B188">
        <v>1</v>
      </c>
      <c r="C188" t="s">
        <v>31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11</v>
      </c>
      <c r="K188">
        <v>14</v>
      </c>
      <c r="L188" s="27">
        <v>46070.487615740742</v>
      </c>
    </row>
    <row r="189" spans="1:12" x14ac:dyDescent="0.25">
      <c r="A189" s="26">
        <v>46052</v>
      </c>
      <c r="B189">
        <v>1</v>
      </c>
      <c r="C189" t="s">
        <v>31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14</v>
      </c>
      <c r="K189">
        <v>17</v>
      </c>
      <c r="L189" s="27">
        <v>46070.487627314818</v>
      </c>
    </row>
    <row r="190" spans="1:12" x14ac:dyDescent="0.25">
      <c r="A190" s="26">
        <v>46053</v>
      </c>
      <c r="B190">
        <v>1</v>
      </c>
      <c r="C190" t="s">
        <v>31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17</v>
      </c>
      <c r="K190">
        <v>12</v>
      </c>
      <c r="L190" s="27">
        <v>46070.487627314818</v>
      </c>
    </row>
    <row r="191" spans="1:12" x14ac:dyDescent="0.25">
      <c r="A191" s="26">
        <v>46056</v>
      </c>
      <c r="B191">
        <v>2</v>
      </c>
      <c r="C191" t="s">
        <v>31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12</v>
      </c>
      <c r="K191">
        <v>15</v>
      </c>
      <c r="L191" s="27">
        <v>46070.487638888888</v>
      </c>
    </row>
    <row r="192" spans="1:12" x14ac:dyDescent="0.25">
      <c r="A192" s="26">
        <v>46066</v>
      </c>
      <c r="B192">
        <v>2</v>
      </c>
      <c r="C192" t="s">
        <v>31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15</v>
      </c>
      <c r="K192">
        <v>15</v>
      </c>
      <c r="L192" s="27">
        <v>46070.487638888888</v>
      </c>
    </row>
    <row r="193" spans="1:12" x14ac:dyDescent="0.25">
      <c r="A193" s="26">
        <v>46023</v>
      </c>
      <c r="B193">
        <v>1</v>
      </c>
      <c r="C193" t="s">
        <v>43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9</v>
      </c>
      <c r="K193">
        <v>8</v>
      </c>
      <c r="L193" s="27">
        <v>46070.487650462965</v>
      </c>
    </row>
    <row r="194" spans="1:12" x14ac:dyDescent="0.25">
      <c r="A194" s="26">
        <v>46024</v>
      </c>
      <c r="B194">
        <v>1</v>
      </c>
      <c r="C194" t="s">
        <v>43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8</v>
      </c>
      <c r="K194">
        <v>9</v>
      </c>
      <c r="L194" s="27">
        <v>46070.487662037034</v>
      </c>
    </row>
    <row r="195" spans="1:12" x14ac:dyDescent="0.25">
      <c r="A195" s="26">
        <v>46025</v>
      </c>
      <c r="B195">
        <v>1</v>
      </c>
      <c r="C195" t="s">
        <v>43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9</v>
      </c>
      <c r="K195">
        <v>10</v>
      </c>
      <c r="L195" s="27">
        <v>46070.487662037034</v>
      </c>
    </row>
    <row r="196" spans="1:12" x14ac:dyDescent="0.25">
      <c r="A196" s="26">
        <v>46026</v>
      </c>
      <c r="B196">
        <v>1</v>
      </c>
      <c r="C196" t="s">
        <v>43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10</v>
      </c>
      <c r="K196">
        <v>9</v>
      </c>
      <c r="L196" s="27">
        <v>46070.487673611111</v>
      </c>
    </row>
    <row r="197" spans="1:12" x14ac:dyDescent="0.25">
      <c r="A197" s="26">
        <v>46027</v>
      </c>
      <c r="B197">
        <v>1</v>
      </c>
      <c r="C197" t="s">
        <v>43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9</v>
      </c>
      <c r="K197">
        <v>2</v>
      </c>
      <c r="L197" s="27">
        <v>46070.487685185188</v>
      </c>
    </row>
    <row r="198" spans="1:12" x14ac:dyDescent="0.25">
      <c r="A198" s="26">
        <v>46028</v>
      </c>
      <c r="B198">
        <v>1</v>
      </c>
      <c r="C198" t="s">
        <v>43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2</v>
      </c>
      <c r="K198">
        <v>1</v>
      </c>
      <c r="L198" s="27">
        <v>46070.487685185188</v>
      </c>
    </row>
    <row r="199" spans="1:12" x14ac:dyDescent="0.25">
      <c r="A199" s="26">
        <v>46029</v>
      </c>
      <c r="B199">
        <v>1</v>
      </c>
      <c r="C199" t="s">
        <v>43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1</v>
      </c>
      <c r="K199">
        <v>2</v>
      </c>
      <c r="L199" s="27">
        <v>46070.487696759257</v>
      </c>
    </row>
    <row r="200" spans="1:12" x14ac:dyDescent="0.25">
      <c r="A200" s="26">
        <v>46030</v>
      </c>
      <c r="B200">
        <v>1</v>
      </c>
      <c r="C200" t="s">
        <v>43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6</v>
      </c>
      <c r="L200" s="27">
        <v>46070.487696759257</v>
      </c>
    </row>
    <row r="201" spans="1:12" x14ac:dyDescent="0.25">
      <c r="A201" s="26">
        <v>46031</v>
      </c>
      <c r="B201">
        <v>1</v>
      </c>
      <c r="C201" t="s">
        <v>43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6</v>
      </c>
      <c r="K201">
        <v>2</v>
      </c>
      <c r="L201" s="27">
        <v>46070.487708333334</v>
      </c>
    </row>
    <row r="202" spans="1:12" x14ac:dyDescent="0.25">
      <c r="A202" s="26">
        <v>46032</v>
      </c>
      <c r="B202">
        <v>1</v>
      </c>
      <c r="C202" t="s">
        <v>43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4</v>
      </c>
      <c r="L202" s="27">
        <v>46070.487719907411</v>
      </c>
    </row>
    <row r="203" spans="1:12" x14ac:dyDescent="0.25">
      <c r="A203" s="26">
        <v>46033</v>
      </c>
      <c r="B203">
        <v>1</v>
      </c>
      <c r="C203" t="s">
        <v>43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4</v>
      </c>
      <c r="K203">
        <v>3</v>
      </c>
      <c r="L203" s="27">
        <v>46070.487719907411</v>
      </c>
    </row>
    <row r="204" spans="1:12" x14ac:dyDescent="0.25">
      <c r="A204" s="26">
        <v>46034</v>
      </c>
      <c r="B204">
        <v>1</v>
      </c>
      <c r="C204" t="s">
        <v>43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3</v>
      </c>
      <c r="K204">
        <v>1</v>
      </c>
      <c r="L204" s="27">
        <v>46070.48773148148</v>
      </c>
    </row>
    <row r="205" spans="1:12" x14ac:dyDescent="0.25">
      <c r="A205" s="26">
        <v>46035</v>
      </c>
      <c r="B205">
        <v>1</v>
      </c>
      <c r="C205" t="s">
        <v>43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1</v>
      </c>
      <c r="K205">
        <v>3</v>
      </c>
      <c r="L205" s="27">
        <v>46070.48773148148</v>
      </c>
    </row>
    <row r="206" spans="1:12" x14ac:dyDescent="0.25">
      <c r="A206" s="26">
        <v>46036</v>
      </c>
      <c r="B206">
        <v>1</v>
      </c>
      <c r="C206" t="s">
        <v>43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27">
        <v>46070.487743055557</v>
      </c>
    </row>
    <row r="207" spans="1:12" x14ac:dyDescent="0.25">
      <c r="A207" s="26">
        <v>46037</v>
      </c>
      <c r="B207">
        <v>1</v>
      </c>
      <c r="C207" t="s">
        <v>43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6</v>
      </c>
      <c r="K207">
        <v>5</v>
      </c>
      <c r="L207" s="27">
        <v>46070.487754629627</v>
      </c>
    </row>
    <row r="208" spans="1:12" x14ac:dyDescent="0.25">
      <c r="A208" s="26">
        <v>46038</v>
      </c>
      <c r="B208">
        <v>1</v>
      </c>
      <c r="C208" t="s">
        <v>43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5</v>
      </c>
      <c r="K208">
        <v>9</v>
      </c>
      <c r="L208" s="27">
        <v>46070.487754629627</v>
      </c>
    </row>
    <row r="209" spans="1:12" x14ac:dyDescent="0.25">
      <c r="A209" s="26">
        <v>46039</v>
      </c>
      <c r="B209">
        <v>1</v>
      </c>
      <c r="C209" t="s">
        <v>43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9</v>
      </c>
      <c r="K209">
        <v>9</v>
      </c>
      <c r="L209" s="27">
        <v>46070.487766203703</v>
      </c>
    </row>
    <row r="210" spans="1:12" x14ac:dyDescent="0.25">
      <c r="A210" s="26">
        <v>46040</v>
      </c>
      <c r="B210">
        <v>1</v>
      </c>
      <c r="C210" t="s">
        <v>43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9</v>
      </c>
      <c r="K210">
        <v>6</v>
      </c>
      <c r="L210" s="27">
        <v>46070.48777777778</v>
      </c>
    </row>
    <row r="211" spans="1:12" x14ac:dyDescent="0.25">
      <c r="A211" s="26">
        <v>46041</v>
      </c>
      <c r="B211">
        <v>1</v>
      </c>
      <c r="C211" t="s">
        <v>43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6</v>
      </c>
      <c r="K211">
        <v>3</v>
      </c>
      <c r="L211" s="27">
        <v>46070.48777777778</v>
      </c>
    </row>
    <row r="212" spans="1:12" x14ac:dyDescent="0.25">
      <c r="A212" s="26">
        <v>46042</v>
      </c>
      <c r="B212">
        <v>1</v>
      </c>
      <c r="C212" t="s">
        <v>43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3</v>
      </c>
      <c r="K212">
        <v>6</v>
      </c>
      <c r="L212" s="27">
        <v>46070.48778935185</v>
      </c>
    </row>
    <row r="213" spans="1:12" x14ac:dyDescent="0.25">
      <c r="A213" s="26">
        <v>46043</v>
      </c>
      <c r="B213">
        <v>1</v>
      </c>
      <c r="C213" t="s">
        <v>43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6</v>
      </c>
      <c r="K213">
        <v>4</v>
      </c>
      <c r="L213" s="27">
        <v>46070.48778935185</v>
      </c>
    </row>
    <row r="214" spans="1:12" x14ac:dyDescent="0.25">
      <c r="A214" s="26">
        <v>46044</v>
      </c>
      <c r="B214">
        <v>1</v>
      </c>
      <c r="C214" t="s">
        <v>43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4</v>
      </c>
      <c r="K214">
        <v>6</v>
      </c>
      <c r="L214" s="27">
        <v>46070.487800925926</v>
      </c>
    </row>
    <row r="215" spans="1:12" x14ac:dyDescent="0.25">
      <c r="A215" s="26">
        <v>46045</v>
      </c>
      <c r="B215">
        <v>1</v>
      </c>
      <c r="C215" t="s">
        <v>43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6</v>
      </c>
      <c r="K215">
        <v>6</v>
      </c>
      <c r="L215" s="27">
        <v>46070.487812500003</v>
      </c>
    </row>
    <row r="216" spans="1:12" x14ac:dyDescent="0.25">
      <c r="A216" s="26">
        <v>46046</v>
      </c>
      <c r="B216">
        <v>1</v>
      </c>
      <c r="C216" t="s">
        <v>43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6</v>
      </c>
      <c r="K216">
        <v>5</v>
      </c>
      <c r="L216" s="27">
        <v>46070.487812500003</v>
      </c>
    </row>
    <row r="217" spans="1:12" x14ac:dyDescent="0.25">
      <c r="A217" s="26">
        <v>46047</v>
      </c>
      <c r="B217">
        <v>1</v>
      </c>
      <c r="C217" t="s">
        <v>43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5</v>
      </c>
      <c r="K217">
        <v>2</v>
      </c>
      <c r="L217" s="27">
        <v>46070.487824074073</v>
      </c>
    </row>
    <row r="218" spans="1:12" x14ac:dyDescent="0.25">
      <c r="A218" s="26">
        <v>46048</v>
      </c>
      <c r="B218">
        <v>1</v>
      </c>
      <c r="C218" t="s">
        <v>43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2</v>
      </c>
      <c r="K218">
        <v>4</v>
      </c>
      <c r="L218" s="27">
        <v>46070.487835648149</v>
      </c>
    </row>
    <row r="219" spans="1:12" x14ac:dyDescent="0.25">
      <c r="A219" s="26">
        <v>46049</v>
      </c>
      <c r="B219">
        <v>1</v>
      </c>
      <c r="C219" t="s">
        <v>43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4</v>
      </c>
      <c r="K219">
        <v>6</v>
      </c>
      <c r="L219" s="27">
        <v>46070.487835648149</v>
      </c>
    </row>
    <row r="220" spans="1:12" x14ac:dyDescent="0.25">
      <c r="A220" s="26">
        <v>46050</v>
      </c>
      <c r="B220">
        <v>1</v>
      </c>
      <c r="C220" t="s">
        <v>43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6</v>
      </c>
      <c r="K220">
        <v>3</v>
      </c>
      <c r="L220" s="27">
        <v>46070.487847222219</v>
      </c>
    </row>
    <row r="221" spans="1:12" x14ac:dyDescent="0.25">
      <c r="A221" s="26">
        <v>46051</v>
      </c>
      <c r="B221">
        <v>1</v>
      </c>
      <c r="C221" t="s">
        <v>43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3</v>
      </c>
      <c r="K221">
        <v>4</v>
      </c>
      <c r="L221" s="27">
        <v>46070.487847222219</v>
      </c>
    </row>
    <row r="222" spans="1:12" x14ac:dyDescent="0.25">
      <c r="A222" s="26">
        <v>46052</v>
      </c>
      <c r="B222">
        <v>1</v>
      </c>
      <c r="C222" t="s">
        <v>43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4</v>
      </c>
      <c r="K222">
        <v>3</v>
      </c>
      <c r="L222" s="27">
        <v>46070.487858796296</v>
      </c>
    </row>
    <row r="223" spans="1:12" x14ac:dyDescent="0.25">
      <c r="A223" s="26">
        <v>46053</v>
      </c>
      <c r="B223">
        <v>1</v>
      </c>
      <c r="C223" t="s">
        <v>43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3</v>
      </c>
      <c r="K223">
        <v>1</v>
      </c>
      <c r="L223" s="27">
        <v>46070.487870370373</v>
      </c>
    </row>
    <row r="224" spans="1:12" x14ac:dyDescent="0.25">
      <c r="A224" s="26">
        <v>46056</v>
      </c>
      <c r="B224">
        <v>2</v>
      </c>
      <c r="C224" t="s">
        <v>43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1</v>
      </c>
      <c r="K224">
        <v>3</v>
      </c>
      <c r="L224" s="27">
        <v>46070.487870370373</v>
      </c>
    </row>
    <row r="225" spans="1:12" x14ac:dyDescent="0.25">
      <c r="A225" s="26">
        <v>46023</v>
      </c>
      <c r="B225">
        <v>1</v>
      </c>
      <c r="C225" t="s">
        <v>29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25</v>
      </c>
      <c r="K225">
        <v>25</v>
      </c>
      <c r="L225" s="27">
        <v>46070.487881944442</v>
      </c>
    </row>
    <row r="226" spans="1:12" x14ac:dyDescent="0.25">
      <c r="A226" s="26">
        <v>46024</v>
      </c>
      <c r="B226">
        <v>1</v>
      </c>
      <c r="C226" t="s">
        <v>29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25</v>
      </c>
      <c r="K226">
        <v>23</v>
      </c>
      <c r="L226" s="27">
        <v>46070.487881944442</v>
      </c>
    </row>
    <row r="227" spans="1:12" x14ac:dyDescent="0.25">
      <c r="A227" s="26">
        <v>46025</v>
      </c>
      <c r="B227">
        <v>1</v>
      </c>
      <c r="C227" t="s">
        <v>29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23</v>
      </c>
      <c r="K227">
        <v>23</v>
      </c>
      <c r="L227" s="27">
        <v>46070.487893518519</v>
      </c>
    </row>
    <row r="228" spans="1:12" x14ac:dyDescent="0.25">
      <c r="A228" s="26">
        <v>46026</v>
      </c>
      <c r="B228">
        <v>1</v>
      </c>
      <c r="C228" t="s">
        <v>29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23</v>
      </c>
      <c r="K228">
        <v>24</v>
      </c>
      <c r="L228" s="27">
        <v>46070.487905092596</v>
      </c>
    </row>
    <row r="229" spans="1:12" x14ac:dyDescent="0.25">
      <c r="A229" s="26">
        <v>46027</v>
      </c>
      <c r="B229">
        <v>1</v>
      </c>
      <c r="C229" t="s">
        <v>29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24</v>
      </c>
      <c r="K229">
        <v>22</v>
      </c>
      <c r="L229" s="27">
        <v>46070.487905092596</v>
      </c>
    </row>
    <row r="230" spans="1:12" x14ac:dyDescent="0.25">
      <c r="A230" s="26">
        <v>46028</v>
      </c>
      <c r="B230">
        <v>1</v>
      </c>
      <c r="C230" t="s">
        <v>29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22</v>
      </c>
      <c r="K230">
        <v>15</v>
      </c>
      <c r="L230" s="27">
        <v>46070.487916666665</v>
      </c>
    </row>
    <row r="231" spans="1:12" x14ac:dyDescent="0.25">
      <c r="A231" s="26">
        <v>46029</v>
      </c>
      <c r="B231">
        <v>1</v>
      </c>
      <c r="C231" t="s">
        <v>29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15</v>
      </c>
      <c r="K231">
        <v>14</v>
      </c>
      <c r="L231" s="27">
        <v>46070.487916666665</v>
      </c>
    </row>
    <row r="232" spans="1:12" x14ac:dyDescent="0.25">
      <c r="A232" s="26">
        <v>46030</v>
      </c>
      <c r="B232">
        <v>1</v>
      </c>
      <c r="C232" t="s">
        <v>29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14</v>
      </c>
      <c r="K232">
        <v>17</v>
      </c>
      <c r="L232" s="27">
        <v>46070.487928240742</v>
      </c>
    </row>
    <row r="233" spans="1:12" x14ac:dyDescent="0.25">
      <c r="A233" s="26">
        <v>46031</v>
      </c>
      <c r="B233">
        <v>1</v>
      </c>
      <c r="C233" t="s">
        <v>29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17</v>
      </c>
      <c r="K233">
        <v>17</v>
      </c>
      <c r="L233" s="27">
        <v>46070.487939814811</v>
      </c>
    </row>
    <row r="234" spans="1:12" x14ac:dyDescent="0.25">
      <c r="A234" s="26">
        <v>46032</v>
      </c>
      <c r="B234">
        <v>1</v>
      </c>
      <c r="C234" t="s">
        <v>29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17</v>
      </c>
      <c r="K234">
        <v>15</v>
      </c>
      <c r="L234" s="27">
        <v>46070.487939814811</v>
      </c>
    </row>
    <row r="235" spans="1:12" x14ac:dyDescent="0.25">
      <c r="A235" s="26">
        <v>46033</v>
      </c>
      <c r="B235">
        <v>1</v>
      </c>
      <c r="C235" t="s">
        <v>29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15</v>
      </c>
      <c r="K235">
        <v>17</v>
      </c>
      <c r="L235" s="27">
        <v>46070.487951388888</v>
      </c>
    </row>
    <row r="236" spans="1:12" x14ac:dyDescent="0.25">
      <c r="A236" s="26">
        <v>46034</v>
      </c>
      <c r="B236">
        <v>1</v>
      </c>
      <c r="C236" t="s">
        <v>29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17</v>
      </c>
      <c r="K236">
        <v>21</v>
      </c>
      <c r="L236" s="27">
        <v>46070.487962962965</v>
      </c>
    </row>
    <row r="237" spans="1:12" x14ac:dyDescent="0.25">
      <c r="A237" s="26">
        <v>46035</v>
      </c>
      <c r="B237">
        <v>1</v>
      </c>
      <c r="C237" t="s">
        <v>29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21</v>
      </c>
      <c r="K237">
        <v>23</v>
      </c>
      <c r="L237" s="27">
        <v>46070.487962962965</v>
      </c>
    </row>
    <row r="238" spans="1:12" x14ac:dyDescent="0.25">
      <c r="A238" s="26">
        <v>46036</v>
      </c>
      <c r="B238">
        <v>1</v>
      </c>
      <c r="C238" t="s">
        <v>29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23</v>
      </c>
      <c r="K238">
        <v>24</v>
      </c>
      <c r="L238" s="27">
        <v>46070.487974537034</v>
      </c>
    </row>
    <row r="239" spans="1:12" x14ac:dyDescent="0.25">
      <c r="A239" s="26">
        <v>46037</v>
      </c>
      <c r="B239">
        <v>1</v>
      </c>
      <c r="C239" t="s">
        <v>29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24</v>
      </c>
      <c r="K239">
        <v>24</v>
      </c>
      <c r="L239" s="27">
        <v>46070.487974537034</v>
      </c>
    </row>
    <row r="240" spans="1:12" x14ac:dyDescent="0.25">
      <c r="A240" s="26">
        <v>46038</v>
      </c>
      <c r="B240">
        <v>1</v>
      </c>
      <c r="C240" t="s">
        <v>29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24</v>
      </c>
      <c r="K240">
        <v>24</v>
      </c>
      <c r="L240" s="27">
        <v>46070.487986111111</v>
      </c>
    </row>
    <row r="241" spans="1:12" x14ac:dyDescent="0.25">
      <c r="A241" s="26">
        <v>46039</v>
      </c>
      <c r="B241">
        <v>1</v>
      </c>
      <c r="C241" t="s">
        <v>29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24</v>
      </c>
      <c r="K241">
        <v>24</v>
      </c>
      <c r="L241" s="27">
        <v>46070.487997685188</v>
      </c>
    </row>
    <row r="242" spans="1:12" x14ac:dyDescent="0.25">
      <c r="A242" s="26">
        <v>46040</v>
      </c>
      <c r="B242">
        <v>1</v>
      </c>
      <c r="C242" t="s">
        <v>29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24</v>
      </c>
      <c r="K242">
        <v>23</v>
      </c>
      <c r="L242" s="27">
        <v>46070.487997685188</v>
      </c>
    </row>
    <row r="243" spans="1:12" x14ac:dyDescent="0.25">
      <c r="A243" s="26">
        <v>46041</v>
      </c>
      <c r="B243">
        <v>1</v>
      </c>
      <c r="C243" t="s">
        <v>29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23</v>
      </c>
      <c r="K243">
        <v>19</v>
      </c>
      <c r="L243" s="27">
        <v>46070.488009259258</v>
      </c>
    </row>
    <row r="244" spans="1:12" x14ac:dyDescent="0.25">
      <c r="A244" s="26">
        <v>46042</v>
      </c>
      <c r="B244">
        <v>1</v>
      </c>
      <c r="C244" t="s">
        <v>29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19</v>
      </c>
      <c r="K244">
        <v>20</v>
      </c>
      <c r="L244" s="27">
        <v>46070.488020833334</v>
      </c>
    </row>
    <row r="245" spans="1:12" x14ac:dyDescent="0.25">
      <c r="A245" s="26">
        <v>46043</v>
      </c>
      <c r="B245">
        <v>1</v>
      </c>
      <c r="C245" t="s">
        <v>29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20</v>
      </c>
      <c r="K245">
        <v>22</v>
      </c>
      <c r="L245" s="27">
        <v>46070.488020833334</v>
      </c>
    </row>
    <row r="246" spans="1:12" x14ac:dyDescent="0.25">
      <c r="A246" s="26">
        <v>46044</v>
      </c>
      <c r="B246">
        <v>1</v>
      </c>
      <c r="C246" t="s">
        <v>29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22</v>
      </c>
      <c r="K246">
        <v>23</v>
      </c>
      <c r="L246" s="27">
        <v>46070.488032407404</v>
      </c>
    </row>
    <row r="247" spans="1:12" x14ac:dyDescent="0.25">
      <c r="A247" s="26">
        <v>46045</v>
      </c>
      <c r="B247">
        <v>1</v>
      </c>
      <c r="C247" t="s">
        <v>29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23</v>
      </c>
      <c r="K247">
        <v>23</v>
      </c>
      <c r="L247" s="27">
        <v>46070.488043981481</v>
      </c>
    </row>
    <row r="248" spans="1:12" x14ac:dyDescent="0.25">
      <c r="A248" s="26">
        <v>46046</v>
      </c>
      <c r="B248">
        <v>1</v>
      </c>
      <c r="C248" t="s">
        <v>29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23</v>
      </c>
      <c r="K248">
        <v>26</v>
      </c>
      <c r="L248" s="27">
        <v>46070.488043981481</v>
      </c>
    </row>
    <row r="249" spans="1:12" x14ac:dyDescent="0.25">
      <c r="A249" s="26">
        <v>46047</v>
      </c>
      <c r="B249">
        <v>1</v>
      </c>
      <c r="C249" t="s">
        <v>29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26</v>
      </c>
      <c r="K249">
        <v>25</v>
      </c>
      <c r="L249" s="27">
        <v>46070.488055555557</v>
      </c>
    </row>
    <row r="250" spans="1:12" x14ac:dyDescent="0.25">
      <c r="A250" s="26">
        <v>46048</v>
      </c>
      <c r="B250">
        <v>1</v>
      </c>
      <c r="C250" t="s">
        <v>29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25</v>
      </c>
      <c r="K250">
        <v>22</v>
      </c>
      <c r="L250" s="27">
        <v>46070.488055555557</v>
      </c>
    </row>
    <row r="251" spans="1:12" x14ac:dyDescent="0.25">
      <c r="A251" s="26">
        <v>46049</v>
      </c>
      <c r="B251">
        <v>1</v>
      </c>
      <c r="C251" t="s">
        <v>29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22</v>
      </c>
      <c r="K251">
        <v>20</v>
      </c>
      <c r="L251" s="27">
        <v>46070.488067129627</v>
      </c>
    </row>
    <row r="252" spans="1:12" x14ac:dyDescent="0.25">
      <c r="A252" s="26">
        <v>46050</v>
      </c>
      <c r="B252">
        <v>1</v>
      </c>
      <c r="C252" t="s">
        <v>29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20</v>
      </c>
      <c r="K252">
        <v>25</v>
      </c>
      <c r="L252" s="27">
        <v>46070.488078703704</v>
      </c>
    </row>
    <row r="253" spans="1:12" x14ac:dyDescent="0.25">
      <c r="A253" s="26">
        <v>46051</v>
      </c>
      <c r="B253">
        <v>1</v>
      </c>
      <c r="C253" t="s">
        <v>29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25</v>
      </c>
      <c r="K253">
        <v>20</v>
      </c>
      <c r="L253" s="27">
        <v>46070.488078703704</v>
      </c>
    </row>
    <row r="254" spans="1:12" x14ac:dyDescent="0.25">
      <c r="A254" s="26">
        <v>46052</v>
      </c>
      <c r="B254">
        <v>1</v>
      </c>
      <c r="C254" t="s">
        <v>29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20</v>
      </c>
      <c r="K254">
        <v>14</v>
      </c>
      <c r="L254" s="27">
        <v>46070.48809027778</v>
      </c>
    </row>
    <row r="255" spans="1:12" x14ac:dyDescent="0.25">
      <c r="A255" s="26">
        <v>46053</v>
      </c>
      <c r="B255">
        <v>1</v>
      </c>
      <c r="C255" t="s">
        <v>29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14</v>
      </c>
      <c r="K255">
        <v>19</v>
      </c>
      <c r="L255" s="27">
        <v>46070.48810185185</v>
      </c>
    </row>
    <row r="256" spans="1:12" x14ac:dyDescent="0.25">
      <c r="A256" s="26">
        <v>46054</v>
      </c>
      <c r="B256">
        <v>2</v>
      </c>
      <c r="C256" t="s">
        <v>29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19</v>
      </c>
      <c r="K256">
        <v>19</v>
      </c>
      <c r="L256" s="27">
        <v>46070.48810185185</v>
      </c>
    </row>
    <row r="257" spans="1:12" x14ac:dyDescent="0.25">
      <c r="A257" s="26">
        <v>46056</v>
      </c>
      <c r="B257">
        <v>2</v>
      </c>
      <c r="C257" t="s">
        <v>29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19</v>
      </c>
      <c r="K257">
        <v>19</v>
      </c>
      <c r="L257" s="27">
        <v>46070.488113425927</v>
      </c>
    </row>
    <row r="258" spans="1:12" x14ac:dyDescent="0.25">
      <c r="A258" s="26">
        <v>46057</v>
      </c>
      <c r="B258">
        <v>2</v>
      </c>
      <c r="C258" t="s">
        <v>29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19</v>
      </c>
      <c r="K258">
        <v>19</v>
      </c>
      <c r="L258" s="27">
        <v>46070.488125000003</v>
      </c>
    </row>
    <row r="259" spans="1:12" x14ac:dyDescent="0.25">
      <c r="A259" s="26">
        <v>46058</v>
      </c>
      <c r="B259">
        <v>2</v>
      </c>
      <c r="C259" t="s">
        <v>29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19</v>
      </c>
      <c r="K259">
        <v>17</v>
      </c>
      <c r="L259" s="27">
        <v>46070.488125000003</v>
      </c>
    </row>
    <row r="260" spans="1:12" x14ac:dyDescent="0.25">
      <c r="A260" s="26">
        <v>46059</v>
      </c>
      <c r="B260">
        <v>2</v>
      </c>
      <c r="C260" t="s">
        <v>29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17</v>
      </c>
      <c r="K260">
        <v>10</v>
      </c>
      <c r="L260" s="27">
        <v>46070.488136574073</v>
      </c>
    </row>
    <row r="261" spans="1:12" x14ac:dyDescent="0.25">
      <c r="A261" s="26">
        <v>46060</v>
      </c>
      <c r="B261">
        <v>2</v>
      </c>
      <c r="C261" t="s">
        <v>29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10</v>
      </c>
      <c r="K261">
        <v>9</v>
      </c>
      <c r="L261" s="27">
        <v>46070.488136574073</v>
      </c>
    </row>
    <row r="262" spans="1:12" x14ac:dyDescent="0.25">
      <c r="A262" s="26">
        <v>46061</v>
      </c>
      <c r="B262">
        <v>2</v>
      </c>
      <c r="C262" t="s">
        <v>29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9</v>
      </c>
      <c r="K262">
        <v>12</v>
      </c>
      <c r="L262" s="27">
        <v>46070.48814814815</v>
      </c>
    </row>
    <row r="263" spans="1:12" x14ac:dyDescent="0.25">
      <c r="A263" s="26">
        <v>46062</v>
      </c>
      <c r="B263">
        <v>2</v>
      </c>
      <c r="C263" t="s">
        <v>29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12</v>
      </c>
      <c r="K263">
        <v>12</v>
      </c>
      <c r="L263" s="27">
        <v>46070.488159722219</v>
      </c>
    </row>
    <row r="264" spans="1:12" x14ac:dyDescent="0.25">
      <c r="A264" s="26">
        <v>46063</v>
      </c>
      <c r="B264">
        <v>2</v>
      </c>
      <c r="C264" t="s">
        <v>29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12</v>
      </c>
      <c r="K264">
        <v>10</v>
      </c>
      <c r="L264" s="27">
        <v>46070.488159722219</v>
      </c>
    </row>
    <row r="265" spans="1:12" x14ac:dyDescent="0.25">
      <c r="A265" s="26">
        <v>46064</v>
      </c>
      <c r="B265">
        <v>2</v>
      </c>
      <c r="C265" t="s">
        <v>29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10</v>
      </c>
      <c r="K265">
        <v>12</v>
      </c>
      <c r="L265" s="27">
        <v>46070.488171296296</v>
      </c>
    </row>
    <row r="266" spans="1:12" x14ac:dyDescent="0.25">
      <c r="A266" s="26">
        <v>46065</v>
      </c>
      <c r="B266">
        <v>2</v>
      </c>
      <c r="C266" t="s">
        <v>29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12</v>
      </c>
      <c r="K266">
        <v>16</v>
      </c>
      <c r="L266" s="27">
        <v>46070.488171296296</v>
      </c>
    </row>
    <row r="267" spans="1:12" x14ac:dyDescent="0.25">
      <c r="A267" s="26">
        <v>46066</v>
      </c>
      <c r="B267">
        <v>2</v>
      </c>
      <c r="C267" t="s">
        <v>29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16</v>
      </c>
      <c r="K267">
        <v>18</v>
      </c>
      <c r="L267" s="27">
        <v>46070.488182870373</v>
      </c>
    </row>
    <row r="268" spans="1:12" x14ac:dyDescent="0.25">
      <c r="A268" s="26">
        <v>46067</v>
      </c>
      <c r="B268">
        <v>2</v>
      </c>
      <c r="C268" t="s">
        <v>29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18</v>
      </c>
      <c r="K268">
        <v>19</v>
      </c>
      <c r="L268" s="27">
        <v>46070.488194444442</v>
      </c>
    </row>
    <row r="269" spans="1:12" x14ac:dyDescent="0.25">
      <c r="A269" s="26">
        <v>46068</v>
      </c>
      <c r="B269">
        <v>2</v>
      </c>
      <c r="C269" t="s">
        <v>29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19</v>
      </c>
      <c r="K269">
        <v>19</v>
      </c>
      <c r="L269" s="27">
        <v>46070.488194444442</v>
      </c>
    </row>
    <row r="270" spans="1:12" x14ac:dyDescent="0.25">
      <c r="A270" s="26">
        <v>46069</v>
      </c>
      <c r="B270">
        <v>2</v>
      </c>
      <c r="C270" t="s">
        <v>29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19</v>
      </c>
      <c r="K270">
        <v>19</v>
      </c>
      <c r="L270" s="27">
        <v>46070.488206018519</v>
      </c>
    </row>
    <row r="271" spans="1:12" x14ac:dyDescent="0.25">
      <c r="A271" s="26">
        <v>46070</v>
      </c>
      <c r="B271">
        <v>2</v>
      </c>
      <c r="C271" t="s">
        <v>29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19</v>
      </c>
      <c r="K271">
        <v>19</v>
      </c>
      <c r="L271" s="27">
        <v>46070.488206018519</v>
      </c>
    </row>
    <row r="272" spans="1:12" x14ac:dyDescent="0.25">
      <c r="A272" s="26">
        <v>46023</v>
      </c>
      <c r="B272">
        <v>1</v>
      </c>
      <c r="C272" t="s">
        <v>41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12</v>
      </c>
      <c r="L272" s="27">
        <v>46070.488217592596</v>
      </c>
    </row>
    <row r="273" spans="1:12" x14ac:dyDescent="0.25">
      <c r="A273" s="26">
        <v>46024</v>
      </c>
      <c r="B273">
        <v>1</v>
      </c>
      <c r="C273" t="s">
        <v>41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10</v>
      </c>
      <c r="L273" s="27">
        <v>46070.488229166665</v>
      </c>
    </row>
    <row r="274" spans="1:12" x14ac:dyDescent="0.25">
      <c r="A274" s="26">
        <v>46025</v>
      </c>
      <c r="B274">
        <v>1</v>
      </c>
      <c r="C274" t="s">
        <v>41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10</v>
      </c>
      <c r="K274">
        <v>9</v>
      </c>
      <c r="L274" s="27">
        <v>46070.488229166665</v>
      </c>
    </row>
    <row r="275" spans="1:12" x14ac:dyDescent="0.25">
      <c r="A275" s="26">
        <v>46026</v>
      </c>
      <c r="B275">
        <v>1</v>
      </c>
      <c r="C275" t="s">
        <v>41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9</v>
      </c>
      <c r="K275">
        <v>8</v>
      </c>
      <c r="L275" s="27">
        <v>46070.488240740742</v>
      </c>
    </row>
    <row r="276" spans="1:12" x14ac:dyDescent="0.25">
      <c r="A276" s="26">
        <v>46027</v>
      </c>
      <c r="B276">
        <v>1</v>
      </c>
      <c r="C276" t="s">
        <v>41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8</v>
      </c>
      <c r="K276">
        <v>9</v>
      </c>
      <c r="L276" s="27">
        <v>46070.488252314812</v>
      </c>
    </row>
    <row r="277" spans="1:12" x14ac:dyDescent="0.25">
      <c r="A277" s="26">
        <v>46028</v>
      </c>
      <c r="B277">
        <v>1</v>
      </c>
      <c r="C277" t="s">
        <v>41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13</v>
      </c>
      <c r="L277" s="27">
        <v>46070.488252314812</v>
      </c>
    </row>
    <row r="278" spans="1:12" x14ac:dyDescent="0.25">
      <c r="A278" s="26">
        <v>46029</v>
      </c>
      <c r="B278">
        <v>1</v>
      </c>
      <c r="C278" t="s">
        <v>41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13</v>
      </c>
      <c r="K278">
        <v>15</v>
      </c>
      <c r="L278" s="27">
        <v>46070.488263888888</v>
      </c>
    </row>
    <row r="279" spans="1:12" x14ac:dyDescent="0.25">
      <c r="A279" s="26">
        <v>46030</v>
      </c>
      <c r="B279">
        <v>1</v>
      </c>
      <c r="C279" t="s">
        <v>41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15</v>
      </c>
      <c r="K279">
        <v>16</v>
      </c>
      <c r="L279" s="27">
        <v>46070.488263888888</v>
      </c>
    </row>
    <row r="280" spans="1:12" x14ac:dyDescent="0.25">
      <c r="A280" s="26">
        <v>46031</v>
      </c>
      <c r="B280">
        <v>1</v>
      </c>
      <c r="C280" t="s">
        <v>41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16</v>
      </c>
      <c r="K280">
        <v>18</v>
      </c>
      <c r="L280" s="27">
        <v>46070.488275462965</v>
      </c>
    </row>
    <row r="281" spans="1:12" x14ac:dyDescent="0.25">
      <c r="A281" s="26">
        <v>46032</v>
      </c>
      <c r="B281">
        <v>1</v>
      </c>
      <c r="C281" t="s">
        <v>41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18</v>
      </c>
      <c r="K281">
        <v>18</v>
      </c>
      <c r="L281" s="27">
        <v>46070.488287037035</v>
      </c>
    </row>
    <row r="282" spans="1:12" x14ac:dyDescent="0.25">
      <c r="A282" s="26">
        <v>46033</v>
      </c>
      <c r="B282">
        <v>1</v>
      </c>
      <c r="C282" t="s">
        <v>41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18</v>
      </c>
      <c r="K282">
        <v>18</v>
      </c>
      <c r="L282" s="27">
        <v>46070.488287037035</v>
      </c>
    </row>
    <row r="283" spans="1:12" x14ac:dyDescent="0.25">
      <c r="A283" s="26">
        <v>46034</v>
      </c>
      <c r="B283">
        <v>1</v>
      </c>
      <c r="C283" t="s">
        <v>41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18</v>
      </c>
      <c r="K283">
        <v>22</v>
      </c>
      <c r="L283" s="27">
        <v>46070.488298611112</v>
      </c>
    </row>
    <row r="284" spans="1:12" x14ac:dyDescent="0.25">
      <c r="A284" s="26">
        <v>46035</v>
      </c>
      <c r="B284">
        <v>1</v>
      </c>
      <c r="C284" t="s">
        <v>41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22</v>
      </c>
      <c r="K284">
        <v>22</v>
      </c>
      <c r="L284" s="27">
        <v>46070.488298611112</v>
      </c>
    </row>
    <row r="285" spans="1:12" x14ac:dyDescent="0.25">
      <c r="A285" s="26">
        <v>46036</v>
      </c>
      <c r="B285">
        <v>1</v>
      </c>
      <c r="C285" t="s">
        <v>41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22</v>
      </c>
      <c r="K285">
        <v>20</v>
      </c>
      <c r="L285" s="27">
        <v>46070.488310185188</v>
      </c>
    </row>
    <row r="286" spans="1:12" x14ac:dyDescent="0.25">
      <c r="A286" s="26">
        <v>46037</v>
      </c>
      <c r="B286">
        <v>1</v>
      </c>
      <c r="C286" t="s">
        <v>41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20</v>
      </c>
      <c r="K286">
        <v>17</v>
      </c>
      <c r="L286" s="27">
        <v>46070.488321759258</v>
      </c>
    </row>
    <row r="287" spans="1:12" x14ac:dyDescent="0.25">
      <c r="A287" s="26">
        <v>46038</v>
      </c>
      <c r="B287">
        <v>1</v>
      </c>
      <c r="C287" t="s">
        <v>41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17</v>
      </c>
      <c r="K287">
        <v>13</v>
      </c>
      <c r="L287" s="27">
        <v>46070.488321759258</v>
      </c>
    </row>
    <row r="288" spans="1:12" x14ac:dyDescent="0.25">
      <c r="A288" s="26">
        <v>46039</v>
      </c>
      <c r="B288">
        <v>1</v>
      </c>
      <c r="C288" t="s">
        <v>41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13</v>
      </c>
      <c r="K288">
        <v>14</v>
      </c>
      <c r="L288" s="27">
        <v>46070.488333333335</v>
      </c>
    </row>
    <row r="289" spans="1:12" x14ac:dyDescent="0.25">
      <c r="A289" s="26">
        <v>46040</v>
      </c>
      <c r="B289">
        <v>1</v>
      </c>
      <c r="C289" t="s">
        <v>41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14</v>
      </c>
      <c r="K289">
        <v>15</v>
      </c>
      <c r="L289" s="27">
        <v>46070.488344907404</v>
      </c>
    </row>
    <row r="290" spans="1:12" x14ac:dyDescent="0.25">
      <c r="A290" s="26">
        <v>46041</v>
      </c>
      <c r="B290">
        <v>1</v>
      </c>
      <c r="C290" t="s">
        <v>41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15</v>
      </c>
      <c r="K290">
        <v>16</v>
      </c>
      <c r="L290" s="27">
        <v>46070.488344907404</v>
      </c>
    </row>
    <row r="291" spans="1:12" x14ac:dyDescent="0.25">
      <c r="A291" s="26">
        <v>46042</v>
      </c>
      <c r="B291">
        <v>1</v>
      </c>
      <c r="C291" t="s">
        <v>41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16</v>
      </c>
      <c r="K291">
        <v>14</v>
      </c>
      <c r="L291" s="27">
        <v>46070.488356481481</v>
      </c>
    </row>
    <row r="292" spans="1:12" x14ac:dyDescent="0.25">
      <c r="A292" s="26">
        <v>46043</v>
      </c>
      <c r="B292">
        <v>1</v>
      </c>
      <c r="C292" t="s">
        <v>41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14</v>
      </c>
      <c r="K292">
        <v>12</v>
      </c>
      <c r="L292" s="27">
        <v>46070.488356481481</v>
      </c>
    </row>
    <row r="293" spans="1:12" x14ac:dyDescent="0.25">
      <c r="A293" s="26">
        <v>46044</v>
      </c>
      <c r="B293">
        <v>1</v>
      </c>
      <c r="C293" t="s">
        <v>41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12</v>
      </c>
      <c r="K293">
        <v>15</v>
      </c>
      <c r="L293" s="27">
        <v>46070.488368055558</v>
      </c>
    </row>
    <row r="294" spans="1:12" x14ac:dyDescent="0.25">
      <c r="A294" s="26">
        <v>46045</v>
      </c>
      <c r="B294">
        <v>1</v>
      </c>
      <c r="C294" t="s">
        <v>41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15</v>
      </c>
      <c r="K294">
        <v>14</v>
      </c>
      <c r="L294" s="27">
        <v>46070.488379629627</v>
      </c>
    </row>
    <row r="295" spans="1:12" x14ac:dyDescent="0.25">
      <c r="A295" s="26">
        <v>46046</v>
      </c>
      <c r="B295">
        <v>1</v>
      </c>
      <c r="C295" t="s">
        <v>41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14</v>
      </c>
      <c r="K295">
        <v>11</v>
      </c>
      <c r="L295" s="27">
        <v>46070.488379629627</v>
      </c>
    </row>
    <row r="296" spans="1:12" x14ac:dyDescent="0.25">
      <c r="A296" s="26">
        <v>46047</v>
      </c>
      <c r="B296">
        <v>1</v>
      </c>
      <c r="C296" t="s">
        <v>41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11</v>
      </c>
      <c r="K296">
        <v>10</v>
      </c>
      <c r="L296" s="27">
        <v>46070.488391203704</v>
      </c>
    </row>
    <row r="297" spans="1:12" x14ac:dyDescent="0.25">
      <c r="A297" s="26">
        <v>46048</v>
      </c>
      <c r="B297">
        <v>1</v>
      </c>
      <c r="C297" t="s">
        <v>41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10</v>
      </c>
      <c r="K297">
        <v>10</v>
      </c>
      <c r="L297" s="27">
        <v>46070.488402777781</v>
      </c>
    </row>
    <row r="298" spans="1:12" x14ac:dyDescent="0.25">
      <c r="A298" s="26">
        <v>46049</v>
      </c>
      <c r="B298">
        <v>1</v>
      </c>
      <c r="C298" t="s">
        <v>41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10</v>
      </c>
      <c r="K298">
        <v>10</v>
      </c>
      <c r="L298" s="27">
        <v>46070.488402777781</v>
      </c>
    </row>
    <row r="299" spans="1:12" x14ac:dyDescent="0.25">
      <c r="A299" s="26">
        <v>46050</v>
      </c>
      <c r="B299">
        <v>1</v>
      </c>
      <c r="C299" t="s">
        <v>41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10</v>
      </c>
      <c r="K299">
        <v>9</v>
      </c>
      <c r="L299" s="27">
        <v>46070.48841435185</v>
      </c>
    </row>
    <row r="300" spans="1:12" x14ac:dyDescent="0.25">
      <c r="A300" s="26">
        <v>46051</v>
      </c>
      <c r="B300">
        <v>1</v>
      </c>
      <c r="C300" t="s">
        <v>41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9</v>
      </c>
      <c r="K300">
        <v>6</v>
      </c>
      <c r="L300" s="27">
        <v>46070.48841435185</v>
      </c>
    </row>
    <row r="301" spans="1:12" x14ac:dyDescent="0.25">
      <c r="A301" s="26">
        <v>46052</v>
      </c>
      <c r="B301">
        <v>1</v>
      </c>
      <c r="C301" t="s">
        <v>41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6</v>
      </c>
      <c r="K301">
        <v>7</v>
      </c>
      <c r="L301" s="27">
        <v>46070.488425925927</v>
      </c>
    </row>
    <row r="302" spans="1:12" x14ac:dyDescent="0.25">
      <c r="A302" s="26">
        <v>46053</v>
      </c>
      <c r="B302">
        <v>1</v>
      </c>
      <c r="C302" t="s">
        <v>41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7</v>
      </c>
      <c r="K302">
        <v>7</v>
      </c>
      <c r="L302" s="27">
        <v>46070.488437499997</v>
      </c>
    </row>
    <row r="303" spans="1:12" x14ac:dyDescent="0.25">
      <c r="A303" s="26">
        <v>46056</v>
      </c>
      <c r="B303">
        <v>2</v>
      </c>
      <c r="C303" t="s">
        <v>41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7</v>
      </c>
      <c r="K303">
        <v>5</v>
      </c>
      <c r="L303" s="27">
        <v>46070.488437499997</v>
      </c>
    </row>
    <row r="304" spans="1:12" x14ac:dyDescent="0.25">
      <c r="A304" s="26">
        <v>46057</v>
      </c>
      <c r="B304">
        <v>2</v>
      </c>
      <c r="C304" t="s">
        <v>41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3</v>
      </c>
      <c r="L304" s="27">
        <v>46070.488449074073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67"/>
  <sheetViews>
    <sheetView tabSelected="1" topLeftCell="A148" workbookViewId="0">
      <selection activeCell="I164" sqref="I164:I167"/>
    </sheetView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82</v>
      </c>
      <c r="B1" t="s">
        <v>83</v>
      </c>
      <c r="C1" t="s">
        <v>72</v>
      </c>
      <c r="D1" t="s">
        <v>23</v>
      </c>
      <c r="E1" t="s">
        <v>84</v>
      </c>
      <c r="F1" t="s">
        <v>85</v>
      </c>
      <c r="G1" t="s">
        <v>86</v>
      </c>
      <c r="H1" t="s">
        <v>87</v>
      </c>
      <c r="I1" t="s">
        <v>88</v>
      </c>
      <c r="J1" t="s">
        <v>89</v>
      </c>
      <c r="K1" t="s">
        <v>81</v>
      </c>
    </row>
    <row r="2" spans="1:11" x14ac:dyDescent="0.25">
      <c r="A2" t="s">
        <v>217</v>
      </c>
      <c r="B2" s="26">
        <v>46028</v>
      </c>
      <c r="C2">
        <v>1</v>
      </c>
      <c r="D2" t="s">
        <v>41</v>
      </c>
      <c r="E2" t="s">
        <v>218</v>
      </c>
      <c r="F2" t="s">
        <v>219</v>
      </c>
      <c r="G2">
        <v>0</v>
      </c>
      <c r="H2" t="s">
        <v>220</v>
      </c>
      <c r="I2" t="s">
        <v>221</v>
      </c>
      <c r="J2" t="s">
        <v>222</v>
      </c>
      <c r="K2" s="27">
        <v>46066.496122685188</v>
      </c>
    </row>
    <row r="3" spans="1:11" x14ac:dyDescent="0.25">
      <c r="A3" t="s">
        <v>223</v>
      </c>
      <c r="B3" s="26">
        <v>46029</v>
      </c>
      <c r="C3">
        <v>1</v>
      </c>
      <c r="D3" t="s">
        <v>41</v>
      </c>
      <c r="E3" t="s">
        <v>218</v>
      </c>
      <c r="F3" t="s">
        <v>219</v>
      </c>
      <c r="G3">
        <v>0</v>
      </c>
      <c r="H3" t="s">
        <v>220</v>
      </c>
      <c r="I3" t="s">
        <v>224</v>
      </c>
      <c r="J3" t="s">
        <v>222</v>
      </c>
      <c r="K3" s="27">
        <v>46066.499594907407</v>
      </c>
    </row>
    <row r="4" spans="1:11" x14ac:dyDescent="0.25">
      <c r="A4" t="s">
        <v>225</v>
      </c>
      <c r="B4" s="26">
        <v>46025</v>
      </c>
      <c r="C4">
        <v>1</v>
      </c>
      <c r="D4" t="s">
        <v>41</v>
      </c>
      <c r="E4" t="s">
        <v>218</v>
      </c>
      <c r="F4" t="s">
        <v>219</v>
      </c>
      <c r="G4">
        <v>0</v>
      </c>
      <c r="H4" t="s">
        <v>220</v>
      </c>
      <c r="I4" t="s">
        <v>221</v>
      </c>
      <c r="J4" t="s">
        <v>222</v>
      </c>
      <c r="K4" s="27">
        <v>46066.492638888885</v>
      </c>
    </row>
    <row r="5" spans="1:11" x14ac:dyDescent="0.25">
      <c r="A5" t="s">
        <v>226</v>
      </c>
      <c r="B5" s="26">
        <v>46027</v>
      </c>
      <c r="C5">
        <v>1</v>
      </c>
      <c r="D5" t="s">
        <v>41</v>
      </c>
      <c r="E5" t="s">
        <v>218</v>
      </c>
      <c r="F5" t="s">
        <v>219</v>
      </c>
      <c r="G5">
        <v>1</v>
      </c>
      <c r="H5" t="s">
        <v>220</v>
      </c>
      <c r="I5" t="s">
        <v>221</v>
      </c>
      <c r="J5" t="s">
        <v>222</v>
      </c>
      <c r="K5" s="27">
        <v>46066.493090277778</v>
      </c>
    </row>
    <row r="6" spans="1:11" x14ac:dyDescent="0.25">
      <c r="A6" t="s">
        <v>227</v>
      </c>
      <c r="B6" s="26">
        <v>46027</v>
      </c>
      <c r="C6">
        <v>1</v>
      </c>
      <c r="D6" t="s">
        <v>41</v>
      </c>
      <c r="E6" t="s">
        <v>218</v>
      </c>
      <c r="F6" t="s">
        <v>219</v>
      </c>
      <c r="G6">
        <v>1</v>
      </c>
      <c r="H6" t="s">
        <v>220</v>
      </c>
      <c r="I6" t="s">
        <v>224</v>
      </c>
      <c r="J6" t="s">
        <v>222</v>
      </c>
      <c r="K6" s="27">
        <v>46066.493298611109</v>
      </c>
    </row>
    <row r="7" spans="1:11" x14ac:dyDescent="0.25">
      <c r="A7" t="s">
        <v>228</v>
      </c>
      <c r="B7" s="26">
        <v>46028</v>
      </c>
      <c r="C7">
        <v>1</v>
      </c>
      <c r="D7" t="s">
        <v>41</v>
      </c>
      <c r="E7" t="s">
        <v>218</v>
      </c>
      <c r="F7" t="s">
        <v>219</v>
      </c>
      <c r="G7">
        <v>0</v>
      </c>
      <c r="H7" t="s">
        <v>220</v>
      </c>
      <c r="I7" t="s">
        <v>221</v>
      </c>
      <c r="J7" t="s">
        <v>222</v>
      </c>
      <c r="K7" s="27">
        <v>46066.493680555555</v>
      </c>
    </row>
    <row r="8" spans="1:11" x14ac:dyDescent="0.25">
      <c r="A8" t="s">
        <v>229</v>
      </c>
      <c r="B8" s="26">
        <v>46028</v>
      </c>
      <c r="C8">
        <v>1</v>
      </c>
      <c r="D8" t="s">
        <v>41</v>
      </c>
      <c r="E8" t="s">
        <v>218</v>
      </c>
      <c r="F8" t="s">
        <v>219</v>
      </c>
      <c r="G8">
        <v>0</v>
      </c>
      <c r="H8" t="s">
        <v>220</v>
      </c>
      <c r="I8" t="s">
        <v>221</v>
      </c>
      <c r="J8" t="s">
        <v>222</v>
      </c>
      <c r="K8" s="27">
        <v>46066.495821759258</v>
      </c>
    </row>
    <row r="9" spans="1:11" x14ac:dyDescent="0.25">
      <c r="A9" t="s">
        <v>230</v>
      </c>
      <c r="B9" s="26">
        <v>46028</v>
      </c>
      <c r="C9">
        <v>1</v>
      </c>
      <c r="D9" t="s">
        <v>41</v>
      </c>
      <c r="E9" t="s">
        <v>218</v>
      </c>
      <c r="F9" t="s">
        <v>219</v>
      </c>
      <c r="G9">
        <v>0</v>
      </c>
      <c r="H9" t="s">
        <v>220</v>
      </c>
      <c r="I9" t="s">
        <v>224</v>
      </c>
      <c r="J9" t="s">
        <v>222</v>
      </c>
      <c r="K9" s="27">
        <v>46066.496608796297</v>
      </c>
    </row>
    <row r="10" spans="1:11" x14ac:dyDescent="0.25">
      <c r="A10" t="s">
        <v>231</v>
      </c>
      <c r="B10" s="26">
        <v>46029</v>
      </c>
      <c r="C10">
        <v>1</v>
      </c>
      <c r="D10" t="s">
        <v>41</v>
      </c>
      <c r="E10" t="s">
        <v>218</v>
      </c>
      <c r="F10" t="s">
        <v>219</v>
      </c>
      <c r="G10">
        <v>7</v>
      </c>
      <c r="H10" t="s">
        <v>220</v>
      </c>
      <c r="I10" t="s">
        <v>224</v>
      </c>
      <c r="J10" t="s">
        <v>222</v>
      </c>
      <c r="K10" s="27">
        <v>46066.499675925923</v>
      </c>
    </row>
    <row r="11" spans="1:11" x14ac:dyDescent="0.25">
      <c r="A11" t="s">
        <v>232</v>
      </c>
      <c r="B11" s="26">
        <v>46029</v>
      </c>
      <c r="C11">
        <v>1</v>
      </c>
      <c r="D11" t="s">
        <v>41</v>
      </c>
      <c r="E11" t="s">
        <v>218</v>
      </c>
      <c r="F11" t="s">
        <v>219</v>
      </c>
      <c r="G11">
        <v>0</v>
      </c>
      <c r="H11" t="s">
        <v>220</v>
      </c>
      <c r="I11" t="s">
        <v>221</v>
      </c>
      <c r="J11" t="s">
        <v>222</v>
      </c>
      <c r="K11" s="27">
        <v>46066.499756944446</v>
      </c>
    </row>
    <row r="12" spans="1:11" x14ac:dyDescent="0.25">
      <c r="A12" t="s">
        <v>233</v>
      </c>
      <c r="B12" s="26">
        <v>46029</v>
      </c>
      <c r="C12">
        <v>1</v>
      </c>
      <c r="D12" t="s">
        <v>41</v>
      </c>
      <c r="E12" t="s">
        <v>218</v>
      </c>
      <c r="F12" t="s">
        <v>219</v>
      </c>
      <c r="G12">
        <v>0</v>
      </c>
      <c r="H12" t="s">
        <v>220</v>
      </c>
      <c r="I12" t="s">
        <v>221</v>
      </c>
      <c r="J12" t="s">
        <v>222</v>
      </c>
      <c r="K12" s="27">
        <v>46066.499895833331</v>
      </c>
    </row>
    <row r="13" spans="1:11" x14ac:dyDescent="0.25">
      <c r="A13" t="s">
        <v>234</v>
      </c>
      <c r="B13" s="26">
        <v>46030</v>
      </c>
      <c r="C13">
        <v>1</v>
      </c>
      <c r="D13" t="s">
        <v>41</v>
      </c>
      <c r="E13" t="s">
        <v>218</v>
      </c>
      <c r="F13" t="s">
        <v>219</v>
      </c>
      <c r="G13">
        <v>0</v>
      </c>
      <c r="H13" t="s">
        <v>220</v>
      </c>
      <c r="I13" t="s">
        <v>224</v>
      </c>
      <c r="J13" t="s">
        <v>222</v>
      </c>
      <c r="K13" s="27">
        <v>46066.50141203704</v>
      </c>
    </row>
    <row r="14" spans="1:11" x14ac:dyDescent="0.25">
      <c r="A14" t="s">
        <v>235</v>
      </c>
      <c r="B14" s="26">
        <v>46030</v>
      </c>
      <c r="C14">
        <v>1</v>
      </c>
      <c r="D14" t="s">
        <v>41</v>
      </c>
      <c r="E14" t="s">
        <v>218</v>
      </c>
      <c r="F14" t="s">
        <v>219</v>
      </c>
      <c r="G14">
        <v>0</v>
      </c>
      <c r="H14" t="s">
        <v>220</v>
      </c>
      <c r="I14" t="s">
        <v>224</v>
      </c>
      <c r="J14" t="s">
        <v>222</v>
      </c>
      <c r="K14" s="27">
        <v>46066.501504629632</v>
      </c>
    </row>
    <row r="15" spans="1:11" x14ac:dyDescent="0.25">
      <c r="A15" t="s">
        <v>236</v>
      </c>
      <c r="B15" s="26">
        <v>46031</v>
      </c>
      <c r="C15">
        <v>1</v>
      </c>
      <c r="D15" t="s">
        <v>41</v>
      </c>
      <c r="E15" t="s">
        <v>218</v>
      </c>
      <c r="F15" t="s">
        <v>219</v>
      </c>
      <c r="G15">
        <v>0</v>
      </c>
      <c r="H15" t="s">
        <v>220</v>
      </c>
      <c r="I15" t="s">
        <v>221</v>
      </c>
      <c r="J15" t="s">
        <v>222</v>
      </c>
      <c r="K15" s="27">
        <v>46066.502141203702</v>
      </c>
    </row>
    <row r="16" spans="1:11" x14ac:dyDescent="0.25">
      <c r="A16" t="s">
        <v>237</v>
      </c>
      <c r="B16" s="26">
        <v>46031</v>
      </c>
      <c r="C16">
        <v>1</v>
      </c>
      <c r="D16" t="s">
        <v>41</v>
      </c>
      <c r="E16" t="s">
        <v>218</v>
      </c>
      <c r="F16" t="s">
        <v>219</v>
      </c>
      <c r="G16">
        <v>2</v>
      </c>
      <c r="H16" t="s">
        <v>220</v>
      </c>
      <c r="I16" t="s">
        <v>224</v>
      </c>
      <c r="J16" t="s">
        <v>222</v>
      </c>
      <c r="K16" s="27">
        <v>46066.50203703704</v>
      </c>
    </row>
    <row r="17" spans="1:11" x14ac:dyDescent="0.25">
      <c r="A17" t="s">
        <v>238</v>
      </c>
      <c r="B17" s="26">
        <v>46032</v>
      </c>
      <c r="C17">
        <v>1</v>
      </c>
      <c r="D17" t="s">
        <v>41</v>
      </c>
      <c r="E17" t="s">
        <v>218</v>
      </c>
      <c r="F17" t="s">
        <v>219</v>
      </c>
      <c r="G17">
        <v>2</v>
      </c>
      <c r="H17" t="s">
        <v>220</v>
      </c>
      <c r="I17" t="s">
        <v>221</v>
      </c>
      <c r="J17" t="s">
        <v>222</v>
      </c>
      <c r="K17" s="27">
        <v>46066.502442129633</v>
      </c>
    </row>
    <row r="18" spans="1:11" x14ac:dyDescent="0.25">
      <c r="A18" t="s">
        <v>239</v>
      </c>
      <c r="B18" s="26">
        <v>46033</v>
      </c>
      <c r="C18">
        <v>1</v>
      </c>
      <c r="D18" t="s">
        <v>41</v>
      </c>
      <c r="E18" t="s">
        <v>218</v>
      </c>
      <c r="F18" t="s">
        <v>219</v>
      </c>
      <c r="G18">
        <v>0</v>
      </c>
      <c r="H18" t="s">
        <v>220</v>
      </c>
      <c r="I18" t="s">
        <v>221</v>
      </c>
      <c r="J18" t="s">
        <v>222</v>
      </c>
      <c r="K18" s="27">
        <v>46066.50267361111</v>
      </c>
    </row>
    <row r="19" spans="1:11" x14ac:dyDescent="0.25">
      <c r="A19" t="s">
        <v>240</v>
      </c>
      <c r="B19" s="26">
        <v>46034</v>
      </c>
      <c r="C19">
        <v>1</v>
      </c>
      <c r="D19" t="s">
        <v>41</v>
      </c>
      <c r="E19" t="s">
        <v>218</v>
      </c>
      <c r="F19" t="s">
        <v>219</v>
      </c>
      <c r="G19">
        <v>0</v>
      </c>
      <c r="H19" t="s">
        <v>220</v>
      </c>
      <c r="I19" t="s">
        <v>221</v>
      </c>
      <c r="J19" t="s">
        <v>222</v>
      </c>
      <c r="K19" s="27">
        <v>46066.503587962965</v>
      </c>
    </row>
    <row r="20" spans="1:11" x14ac:dyDescent="0.25">
      <c r="A20" t="s">
        <v>241</v>
      </c>
      <c r="B20" s="26">
        <v>46034</v>
      </c>
      <c r="C20">
        <v>1</v>
      </c>
      <c r="D20" t="s">
        <v>41</v>
      </c>
      <c r="E20" t="s">
        <v>218</v>
      </c>
      <c r="F20" t="s">
        <v>219</v>
      </c>
      <c r="G20">
        <v>8</v>
      </c>
      <c r="H20" t="s">
        <v>220</v>
      </c>
      <c r="I20" t="s">
        <v>221</v>
      </c>
      <c r="J20" t="s">
        <v>222</v>
      </c>
      <c r="K20" s="27">
        <v>46066.503645833334</v>
      </c>
    </row>
    <row r="21" spans="1:11" x14ac:dyDescent="0.25">
      <c r="A21" t="s">
        <v>242</v>
      </c>
      <c r="B21" s="26">
        <v>46034</v>
      </c>
      <c r="C21">
        <v>1</v>
      </c>
      <c r="D21" t="s">
        <v>41</v>
      </c>
      <c r="E21" t="s">
        <v>218</v>
      </c>
      <c r="F21" t="s">
        <v>219</v>
      </c>
      <c r="G21">
        <v>0</v>
      </c>
      <c r="H21" t="s">
        <v>220</v>
      </c>
      <c r="I21" t="s">
        <v>224</v>
      </c>
      <c r="J21" t="s">
        <v>222</v>
      </c>
      <c r="K21" s="27">
        <v>46066.503981481481</v>
      </c>
    </row>
    <row r="22" spans="1:11" x14ac:dyDescent="0.25">
      <c r="A22" t="s">
        <v>243</v>
      </c>
      <c r="B22" s="26">
        <v>46034</v>
      </c>
      <c r="C22">
        <v>1</v>
      </c>
      <c r="D22" t="s">
        <v>41</v>
      </c>
      <c r="E22" t="s">
        <v>218</v>
      </c>
      <c r="F22" t="s">
        <v>219</v>
      </c>
      <c r="G22">
        <v>0</v>
      </c>
      <c r="H22" t="s">
        <v>220</v>
      </c>
      <c r="I22" t="s">
        <v>224</v>
      </c>
      <c r="J22" t="s">
        <v>222</v>
      </c>
      <c r="K22" s="27">
        <v>46066.50409722222</v>
      </c>
    </row>
    <row r="23" spans="1:11" x14ac:dyDescent="0.25">
      <c r="A23" t="s">
        <v>244</v>
      </c>
      <c r="B23" s="26">
        <v>46035</v>
      </c>
      <c r="C23">
        <v>1</v>
      </c>
      <c r="D23" t="s">
        <v>41</v>
      </c>
      <c r="E23" t="s">
        <v>218</v>
      </c>
      <c r="F23" t="s">
        <v>219</v>
      </c>
      <c r="G23">
        <v>0</v>
      </c>
      <c r="H23" t="s">
        <v>220</v>
      </c>
      <c r="I23" t="s">
        <v>221</v>
      </c>
      <c r="J23" t="s">
        <v>222</v>
      </c>
      <c r="K23" s="27">
        <v>46066.504641203705</v>
      </c>
    </row>
    <row r="24" spans="1:11" x14ac:dyDescent="0.25">
      <c r="A24" t="s">
        <v>245</v>
      </c>
      <c r="B24" s="26">
        <v>46035</v>
      </c>
      <c r="C24">
        <v>1</v>
      </c>
      <c r="D24" t="s">
        <v>41</v>
      </c>
      <c r="E24" t="s">
        <v>218</v>
      </c>
      <c r="F24" t="s">
        <v>219</v>
      </c>
      <c r="G24">
        <v>0</v>
      </c>
      <c r="H24" t="s">
        <v>220</v>
      </c>
      <c r="I24" t="s">
        <v>221</v>
      </c>
      <c r="J24" t="s">
        <v>222</v>
      </c>
      <c r="K24" s="27">
        <v>46066.504710648151</v>
      </c>
    </row>
    <row r="25" spans="1:11" x14ac:dyDescent="0.25">
      <c r="A25" t="s">
        <v>246</v>
      </c>
      <c r="B25" s="26">
        <v>46035</v>
      </c>
      <c r="C25">
        <v>1</v>
      </c>
      <c r="D25" t="s">
        <v>41</v>
      </c>
      <c r="E25" t="s">
        <v>218</v>
      </c>
      <c r="F25" t="s">
        <v>219</v>
      </c>
      <c r="G25">
        <v>0</v>
      </c>
      <c r="H25" t="s">
        <v>220</v>
      </c>
      <c r="I25" t="s">
        <v>224</v>
      </c>
      <c r="J25" t="s">
        <v>222</v>
      </c>
      <c r="K25" s="27">
        <v>46066.520127314812</v>
      </c>
    </row>
    <row r="26" spans="1:11" x14ac:dyDescent="0.25">
      <c r="A26" t="s">
        <v>247</v>
      </c>
      <c r="B26" s="26">
        <v>46035</v>
      </c>
      <c r="C26">
        <v>1</v>
      </c>
      <c r="D26" t="s">
        <v>41</v>
      </c>
      <c r="E26" t="s">
        <v>218</v>
      </c>
      <c r="F26" t="s">
        <v>219</v>
      </c>
      <c r="G26">
        <v>0</v>
      </c>
      <c r="H26" t="s">
        <v>220</v>
      </c>
      <c r="I26" t="s">
        <v>224</v>
      </c>
      <c r="J26" t="s">
        <v>222</v>
      </c>
      <c r="K26" s="27">
        <v>46066.504861111112</v>
      </c>
    </row>
    <row r="27" spans="1:11" x14ac:dyDescent="0.25">
      <c r="A27" t="s">
        <v>248</v>
      </c>
      <c r="B27" s="26">
        <v>46036</v>
      </c>
      <c r="C27">
        <v>1</v>
      </c>
      <c r="D27" t="s">
        <v>41</v>
      </c>
      <c r="E27" t="s">
        <v>218</v>
      </c>
      <c r="F27" t="s">
        <v>219</v>
      </c>
      <c r="G27">
        <v>0</v>
      </c>
      <c r="H27" t="s">
        <v>220</v>
      </c>
      <c r="I27" t="s">
        <v>221</v>
      </c>
      <c r="J27" t="s">
        <v>222</v>
      </c>
      <c r="K27" s="27">
        <v>46066.505648148152</v>
      </c>
    </row>
    <row r="28" spans="1:11" x14ac:dyDescent="0.25">
      <c r="A28" t="s">
        <v>249</v>
      </c>
      <c r="B28" s="26">
        <v>46036</v>
      </c>
      <c r="C28">
        <v>1</v>
      </c>
      <c r="D28" t="s">
        <v>41</v>
      </c>
      <c r="E28" t="s">
        <v>218</v>
      </c>
      <c r="F28" t="s">
        <v>219</v>
      </c>
      <c r="G28">
        <v>0</v>
      </c>
      <c r="H28" t="s">
        <v>220</v>
      </c>
      <c r="I28" t="s">
        <v>221</v>
      </c>
      <c r="J28" t="s">
        <v>222</v>
      </c>
      <c r="K28" s="27">
        <v>46066.505856481483</v>
      </c>
    </row>
    <row r="29" spans="1:11" x14ac:dyDescent="0.25">
      <c r="A29" t="s">
        <v>250</v>
      </c>
      <c r="B29" s="26">
        <v>46036</v>
      </c>
      <c r="C29">
        <v>1</v>
      </c>
      <c r="D29" t="s">
        <v>41</v>
      </c>
      <c r="E29" t="s">
        <v>218</v>
      </c>
      <c r="F29" t="s">
        <v>219</v>
      </c>
      <c r="G29">
        <v>0</v>
      </c>
      <c r="H29" t="s">
        <v>220</v>
      </c>
      <c r="I29" t="s">
        <v>221</v>
      </c>
      <c r="J29" t="s">
        <v>222</v>
      </c>
      <c r="K29" s="27">
        <v>46066.505787037036</v>
      </c>
    </row>
    <row r="30" spans="1:11" x14ac:dyDescent="0.25">
      <c r="A30" t="s">
        <v>251</v>
      </c>
      <c r="B30" s="26">
        <v>46039</v>
      </c>
      <c r="C30">
        <v>1</v>
      </c>
      <c r="D30" t="s">
        <v>41</v>
      </c>
      <c r="E30" t="s">
        <v>218</v>
      </c>
      <c r="F30" t="s">
        <v>219</v>
      </c>
      <c r="G30">
        <v>0</v>
      </c>
      <c r="H30" t="s">
        <v>220</v>
      </c>
      <c r="I30" t="s">
        <v>221</v>
      </c>
      <c r="J30" t="s">
        <v>222</v>
      </c>
      <c r="K30" s="27">
        <v>46066.506203703706</v>
      </c>
    </row>
    <row r="31" spans="1:11" x14ac:dyDescent="0.25">
      <c r="A31" t="s">
        <v>252</v>
      </c>
      <c r="B31" s="26">
        <v>46040</v>
      </c>
      <c r="C31">
        <v>1</v>
      </c>
      <c r="D31" t="s">
        <v>41</v>
      </c>
      <c r="E31" t="s">
        <v>218</v>
      </c>
      <c r="F31" t="s">
        <v>219</v>
      </c>
      <c r="G31">
        <v>0</v>
      </c>
      <c r="H31" t="s">
        <v>220</v>
      </c>
      <c r="I31" t="s">
        <v>224</v>
      </c>
      <c r="J31" t="s">
        <v>222</v>
      </c>
      <c r="K31" s="27">
        <v>46066.506608796299</v>
      </c>
    </row>
    <row r="32" spans="1:11" x14ac:dyDescent="0.25">
      <c r="A32" t="s">
        <v>253</v>
      </c>
      <c r="B32" s="26">
        <v>46040</v>
      </c>
      <c r="C32">
        <v>1</v>
      </c>
      <c r="D32" t="s">
        <v>41</v>
      </c>
      <c r="E32" t="s">
        <v>218</v>
      </c>
      <c r="F32" t="s">
        <v>219</v>
      </c>
      <c r="G32">
        <v>0</v>
      </c>
      <c r="H32" t="s">
        <v>220</v>
      </c>
      <c r="I32" t="s">
        <v>224</v>
      </c>
      <c r="J32" t="s">
        <v>222</v>
      </c>
      <c r="K32" s="27">
        <v>46066.506539351853</v>
      </c>
    </row>
    <row r="33" spans="1:11" x14ac:dyDescent="0.25">
      <c r="A33" t="s">
        <v>254</v>
      </c>
      <c r="B33" s="26">
        <v>46049</v>
      </c>
      <c r="C33">
        <v>1</v>
      </c>
      <c r="D33" t="s">
        <v>41</v>
      </c>
      <c r="E33" t="s">
        <v>218</v>
      </c>
      <c r="F33" t="s">
        <v>219</v>
      </c>
      <c r="G33">
        <v>0</v>
      </c>
      <c r="H33" t="s">
        <v>220</v>
      </c>
      <c r="I33" t="s">
        <v>224</v>
      </c>
      <c r="J33" t="s">
        <v>222</v>
      </c>
      <c r="K33" s="27">
        <v>46066.520902777775</v>
      </c>
    </row>
    <row r="34" spans="1:11" x14ac:dyDescent="0.25">
      <c r="A34" t="s">
        <v>255</v>
      </c>
      <c r="B34" s="26">
        <v>46049</v>
      </c>
      <c r="C34">
        <v>1</v>
      </c>
      <c r="D34" t="s">
        <v>41</v>
      </c>
      <c r="E34" t="s">
        <v>218</v>
      </c>
      <c r="F34" t="s">
        <v>219</v>
      </c>
      <c r="G34">
        <v>0</v>
      </c>
      <c r="H34" t="s">
        <v>220</v>
      </c>
      <c r="I34" t="s">
        <v>224</v>
      </c>
      <c r="J34" t="s">
        <v>222</v>
      </c>
      <c r="K34" s="27">
        <v>46066.520983796298</v>
      </c>
    </row>
    <row r="35" spans="1:11" x14ac:dyDescent="0.25">
      <c r="A35" t="s">
        <v>256</v>
      </c>
      <c r="B35" s="26">
        <v>46049</v>
      </c>
      <c r="C35">
        <v>1</v>
      </c>
      <c r="D35" t="s">
        <v>41</v>
      </c>
      <c r="E35" t="s">
        <v>218</v>
      </c>
      <c r="F35" t="s">
        <v>219</v>
      </c>
      <c r="G35">
        <v>0</v>
      </c>
      <c r="H35" t="s">
        <v>220</v>
      </c>
      <c r="I35" t="s">
        <v>224</v>
      </c>
      <c r="J35" t="s">
        <v>222</v>
      </c>
      <c r="K35" s="27">
        <v>46066.521087962959</v>
      </c>
    </row>
    <row r="36" spans="1:11" x14ac:dyDescent="0.25">
      <c r="A36" t="s">
        <v>257</v>
      </c>
      <c r="B36" s="26">
        <v>46050</v>
      </c>
      <c r="C36">
        <v>1</v>
      </c>
      <c r="D36" t="s">
        <v>41</v>
      </c>
      <c r="E36" t="s">
        <v>218</v>
      </c>
      <c r="F36" t="s">
        <v>219</v>
      </c>
      <c r="G36">
        <v>0</v>
      </c>
      <c r="H36" t="s">
        <v>258</v>
      </c>
      <c r="I36" t="s">
        <v>224</v>
      </c>
      <c r="J36" t="s">
        <v>222</v>
      </c>
      <c r="K36" s="27">
        <v>46066.521585648145</v>
      </c>
    </row>
    <row r="37" spans="1:11" x14ac:dyDescent="0.25">
      <c r="A37" t="s">
        <v>259</v>
      </c>
      <c r="B37" s="26">
        <v>46052</v>
      </c>
      <c r="C37">
        <v>1</v>
      </c>
      <c r="D37" t="s">
        <v>41</v>
      </c>
      <c r="E37" t="s">
        <v>218</v>
      </c>
      <c r="F37" t="s">
        <v>219</v>
      </c>
      <c r="G37">
        <v>8</v>
      </c>
      <c r="H37" t="s">
        <v>220</v>
      </c>
      <c r="I37" t="s">
        <v>221</v>
      </c>
      <c r="J37" t="s">
        <v>222</v>
      </c>
      <c r="K37" s="27">
        <v>46066.521909722222</v>
      </c>
    </row>
    <row r="38" spans="1:11" x14ac:dyDescent="0.25">
      <c r="A38" t="s">
        <v>260</v>
      </c>
      <c r="B38" s="26">
        <v>46023</v>
      </c>
      <c r="C38">
        <v>1</v>
      </c>
      <c r="D38" t="s">
        <v>37</v>
      </c>
      <c r="E38" t="s">
        <v>218</v>
      </c>
      <c r="G38">
        <v>16</v>
      </c>
      <c r="H38" t="s">
        <v>258</v>
      </c>
      <c r="I38" t="s">
        <v>224</v>
      </c>
      <c r="J38" t="s">
        <v>222</v>
      </c>
      <c r="K38" s="27">
        <v>46070.431875000002</v>
      </c>
    </row>
    <row r="39" spans="1:11" x14ac:dyDescent="0.25">
      <c r="A39" t="s">
        <v>261</v>
      </c>
      <c r="B39" s="26">
        <v>46023</v>
      </c>
      <c r="C39">
        <v>1</v>
      </c>
      <c r="D39" t="s">
        <v>37</v>
      </c>
      <c r="E39" t="s">
        <v>218</v>
      </c>
      <c r="G39">
        <v>41</v>
      </c>
      <c r="H39" t="s">
        <v>258</v>
      </c>
      <c r="I39" t="s">
        <v>224</v>
      </c>
      <c r="J39" t="s">
        <v>222</v>
      </c>
      <c r="K39" s="27">
        <v>46070.431967592594</v>
      </c>
    </row>
    <row r="40" spans="1:11" x14ac:dyDescent="0.25">
      <c r="A40" t="s">
        <v>262</v>
      </c>
      <c r="B40" s="26">
        <v>46023</v>
      </c>
      <c r="C40">
        <v>1</v>
      </c>
      <c r="D40" t="s">
        <v>37</v>
      </c>
      <c r="E40" t="s">
        <v>218</v>
      </c>
      <c r="G40">
        <v>31</v>
      </c>
      <c r="H40" t="s">
        <v>258</v>
      </c>
      <c r="I40" t="s">
        <v>224</v>
      </c>
      <c r="J40" t="s">
        <v>222</v>
      </c>
      <c r="K40" s="27">
        <v>46070.431979166664</v>
      </c>
    </row>
    <row r="41" spans="1:11" x14ac:dyDescent="0.25">
      <c r="A41" t="s">
        <v>263</v>
      </c>
      <c r="B41" s="26">
        <v>46023</v>
      </c>
      <c r="C41">
        <v>1</v>
      </c>
      <c r="D41" t="s">
        <v>37</v>
      </c>
      <c r="E41" t="s">
        <v>218</v>
      </c>
      <c r="G41">
        <v>27</v>
      </c>
      <c r="H41" t="s">
        <v>258</v>
      </c>
      <c r="I41" t="s">
        <v>224</v>
      </c>
      <c r="J41" t="s">
        <v>222</v>
      </c>
      <c r="K41" s="27">
        <v>46070.432025462964</v>
      </c>
    </row>
    <row r="42" spans="1:11" x14ac:dyDescent="0.25">
      <c r="A42" t="s">
        <v>264</v>
      </c>
      <c r="B42" s="26">
        <v>46024</v>
      </c>
      <c r="C42">
        <v>1</v>
      </c>
      <c r="D42" t="s">
        <v>37</v>
      </c>
      <c r="E42" t="s">
        <v>218</v>
      </c>
      <c r="G42">
        <v>37</v>
      </c>
      <c r="H42" t="s">
        <v>258</v>
      </c>
      <c r="I42" t="s">
        <v>224</v>
      </c>
      <c r="J42" t="s">
        <v>222</v>
      </c>
      <c r="K42" s="27">
        <v>46070.432534722226</v>
      </c>
    </row>
    <row r="43" spans="1:11" x14ac:dyDescent="0.25">
      <c r="A43" t="s">
        <v>265</v>
      </c>
      <c r="B43" s="26">
        <v>46024</v>
      </c>
      <c r="C43">
        <v>1</v>
      </c>
      <c r="D43" t="s">
        <v>37</v>
      </c>
      <c r="E43" t="s">
        <v>218</v>
      </c>
      <c r="G43">
        <v>14</v>
      </c>
      <c r="H43" t="s">
        <v>258</v>
      </c>
      <c r="I43" t="s">
        <v>224</v>
      </c>
      <c r="J43" t="s">
        <v>222</v>
      </c>
      <c r="K43" s="27">
        <v>46070.432569444441</v>
      </c>
    </row>
    <row r="44" spans="1:11" x14ac:dyDescent="0.25">
      <c r="A44" t="s">
        <v>266</v>
      </c>
      <c r="B44" s="26">
        <v>46024</v>
      </c>
      <c r="C44">
        <v>1</v>
      </c>
      <c r="D44" t="s">
        <v>37</v>
      </c>
      <c r="E44" t="s">
        <v>218</v>
      </c>
      <c r="G44">
        <v>22</v>
      </c>
      <c r="H44" t="s">
        <v>258</v>
      </c>
      <c r="I44" t="s">
        <v>224</v>
      </c>
      <c r="J44" t="s">
        <v>222</v>
      </c>
      <c r="K44" s="27">
        <v>46070.432581018518</v>
      </c>
    </row>
    <row r="45" spans="1:11" x14ac:dyDescent="0.25">
      <c r="A45" t="s">
        <v>267</v>
      </c>
      <c r="B45" s="26">
        <v>46024</v>
      </c>
      <c r="C45">
        <v>1</v>
      </c>
      <c r="D45" t="s">
        <v>37</v>
      </c>
      <c r="E45" t="s">
        <v>218</v>
      </c>
      <c r="G45">
        <v>33</v>
      </c>
      <c r="H45" t="s">
        <v>258</v>
      </c>
      <c r="I45" t="s">
        <v>224</v>
      </c>
      <c r="J45" t="s">
        <v>222</v>
      </c>
      <c r="K45" s="27">
        <v>46070.432592592595</v>
      </c>
    </row>
    <row r="46" spans="1:11" x14ac:dyDescent="0.25">
      <c r="A46" t="s">
        <v>268</v>
      </c>
      <c r="B46" s="26">
        <v>46025</v>
      </c>
      <c r="C46">
        <v>1</v>
      </c>
      <c r="D46" t="s">
        <v>37</v>
      </c>
      <c r="E46" t="s">
        <v>218</v>
      </c>
      <c r="G46">
        <v>15</v>
      </c>
      <c r="H46" t="s">
        <v>258</v>
      </c>
      <c r="I46" t="s">
        <v>224</v>
      </c>
      <c r="J46" t="s">
        <v>222</v>
      </c>
      <c r="K46" s="27">
        <v>46070.445011574076</v>
      </c>
    </row>
    <row r="47" spans="1:11" x14ac:dyDescent="0.25">
      <c r="A47" t="s">
        <v>269</v>
      </c>
      <c r="B47" s="26">
        <v>46025</v>
      </c>
      <c r="C47">
        <v>1</v>
      </c>
      <c r="D47" t="s">
        <v>37</v>
      </c>
      <c r="E47" t="s">
        <v>218</v>
      </c>
      <c r="G47">
        <v>29</v>
      </c>
      <c r="H47" t="s">
        <v>258</v>
      </c>
      <c r="I47" t="s">
        <v>224</v>
      </c>
      <c r="J47" t="s">
        <v>222</v>
      </c>
      <c r="K47" s="27">
        <v>46070.445023148146</v>
      </c>
    </row>
    <row r="48" spans="1:11" x14ac:dyDescent="0.25">
      <c r="A48" t="s">
        <v>270</v>
      </c>
      <c r="B48" s="26">
        <v>46025</v>
      </c>
      <c r="C48">
        <v>1</v>
      </c>
      <c r="D48" t="s">
        <v>37</v>
      </c>
      <c r="E48" t="s">
        <v>218</v>
      </c>
      <c r="G48">
        <v>22</v>
      </c>
      <c r="H48" t="s">
        <v>258</v>
      </c>
      <c r="I48" t="s">
        <v>224</v>
      </c>
      <c r="J48" t="s">
        <v>222</v>
      </c>
      <c r="K48" s="27">
        <v>46070.445081018515</v>
      </c>
    </row>
    <row r="49" spans="1:11" x14ac:dyDescent="0.25">
      <c r="A49" t="s">
        <v>271</v>
      </c>
      <c r="B49" s="26">
        <v>46026</v>
      </c>
      <c r="C49">
        <v>1</v>
      </c>
      <c r="D49" t="s">
        <v>37</v>
      </c>
      <c r="E49" t="s">
        <v>218</v>
      </c>
      <c r="G49">
        <v>27</v>
      </c>
      <c r="H49" t="s">
        <v>258</v>
      </c>
      <c r="I49" t="s">
        <v>224</v>
      </c>
      <c r="J49" t="s">
        <v>222</v>
      </c>
      <c r="K49" s="27">
        <v>46070.445636574077</v>
      </c>
    </row>
    <row r="50" spans="1:11" x14ac:dyDescent="0.25">
      <c r="A50" t="s">
        <v>272</v>
      </c>
      <c r="B50" s="26">
        <v>46026</v>
      </c>
      <c r="C50">
        <v>1</v>
      </c>
      <c r="D50" t="s">
        <v>37</v>
      </c>
      <c r="E50" t="s">
        <v>218</v>
      </c>
      <c r="G50">
        <v>36</v>
      </c>
      <c r="H50" t="s">
        <v>258</v>
      </c>
      <c r="I50" t="s">
        <v>224</v>
      </c>
      <c r="J50" t="s">
        <v>222</v>
      </c>
      <c r="K50" s="27">
        <v>46070.445659722223</v>
      </c>
    </row>
    <row r="51" spans="1:11" x14ac:dyDescent="0.25">
      <c r="A51" t="s">
        <v>273</v>
      </c>
      <c r="B51" s="26">
        <v>46026</v>
      </c>
      <c r="C51">
        <v>1</v>
      </c>
      <c r="D51" t="s">
        <v>37</v>
      </c>
      <c r="E51" t="s">
        <v>218</v>
      </c>
      <c r="G51">
        <v>31</v>
      </c>
      <c r="H51" t="s">
        <v>258</v>
      </c>
      <c r="I51" t="s">
        <v>224</v>
      </c>
      <c r="J51" t="s">
        <v>222</v>
      </c>
      <c r="K51" s="27">
        <v>46070.445671296293</v>
      </c>
    </row>
    <row r="52" spans="1:11" x14ac:dyDescent="0.25">
      <c r="A52" t="s">
        <v>274</v>
      </c>
      <c r="B52" s="26">
        <v>46026</v>
      </c>
      <c r="C52">
        <v>1</v>
      </c>
      <c r="D52" t="s">
        <v>37</v>
      </c>
      <c r="E52" t="s">
        <v>218</v>
      </c>
      <c r="G52">
        <v>36</v>
      </c>
      <c r="H52" t="s">
        <v>258</v>
      </c>
      <c r="I52" t="s">
        <v>224</v>
      </c>
      <c r="J52" t="s">
        <v>222</v>
      </c>
      <c r="K52" s="27">
        <v>46070.445694444446</v>
      </c>
    </row>
    <row r="53" spans="1:11" x14ac:dyDescent="0.25">
      <c r="A53" t="s">
        <v>275</v>
      </c>
      <c r="B53" s="26">
        <v>46026</v>
      </c>
      <c r="C53">
        <v>1</v>
      </c>
      <c r="D53" t="s">
        <v>37</v>
      </c>
      <c r="E53" t="s">
        <v>218</v>
      </c>
      <c r="G53">
        <v>16</v>
      </c>
      <c r="H53" t="s">
        <v>258</v>
      </c>
      <c r="I53" t="s">
        <v>224</v>
      </c>
      <c r="J53" t="s">
        <v>222</v>
      </c>
      <c r="K53" s="27">
        <v>46070.445856481485</v>
      </c>
    </row>
    <row r="54" spans="1:11" x14ac:dyDescent="0.25">
      <c r="A54" t="s">
        <v>276</v>
      </c>
      <c r="B54" s="26">
        <v>46026</v>
      </c>
      <c r="C54">
        <v>1</v>
      </c>
      <c r="D54" t="s">
        <v>37</v>
      </c>
      <c r="E54" t="s">
        <v>218</v>
      </c>
      <c r="G54">
        <v>27</v>
      </c>
      <c r="H54" t="s">
        <v>258</v>
      </c>
      <c r="I54" t="s">
        <v>224</v>
      </c>
      <c r="J54" t="s">
        <v>222</v>
      </c>
      <c r="K54" s="27">
        <v>46070.445868055554</v>
      </c>
    </row>
    <row r="55" spans="1:11" x14ac:dyDescent="0.25">
      <c r="A55" t="s">
        <v>277</v>
      </c>
      <c r="B55" s="26">
        <v>46026</v>
      </c>
      <c r="C55">
        <v>1</v>
      </c>
      <c r="D55" t="s">
        <v>37</v>
      </c>
      <c r="E55" t="s">
        <v>218</v>
      </c>
      <c r="G55">
        <v>26</v>
      </c>
      <c r="H55" t="s">
        <v>258</v>
      </c>
      <c r="I55" t="s">
        <v>224</v>
      </c>
      <c r="J55" t="s">
        <v>222</v>
      </c>
      <c r="K55" s="27">
        <v>46070.445879629631</v>
      </c>
    </row>
    <row r="56" spans="1:11" x14ac:dyDescent="0.25">
      <c r="A56" t="s">
        <v>278</v>
      </c>
      <c r="B56" s="26">
        <v>46027</v>
      </c>
      <c r="C56">
        <v>1</v>
      </c>
      <c r="D56" t="s">
        <v>37</v>
      </c>
      <c r="E56" t="s">
        <v>218</v>
      </c>
      <c r="G56">
        <v>14</v>
      </c>
      <c r="H56" t="s">
        <v>258</v>
      </c>
      <c r="I56" t="s">
        <v>224</v>
      </c>
      <c r="J56" t="s">
        <v>222</v>
      </c>
      <c r="K56" s="27">
        <v>46070.446018518516</v>
      </c>
    </row>
    <row r="57" spans="1:11" x14ac:dyDescent="0.25">
      <c r="A57" t="s">
        <v>279</v>
      </c>
      <c r="B57" s="26">
        <v>46027</v>
      </c>
      <c r="C57">
        <v>1</v>
      </c>
      <c r="D57" t="s">
        <v>37</v>
      </c>
      <c r="E57" t="s">
        <v>218</v>
      </c>
      <c r="G57">
        <v>21</v>
      </c>
      <c r="H57" t="s">
        <v>258</v>
      </c>
      <c r="I57" t="s">
        <v>224</v>
      </c>
      <c r="J57" t="s">
        <v>222</v>
      </c>
      <c r="K57" s="27">
        <v>46070.446030092593</v>
      </c>
    </row>
    <row r="58" spans="1:11" x14ac:dyDescent="0.25">
      <c r="A58" t="s">
        <v>280</v>
      </c>
      <c r="B58" s="26">
        <v>46027</v>
      </c>
      <c r="C58">
        <v>1</v>
      </c>
      <c r="D58" t="s">
        <v>37</v>
      </c>
      <c r="E58" t="s">
        <v>218</v>
      </c>
      <c r="G58">
        <v>45</v>
      </c>
      <c r="H58" t="s">
        <v>258</v>
      </c>
      <c r="I58" t="s">
        <v>224</v>
      </c>
      <c r="J58" t="s">
        <v>222</v>
      </c>
      <c r="K58" s="27">
        <v>46070.446273148147</v>
      </c>
    </row>
    <row r="59" spans="1:11" x14ac:dyDescent="0.25">
      <c r="A59" t="s">
        <v>281</v>
      </c>
      <c r="B59" s="26">
        <v>46027</v>
      </c>
      <c r="C59">
        <v>1</v>
      </c>
      <c r="D59" t="s">
        <v>37</v>
      </c>
      <c r="E59" t="s">
        <v>218</v>
      </c>
      <c r="G59">
        <v>37</v>
      </c>
      <c r="H59" t="s">
        <v>258</v>
      </c>
      <c r="I59" t="s">
        <v>224</v>
      </c>
      <c r="J59" t="s">
        <v>222</v>
      </c>
      <c r="K59" s="27">
        <v>46070.44630787037</v>
      </c>
    </row>
    <row r="60" spans="1:11" x14ac:dyDescent="0.25">
      <c r="A60" t="s">
        <v>282</v>
      </c>
      <c r="B60" s="26">
        <v>46027</v>
      </c>
      <c r="C60">
        <v>1</v>
      </c>
      <c r="D60" t="s">
        <v>37</v>
      </c>
      <c r="E60" t="s">
        <v>218</v>
      </c>
      <c r="G60">
        <v>19</v>
      </c>
      <c r="H60" t="s">
        <v>258</v>
      </c>
      <c r="I60" t="s">
        <v>224</v>
      </c>
      <c r="J60" t="s">
        <v>222</v>
      </c>
      <c r="K60" s="27">
        <v>46070.446331018517</v>
      </c>
    </row>
    <row r="61" spans="1:11" x14ac:dyDescent="0.25">
      <c r="A61" t="s">
        <v>283</v>
      </c>
      <c r="B61" s="26">
        <v>46028</v>
      </c>
      <c r="C61">
        <v>1</v>
      </c>
      <c r="D61" t="s">
        <v>37</v>
      </c>
      <c r="E61" t="s">
        <v>218</v>
      </c>
      <c r="G61">
        <v>20</v>
      </c>
      <c r="H61" t="s">
        <v>258</v>
      </c>
      <c r="I61" t="s">
        <v>224</v>
      </c>
      <c r="J61" t="s">
        <v>222</v>
      </c>
      <c r="K61" s="27">
        <v>46070.446458333332</v>
      </c>
    </row>
    <row r="62" spans="1:11" x14ac:dyDescent="0.25">
      <c r="A62" t="s">
        <v>284</v>
      </c>
      <c r="B62" s="26">
        <v>46028</v>
      </c>
      <c r="C62">
        <v>1</v>
      </c>
      <c r="D62" t="s">
        <v>37</v>
      </c>
      <c r="E62" t="s">
        <v>218</v>
      </c>
      <c r="G62">
        <v>33</v>
      </c>
      <c r="H62" t="s">
        <v>258</v>
      </c>
      <c r="I62" t="s">
        <v>224</v>
      </c>
      <c r="J62" t="s">
        <v>222</v>
      </c>
      <c r="K62" s="27">
        <v>46070.446469907409</v>
      </c>
    </row>
    <row r="63" spans="1:11" x14ac:dyDescent="0.25">
      <c r="A63" t="s">
        <v>285</v>
      </c>
      <c r="B63" s="26">
        <v>46028</v>
      </c>
      <c r="C63">
        <v>1</v>
      </c>
      <c r="D63" t="s">
        <v>37</v>
      </c>
      <c r="E63" t="s">
        <v>218</v>
      </c>
      <c r="G63">
        <v>21</v>
      </c>
      <c r="H63" t="s">
        <v>258</v>
      </c>
      <c r="I63" t="s">
        <v>224</v>
      </c>
      <c r="J63" t="s">
        <v>222</v>
      </c>
      <c r="K63" s="27">
        <v>46070.446481481478</v>
      </c>
    </row>
    <row r="64" spans="1:11" x14ac:dyDescent="0.25">
      <c r="A64" t="s">
        <v>286</v>
      </c>
      <c r="B64" s="26">
        <v>46028</v>
      </c>
      <c r="C64">
        <v>1</v>
      </c>
      <c r="D64" t="s">
        <v>37</v>
      </c>
      <c r="E64" t="s">
        <v>218</v>
      </c>
      <c r="G64">
        <v>37</v>
      </c>
      <c r="H64" t="s">
        <v>258</v>
      </c>
      <c r="I64" t="s">
        <v>224</v>
      </c>
      <c r="J64" t="s">
        <v>222</v>
      </c>
      <c r="K64" s="27">
        <v>46070.446504629632</v>
      </c>
    </row>
    <row r="65" spans="1:11" x14ac:dyDescent="0.25">
      <c r="A65" t="s">
        <v>287</v>
      </c>
      <c r="B65" s="26">
        <v>46028</v>
      </c>
      <c r="C65">
        <v>1</v>
      </c>
      <c r="D65" t="s">
        <v>37</v>
      </c>
      <c r="E65" t="s">
        <v>218</v>
      </c>
      <c r="G65">
        <v>31</v>
      </c>
      <c r="H65" t="s">
        <v>258</v>
      </c>
      <c r="I65" t="s">
        <v>224</v>
      </c>
      <c r="J65" t="s">
        <v>222</v>
      </c>
      <c r="K65" s="27">
        <v>46070.446562500001</v>
      </c>
    </row>
    <row r="66" spans="1:11" x14ac:dyDescent="0.25">
      <c r="A66" t="s">
        <v>288</v>
      </c>
      <c r="B66" s="26">
        <v>46028</v>
      </c>
      <c r="C66">
        <v>1</v>
      </c>
      <c r="D66" t="s">
        <v>37</v>
      </c>
      <c r="E66" t="s">
        <v>218</v>
      </c>
      <c r="G66">
        <v>37</v>
      </c>
      <c r="H66" t="s">
        <v>258</v>
      </c>
      <c r="I66" t="s">
        <v>224</v>
      </c>
      <c r="J66" t="s">
        <v>222</v>
      </c>
      <c r="K66" s="27">
        <v>46070.446631944447</v>
      </c>
    </row>
    <row r="67" spans="1:11" x14ac:dyDescent="0.25">
      <c r="A67" t="s">
        <v>289</v>
      </c>
      <c r="B67" s="26">
        <v>46029</v>
      </c>
      <c r="C67">
        <v>1</v>
      </c>
      <c r="D67" t="s">
        <v>37</v>
      </c>
      <c r="E67" t="s">
        <v>218</v>
      </c>
      <c r="G67">
        <v>33</v>
      </c>
      <c r="H67" t="s">
        <v>258</v>
      </c>
      <c r="I67" t="s">
        <v>224</v>
      </c>
      <c r="J67" t="s">
        <v>222</v>
      </c>
      <c r="K67" s="27">
        <v>46070.446770833332</v>
      </c>
    </row>
    <row r="68" spans="1:11" x14ac:dyDescent="0.25">
      <c r="A68" t="s">
        <v>290</v>
      </c>
      <c r="B68" s="26">
        <v>46029</v>
      </c>
      <c r="C68">
        <v>1</v>
      </c>
      <c r="D68" t="s">
        <v>37</v>
      </c>
      <c r="E68" t="s">
        <v>218</v>
      </c>
      <c r="G68">
        <v>24</v>
      </c>
      <c r="H68" t="s">
        <v>258</v>
      </c>
      <c r="I68" t="s">
        <v>224</v>
      </c>
      <c r="J68" t="s">
        <v>222</v>
      </c>
      <c r="K68" s="27">
        <v>46070.446805555555</v>
      </c>
    </row>
    <row r="69" spans="1:11" x14ac:dyDescent="0.25">
      <c r="A69" t="s">
        <v>291</v>
      </c>
      <c r="B69" s="26">
        <v>46029</v>
      </c>
      <c r="C69">
        <v>1</v>
      </c>
      <c r="D69" t="s">
        <v>37</v>
      </c>
      <c r="E69" t="s">
        <v>218</v>
      </c>
      <c r="G69">
        <v>34</v>
      </c>
      <c r="H69" t="s">
        <v>258</v>
      </c>
      <c r="I69" t="s">
        <v>224</v>
      </c>
      <c r="J69" t="s">
        <v>222</v>
      </c>
      <c r="K69" s="27">
        <v>46070.446828703702</v>
      </c>
    </row>
    <row r="70" spans="1:11" x14ac:dyDescent="0.25">
      <c r="A70" t="s">
        <v>292</v>
      </c>
      <c r="B70" s="26">
        <v>46030</v>
      </c>
      <c r="C70">
        <v>1</v>
      </c>
      <c r="D70" t="s">
        <v>37</v>
      </c>
      <c r="E70" t="s">
        <v>218</v>
      </c>
      <c r="G70">
        <v>32</v>
      </c>
      <c r="H70" t="s">
        <v>258</v>
      </c>
      <c r="I70" t="s">
        <v>224</v>
      </c>
      <c r="J70" t="s">
        <v>222</v>
      </c>
      <c r="K70" s="27">
        <v>46070.446944444448</v>
      </c>
    </row>
    <row r="71" spans="1:11" x14ac:dyDescent="0.25">
      <c r="A71" t="s">
        <v>293</v>
      </c>
      <c r="B71" s="26">
        <v>46030</v>
      </c>
      <c r="C71">
        <v>1</v>
      </c>
      <c r="D71" t="s">
        <v>37</v>
      </c>
      <c r="E71" t="s">
        <v>218</v>
      </c>
      <c r="G71">
        <v>22</v>
      </c>
      <c r="H71" t="s">
        <v>258</v>
      </c>
      <c r="I71" t="s">
        <v>224</v>
      </c>
      <c r="J71" t="s">
        <v>222</v>
      </c>
      <c r="K71" s="27">
        <v>46070.446979166663</v>
      </c>
    </row>
    <row r="72" spans="1:11" x14ac:dyDescent="0.25">
      <c r="A72" t="s">
        <v>294</v>
      </c>
      <c r="B72" s="26">
        <v>46030</v>
      </c>
      <c r="C72">
        <v>1</v>
      </c>
      <c r="D72" t="s">
        <v>37</v>
      </c>
      <c r="E72" t="s">
        <v>218</v>
      </c>
      <c r="G72">
        <v>25</v>
      </c>
      <c r="H72" t="s">
        <v>258</v>
      </c>
      <c r="I72" t="s">
        <v>224</v>
      </c>
      <c r="J72" t="s">
        <v>222</v>
      </c>
      <c r="K72" s="27">
        <v>46070.447002314817</v>
      </c>
    </row>
    <row r="73" spans="1:11" x14ac:dyDescent="0.25">
      <c r="A73" t="s">
        <v>295</v>
      </c>
      <c r="B73" s="26">
        <v>46030</v>
      </c>
      <c r="C73">
        <v>1</v>
      </c>
      <c r="D73" t="s">
        <v>37</v>
      </c>
      <c r="E73" t="s">
        <v>218</v>
      </c>
      <c r="G73">
        <v>24</v>
      </c>
      <c r="H73" t="s">
        <v>258</v>
      </c>
      <c r="I73" t="s">
        <v>224</v>
      </c>
      <c r="J73" t="s">
        <v>222</v>
      </c>
      <c r="K73" s="27">
        <v>46070.447013888886</v>
      </c>
    </row>
    <row r="74" spans="1:11" x14ac:dyDescent="0.25">
      <c r="A74" t="s">
        <v>296</v>
      </c>
      <c r="B74" s="26">
        <v>46030</v>
      </c>
      <c r="C74">
        <v>1</v>
      </c>
      <c r="D74" t="s">
        <v>37</v>
      </c>
      <c r="E74" t="s">
        <v>218</v>
      </c>
      <c r="G74">
        <v>19</v>
      </c>
      <c r="H74" t="s">
        <v>258</v>
      </c>
      <c r="I74" t="s">
        <v>224</v>
      </c>
      <c r="J74" t="s">
        <v>222</v>
      </c>
      <c r="K74" s="27">
        <v>46070.44703703704</v>
      </c>
    </row>
    <row r="75" spans="1:11" x14ac:dyDescent="0.25">
      <c r="A75" t="s">
        <v>297</v>
      </c>
      <c r="B75" s="26">
        <v>46030</v>
      </c>
      <c r="C75">
        <v>1</v>
      </c>
      <c r="D75" t="s">
        <v>37</v>
      </c>
      <c r="E75" t="s">
        <v>218</v>
      </c>
      <c r="G75">
        <v>32</v>
      </c>
      <c r="H75" t="s">
        <v>258</v>
      </c>
      <c r="I75" t="s">
        <v>224</v>
      </c>
      <c r="J75" t="s">
        <v>222</v>
      </c>
      <c r="K75" s="27">
        <v>46070.447071759256</v>
      </c>
    </row>
    <row r="76" spans="1:11" x14ac:dyDescent="0.25">
      <c r="A76" t="s">
        <v>298</v>
      </c>
      <c r="B76" s="26">
        <v>46030</v>
      </c>
      <c r="C76">
        <v>1</v>
      </c>
      <c r="D76" t="s">
        <v>37</v>
      </c>
      <c r="E76" t="s">
        <v>218</v>
      </c>
      <c r="G76">
        <v>30</v>
      </c>
      <c r="H76" t="s">
        <v>258</v>
      </c>
      <c r="I76" t="s">
        <v>224</v>
      </c>
      <c r="J76" t="s">
        <v>222</v>
      </c>
      <c r="K76" s="27">
        <v>46070.447094907409</v>
      </c>
    </row>
    <row r="77" spans="1:11" x14ac:dyDescent="0.25">
      <c r="A77" t="s">
        <v>299</v>
      </c>
      <c r="B77" s="26">
        <v>46031</v>
      </c>
      <c r="C77">
        <v>1</v>
      </c>
      <c r="D77" t="s">
        <v>37</v>
      </c>
      <c r="E77" t="s">
        <v>218</v>
      </c>
      <c r="G77">
        <v>17</v>
      </c>
      <c r="H77" t="s">
        <v>258</v>
      </c>
      <c r="I77" t="s">
        <v>224</v>
      </c>
      <c r="J77" t="s">
        <v>222</v>
      </c>
      <c r="K77" s="27">
        <v>46070.447384259256</v>
      </c>
    </row>
    <row r="78" spans="1:11" x14ac:dyDescent="0.25">
      <c r="A78" t="s">
        <v>300</v>
      </c>
      <c r="B78" s="26">
        <v>46031</v>
      </c>
      <c r="C78">
        <v>1</v>
      </c>
      <c r="D78" t="s">
        <v>37</v>
      </c>
      <c r="E78" t="s">
        <v>218</v>
      </c>
      <c r="G78">
        <v>23</v>
      </c>
      <c r="H78" t="s">
        <v>258</v>
      </c>
      <c r="I78" t="s">
        <v>224</v>
      </c>
      <c r="J78" t="s">
        <v>222</v>
      </c>
      <c r="K78" s="27">
        <v>46070.44740740741</v>
      </c>
    </row>
    <row r="79" spans="1:11" x14ac:dyDescent="0.25">
      <c r="A79" t="s">
        <v>301</v>
      </c>
      <c r="B79" s="26">
        <v>46031</v>
      </c>
      <c r="C79">
        <v>1</v>
      </c>
      <c r="D79" t="s">
        <v>37</v>
      </c>
      <c r="E79" t="s">
        <v>218</v>
      </c>
      <c r="G79">
        <v>28</v>
      </c>
      <c r="H79" t="s">
        <v>258</v>
      </c>
      <c r="I79" t="s">
        <v>224</v>
      </c>
      <c r="J79" t="s">
        <v>222</v>
      </c>
      <c r="K79" s="27">
        <v>46070.447430555556</v>
      </c>
    </row>
    <row r="80" spans="1:11" x14ac:dyDescent="0.25">
      <c r="A80" t="s">
        <v>302</v>
      </c>
      <c r="B80" s="26">
        <v>46032</v>
      </c>
      <c r="C80">
        <v>1</v>
      </c>
      <c r="D80" t="s">
        <v>37</v>
      </c>
      <c r="E80" t="s">
        <v>218</v>
      </c>
      <c r="G80">
        <v>23</v>
      </c>
      <c r="H80" t="s">
        <v>258</v>
      </c>
      <c r="I80" t="s">
        <v>224</v>
      </c>
      <c r="J80" t="s">
        <v>222</v>
      </c>
      <c r="K80" s="27">
        <v>46070.447511574072</v>
      </c>
    </row>
    <row r="81" spans="1:11" x14ac:dyDescent="0.25">
      <c r="A81" t="s">
        <v>303</v>
      </c>
      <c r="B81" s="26">
        <v>46032</v>
      </c>
      <c r="C81">
        <v>1</v>
      </c>
      <c r="D81" t="s">
        <v>37</v>
      </c>
      <c r="E81" t="s">
        <v>218</v>
      </c>
      <c r="G81">
        <v>16</v>
      </c>
      <c r="H81" t="s">
        <v>258</v>
      </c>
      <c r="I81" t="s">
        <v>224</v>
      </c>
      <c r="J81" t="s">
        <v>222</v>
      </c>
      <c r="K81" s="27">
        <v>46070.447523148148</v>
      </c>
    </row>
    <row r="82" spans="1:11" x14ac:dyDescent="0.25">
      <c r="A82" t="s">
        <v>304</v>
      </c>
      <c r="B82" s="26">
        <v>46032</v>
      </c>
      <c r="C82">
        <v>1</v>
      </c>
      <c r="D82" t="s">
        <v>37</v>
      </c>
      <c r="E82" t="s">
        <v>218</v>
      </c>
      <c r="G82">
        <v>37</v>
      </c>
      <c r="H82" t="s">
        <v>258</v>
      </c>
      <c r="I82" t="s">
        <v>224</v>
      </c>
      <c r="J82" t="s">
        <v>222</v>
      </c>
      <c r="K82" s="27">
        <v>46070.447546296295</v>
      </c>
    </row>
    <row r="83" spans="1:11" x14ac:dyDescent="0.25">
      <c r="A83" t="s">
        <v>305</v>
      </c>
      <c r="B83" s="26">
        <v>46032</v>
      </c>
      <c r="C83">
        <v>1</v>
      </c>
      <c r="D83" t="s">
        <v>37</v>
      </c>
      <c r="E83" t="s">
        <v>218</v>
      </c>
      <c r="G83">
        <v>31</v>
      </c>
      <c r="H83" t="s">
        <v>258</v>
      </c>
      <c r="I83" t="s">
        <v>224</v>
      </c>
      <c r="J83" t="s">
        <v>222</v>
      </c>
      <c r="K83" s="27">
        <v>46070.447592592594</v>
      </c>
    </row>
    <row r="84" spans="1:11" x14ac:dyDescent="0.25">
      <c r="A84" t="s">
        <v>306</v>
      </c>
      <c r="B84" s="26">
        <v>46033</v>
      </c>
      <c r="C84">
        <v>1</v>
      </c>
      <c r="D84" t="s">
        <v>37</v>
      </c>
      <c r="E84" t="s">
        <v>218</v>
      </c>
      <c r="G84">
        <v>25</v>
      </c>
      <c r="H84" t="s">
        <v>258</v>
      </c>
      <c r="I84" t="s">
        <v>224</v>
      </c>
      <c r="J84" t="s">
        <v>222</v>
      </c>
      <c r="K84" s="27">
        <v>46070.451261574075</v>
      </c>
    </row>
    <row r="85" spans="1:11" x14ac:dyDescent="0.25">
      <c r="A85" t="s">
        <v>307</v>
      </c>
      <c r="B85" s="26">
        <v>46033</v>
      </c>
      <c r="C85">
        <v>1</v>
      </c>
      <c r="D85" t="s">
        <v>37</v>
      </c>
      <c r="E85" t="s">
        <v>218</v>
      </c>
      <c r="G85">
        <v>26</v>
      </c>
      <c r="H85" t="s">
        <v>258</v>
      </c>
      <c r="I85" t="s">
        <v>224</v>
      </c>
      <c r="J85" t="s">
        <v>222</v>
      </c>
      <c r="K85" s="27">
        <v>46070.451296296298</v>
      </c>
    </row>
    <row r="86" spans="1:11" x14ac:dyDescent="0.25">
      <c r="A86" t="s">
        <v>308</v>
      </c>
      <c r="B86" s="26">
        <v>46033</v>
      </c>
      <c r="C86">
        <v>1</v>
      </c>
      <c r="D86" t="s">
        <v>37</v>
      </c>
      <c r="E86" t="s">
        <v>218</v>
      </c>
      <c r="G86">
        <v>32</v>
      </c>
      <c r="H86" t="s">
        <v>258</v>
      </c>
      <c r="I86" t="s">
        <v>224</v>
      </c>
      <c r="J86" t="s">
        <v>222</v>
      </c>
      <c r="K86" s="27">
        <v>46070.451307870368</v>
      </c>
    </row>
    <row r="87" spans="1:11" x14ac:dyDescent="0.25">
      <c r="A87" t="s">
        <v>309</v>
      </c>
      <c r="B87" s="26">
        <v>46033</v>
      </c>
      <c r="C87">
        <v>1</v>
      </c>
      <c r="D87" t="s">
        <v>37</v>
      </c>
      <c r="E87" t="s">
        <v>218</v>
      </c>
      <c r="G87">
        <v>26</v>
      </c>
      <c r="H87" t="s">
        <v>258</v>
      </c>
      <c r="I87" t="s">
        <v>224</v>
      </c>
      <c r="J87" t="s">
        <v>222</v>
      </c>
      <c r="K87" s="27">
        <v>46070.451319444444</v>
      </c>
    </row>
    <row r="88" spans="1:11" x14ac:dyDescent="0.25">
      <c r="A88" t="s">
        <v>310</v>
      </c>
      <c r="B88" s="26">
        <v>46033</v>
      </c>
      <c r="C88">
        <v>1</v>
      </c>
      <c r="D88" t="s">
        <v>37</v>
      </c>
      <c r="E88" t="s">
        <v>218</v>
      </c>
      <c r="G88">
        <v>31</v>
      </c>
      <c r="H88" t="s">
        <v>258</v>
      </c>
      <c r="I88" t="s">
        <v>224</v>
      </c>
      <c r="J88" t="s">
        <v>222</v>
      </c>
      <c r="K88" s="27">
        <v>46070.451342592591</v>
      </c>
    </row>
    <row r="89" spans="1:11" x14ac:dyDescent="0.25">
      <c r="A89" t="s">
        <v>311</v>
      </c>
      <c r="B89" s="26">
        <v>46033</v>
      </c>
      <c r="C89">
        <v>1</v>
      </c>
      <c r="D89" t="s">
        <v>37</v>
      </c>
      <c r="E89" t="s">
        <v>218</v>
      </c>
      <c r="G89">
        <v>23</v>
      </c>
      <c r="H89" t="s">
        <v>258</v>
      </c>
      <c r="I89" t="s">
        <v>224</v>
      </c>
      <c r="J89" t="s">
        <v>222</v>
      </c>
      <c r="K89" s="27">
        <v>46070.451354166667</v>
      </c>
    </row>
    <row r="90" spans="1:11" x14ac:dyDescent="0.25">
      <c r="A90" t="s">
        <v>312</v>
      </c>
      <c r="B90" s="26">
        <v>46034</v>
      </c>
      <c r="C90">
        <v>1</v>
      </c>
      <c r="D90" t="s">
        <v>37</v>
      </c>
      <c r="E90" t="s">
        <v>218</v>
      </c>
      <c r="G90">
        <v>31</v>
      </c>
      <c r="H90" t="s">
        <v>258</v>
      </c>
      <c r="I90" t="s">
        <v>224</v>
      </c>
      <c r="J90" t="s">
        <v>222</v>
      </c>
      <c r="K90" s="27">
        <v>46070.451527777775</v>
      </c>
    </row>
    <row r="91" spans="1:11" x14ac:dyDescent="0.25">
      <c r="A91" t="s">
        <v>313</v>
      </c>
      <c r="B91" s="26">
        <v>46034</v>
      </c>
      <c r="C91">
        <v>1</v>
      </c>
      <c r="D91" t="s">
        <v>37</v>
      </c>
      <c r="E91" t="s">
        <v>218</v>
      </c>
      <c r="G91">
        <v>20</v>
      </c>
      <c r="H91" t="s">
        <v>258</v>
      </c>
      <c r="I91" t="s">
        <v>224</v>
      </c>
      <c r="J91" t="s">
        <v>222</v>
      </c>
      <c r="K91" s="27">
        <v>46070.451539351852</v>
      </c>
    </row>
    <row r="92" spans="1:11" x14ac:dyDescent="0.25">
      <c r="A92" t="s">
        <v>314</v>
      </c>
      <c r="B92" s="26">
        <v>46034</v>
      </c>
      <c r="C92">
        <v>1</v>
      </c>
      <c r="D92" t="s">
        <v>37</v>
      </c>
      <c r="E92" t="s">
        <v>218</v>
      </c>
      <c r="G92">
        <v>36</v>
      </c>
      <c r="H92" t="s">
        <v>258</v>
      </c>
      <c r="I92" t="s">
        <v>224</v>
      </c>
      <c r="J92" t="s">
        <v>222</v>
      </c>
      <c r="K92" s="27">
        <v>46070.451562499999</v>
      </c>
    </row>
    <row r="93" spans="1:11" x14ac:dyDescent="0.25">
      <c r="A93" t="s">
        <v>315</v>
      </c>
      <c r="B93" s="26">
        <v>46034</v>
      </c>
      <c r="C93">
        <v>1</v>
      </c>
      <c r="D93" t="s">
        <v>37</v>
      </c>
      <c r="E93" t="s">
        <v>218</v>
      </c>
      <c r="G93">
        <v>29</v>
      </c>
      <c r="H93" t="s">
        <v>258</v>
      </c>
      <c r="I93" t="s">
        <v>224</v>
      </c>
      <c r="J93" t="s">
        <v>222</v>
      </c>
      <c r="K93" s="27">
        <v>46070.451585648145</v>
      </c>
    </row>
    <row r="94" spans="1:11" x14ac:dyDescent="0.25">
      <c r="A94" t="s">
        <v>316</v>
      </c>
      <c r="B94" s="26">
        <v>46034</v>
      </c>
      <c r="C94">
        <v>1</v>
      </c>
      <c r="D94" t="s">
        <v>37</v>
      </c>
      <c r="E94" t="s">
        <v>218</v>
      </c>
      <c r="G94">
        <v>32</v>
      </c>
      <c r="H94" t="s">
        <v>258</v>
      </c>
      <c r="I94" t="s">
        <v>224</v>
      </c>
      <c r="J94" t="s">
        <v>222</v>
      </c>
      <c r="K94" s="27">
        <v>46070.451597222222</v>
      </c>
    </row>
    <row r="95" spans="1:11" x14ac:dyDescent="0.25">
      <c r="A95" t="s">
        <v>317</v>
      </c>
      <c r="B95" s="26">
        <v>46034</v>
      </c>
      <c r="C95">
        <v>1</v>
      </c>
      <c r="D95" t="s">
        <v>37</v>
      </c>
      <c r="E95" t="s">
        <v>218</v>
      </c>
      <c r="G95">
        <v>40</v>
      </c>
      <c r="H95" t="s">
        <v>258</v>
      </c>
      <c r="I95" t="s">
        <v>224</v>
      </c>
      <c r="J95" t="s">
        <v>222</v>
      </c>
      <c r="K95" s="27">
        <v>46070.451608796298</v>
      </c>
    </row>
    <row r="96" spans="1:11" x14ac:dyDescent="0.25">
      <c r="A96" t="s">
        <v>318</v>
      </c>
      <c r="B96" s="26">
        <v>46034</v>
      </c>
      <c r="C96">
        <v>1</v>
      </c>
      <c r="D96" t="s">
        <v>37</v>
      </c>
      <c r="E96" t="s">
        <v>218</v>
      </c>
      <c r="G96">
        <v>34</v>
      </c>
      <c r="H96" t="s">
        <v>258</v>
      </c>
      <c r="I96" t="s">
        <v>224</v>
      </c>
      <c r="J96" t="s">
        <v>222</v>
      </c>
      <c r="K96" s="27">
        <v>46070.451631944445</v>
      </c>
    </row>
    <row r="97" spans="1:11" x14ac:dyDescent="0.25">
      <c r="A97" t="s">
        <v>319</v>
      </c>
      <c r="B97" s="26">
        <v>46034</v>
      </c>
      <c r="C97">
        <v>1</v>
      </c>
      <c r="D97" t="s">
        <v>37</v>
      </c>
      <c r="E97" t="s">
        <v>218</v>
      </c>
      <c r="G97">
        <v>30</v>
      </c>
      <c r="H97" t="s">
        <v>258</v>
      </c>
      <c r="I97" t="s">
        <v>224</v>
      </c>
      <c r="J97" t="s">
        <v>222</v>
      </c>
      <c r="K97" s="27">
        <v>46070.451643518521</v>
      </c>
    </row>
    <row r="98" spans="1:11" x14ac:dyDescent="0.25">
      <c r="A98" t="s">
        <v>320</v>
      </c>
      <c r="B98" s="26">
        <v>46035</v>
      </c>
      <c r="C98">
        <v>1</v>
      </c>
      <c r="D98" t="s">
        <v>37</v>
      </c>
      <c r="E98" t="s">
        <v>218</v>
      </c>
      <c r="G98">
        <v>29</v>
      </c>
      <c r="H98" t="s">
        <v>258</v>
      </c>
      <c r="I98" t="s">
        <v>224</v>
      </c>
      <c r="J98" t="s">
        <v>222</v>
      </c>
      <c r="K98" s="27">
        <v>46070.451863425929</v>
      </c>
    </row>
    <row r="99" spans="1:11" x14ac:dyDescent="0.25">
      <c r="A99" t="s">
        <v>321</v>
      </c>
      <c r="B99" s="26">
        <v>46035</v>
      </c>
      <c r="C99">
        <v>1</v>
      </c>
      <c r="D99" t="s">
        <v>37</v>
      </c>
      <c r="E99" t="s">
        <v>218</v>
      </c>
      <c r="G99">
        <v>23</v>
      </c>
      <c r="H99" t="s">
        <v>258</v>
      </c>
      <c r="I99" t="s">
        <v>224</v>
      </c>
      <c r="J99" t="s">
        <v>222</v>
      </c>
      <c r="K99" s="27">
        <v>46070.451886574076</v>
      </c>
    </row>
    <row r="100" spans="1:11" x14ac:dyDescent="0.25">
      <c r="A100" t="s">
        <v>322</v>
      </c>
      <c r="B100" s="26">
        <v>46035</v>
      </c>
      <c r="C100">
        <v>1</v>
      </c>
      <c r="D100" t="s">
        <v>37</v>
      </c>
      <c r="E100" t="s">
        <v>218</v>
      </c>
      <c r="G100">
        <v>24</v>
      </c>
      <c r="H100" t="s">
        <v>258</v>
      </c>
      <c r="I100" t="s">
        <v>224</v>
      </c>
      <c r="J100" t="s">
        <v>222</v>
      </c>
      <c r="K100" s="27">
        <v>46070.451909722222</v>
      </c>
    </row>
    <row r="101" spans="1:11" x14ac:dyDescent="0.25">
      <c r="A101" t="s">
        <v>323</v>
      </c>
      <c r="B101" s="26">
        <v>46035</v>
      </c>
      <c r="C101">
        <v>1</v>
      </c>
      <c r="D101" t="s">
        <v>37</v>
      </c>
      <c r="E101" t="s">
        <v>218</v>
      </c>
      <c r="G101">
        <v>3</v>
      </c>
      <c r="H101" t="s">
        <v>258</v>
      </c>
      <c r="I101" t="s">
        <v>224</v>
      </c>
      <c r="J101" t="s">
        <v>222</v>
      </c>
      <c r="K101" s="27">
        <v>46070.451932870368</v>
      </c>
    </row>
    <row r="102" spans="1:11" x14ac:dyDescent="0.25">
      <c r="A102" t="s">
        <v>324</v>
      </c>
      <c r="B102" s="26">
        <v>46035</v>
      </c>
      <c r="C102">
        <v>1</v>
      </c>
      <c r="D102" t="s">
        <v>37</v>
      </c>
      <c r="E102" t="s">
        <v>218</v>
      </c>
      <c r="G102">
        <v>26</v>
      </c>
      <c r="H102" t="s">
        <v>258</v>
      </c>
      <c r="I102" t="s">
        <v>224</v>
      </c>
      <c r="J102" t="s">
        <v>222</v>
      </c>
      <c r="K102" s="27">
        <v>46070.451944444445</v>
      </c>
    </row>
    <row r="103" spans="1:11" x14ac:dyDescent="0.25">
      <c r="A103" t="s">
        <v>325</v>
      </c>
      <c r="B103" s="26">
        <v>46036</v>
      </c>
      <c r="C103">
        <v>1</v>
      </c>
      <c r="D103" t="s">
        <v>37</v>
      </c>
      <c r="E103" t="s">
        <v>218</v>
      </c>
      <c r="G103">
        <v>39</v>
      </c>
      <c r="H103" t="s">
        <v>258</v>
      </c>
      <c r="I103" t="s">
        <v>224</v>
      </c>
      <c r="J103" t="s">
        <v>222</v>
      </c>
      <c r="K103" s="27">
        <v>46070.452557870369</v>
      </c>
    </row>
    <row r="104" spans="1:11" x14ac:dyDescent="0.25">
      <c r="A104" t="s">
        <v>326</v>
      </c>
      <c r="B104" s="26">
        <v>46036</v>
      </c>
      <c r="C104">
        <v>1</v>
      </c>
      <c r="D104" t="s">
        <v>37</v>
      </c>
      <c r="E104" t="s">
        <v>218</v>
      </c>
      <c r="G104">
        <v>35</v>
      </c>
      <c r="H104" t="s">
        <v>258</v>
      </c>
      <c r="I104" t="s">
        <v>224</v>
      </c>
      <c r="J104" t="s">
        <v>222</v>
      </c>
      <c r="K104" s="27">
        <v>46070.452581018515</v>
      </c>
    </row>
    <row r="105" spans="1:11" x14ac:dyDescent="0.25">
      <c r="A105" t="s">
        <v>327</v>
      </c>
      <c r="B105" s="26">
        <v>46036</v>
      </c>
      <c r="C105">
        <v>1</v>
      </c>
      <c r="D105" t="s">
        <v>37</v>
      </c>
      <c r="E105" t="s">
        <v>218</v>
      </c>
      <c r="G105">
        <v>37</v>
      </c>
      <c r="H105" t="s">
        <v>258</v>
      </c>
      <c r="I105" t="s">
        <v>224</v>
      </c>
      <c r="J105" t="s">
        <v>222</v>
      </c>
      <c r="K105" s="27">
        <v>46070.452627314815</v>
      </c>
    </row>
    <row r="106" spans="1:11" x14ac:dyDescent="0.25">
      <c r="A106" t="s">
        <v>328</v>
      </c>
      <c r="B106" s="26">
        <v>46036</v>
      </c>
      <c r="C106">
        <v>1</v>
      </c>
      <c r="D106" t="s">
        <v>37</v>
      </c>
      <c r="E106" t="s">
        <v>218</v>
      </c>
      <c r="G106">
        <v>29</v>
      </c>
      <c r="H106" t="s">
        <v>258</v>
      </c>
      <c r="I106" t="s">
        <v>224</v>
      </c>
      <c r="J106" t="s">
        <v>222</v>
      </c>
      <c r="K106" s="27">
        <v>46070.452638888892</v>
      </c>
    </row>
    <row r="107" spans="1:11" x14ac:dyDescent="0.25">
      <c r="A107" t="s">
        <v>329</v>
      </c>
      <c r="B107" s="26">
        <v>46036</v>
      </c>
      <c r="C107">
        <v>1</v>
      </c>
      <c r="D107" t="s">
        <v>37</v>
      </c>
      <c r="E107" t="s">
        <v>218</v>
      </c>
      <c r="G107">
        <v>24</v>
      </c>
      <c r="H107" t="s">
        <v>258</v>
      </c>
      <c r="I107" t="s">
        <v>224</v>
      </c>
      <c r="J107" t="s">
        <v>222</v>
      </c>
      <c r="K107" s="27">
        <v>46070.452650462961</v>
      </c>
    </row>
    <row r="108" spans="1:11" x14ac:dyDescent="0.25">
      <c r="A108" t="s">
        <v>330</v>
      </c>
      <c r="B108" s="26">
        <v>46037</v>
      </c>
      <c r="C108">
        <v>1</v>
      </c>
      <c r="D108" t="s">
        <v>37</v>
      </c>
      <c r="E108" t="s">
        <v>218</v>
      </c>
      <c r="G108">
        <v>41</v>
      </c>
      <c r="H108" t="s">
        <v>258</v>
      </c>
      <c r="I108" t="s">
        <v>224</v>
      </c>
      <c r="J108" t="s">
        <v>222</v>
      </c>
      <c r="K108" s="27">
        <v>46070.452777777777</v>
      </c>
    </row>
    <row r="109" spans="1:11" x14ac:dyDescent="0.25">
      <c r="A109" t="s">
        <v>331</v>
      </c>
      <c r="B109" s="26">
        <v>46037</v>
      </c>
      <c r="C109">
        <v>1</v>
      </c>
      <c r="D109" t="s">
        <v>37</v>
      </c>
      <c r="E109" t="s">
        <v>218</v>
      </c>
      <c r="G109">
        <v>37</v>
      </c>
      <c r="H109" t="s">
        <v>258</v>
      </c>
      <c r="I109" t="s">
        <v>224</v>
      </c>
      <c r="J109" t="s">
        <v>222</v>
      </c>
      <c r="K109" s="27">
        <v>46070.452789351853</v>
      </c>
    </row>
    <row r="110" spans="1:11" x14ac:dyDescent="0.25">
      <c r="A110" t="s">
        <v>332</v>
      </c>
      <c r="B110" s="26">
        <v>46037</v>
      </c>
      <c r="C110">
        <v>1</v>
      </c>
      <c r="D110" t="s">
        <v>37</v>
      </c>
      <c r="E110" t="s">
        <v>218</v>
      </c>
      <c r="G110">
        <v>29</v>
      </c>
      <c r="H110" t="s">
        <v>258</v>
      </c>
      <c r="I110" t="s">
        <v>224</v>
      </c>
      <c r="J110" t="s">
        <v>222</v>
      </c>
      <c r="K110" s="27">
        <v>46070.452800925923</v>
      </c>
    </row>
    <row r="111" spans="1:11" x14ac:dyDescent="0.25">
      <c r="A111" t="s">
        <v>333</v>
      </c>
      <c r="B111" s="26">
        <v>46037</v>
      </c>
      <c r="C111">
        <v>1</v>
      </c>
      <c r="D111" t="s">
        <v>37</v>
      </c>
      <c r="E111" t="s">
        <v>218</v>
      </c>
      <c r="G111">
        <v>29</v>
      </c>
      <c r="H111" t="s">
        <v>258</v>
      </c>
      <c r="I111" t="s">
        <v>224</v>
      </c>
      <c r="J111" t="s">
        <v>222</v>
      </c>
      <c r="K111" s="27">
        <v>46070.452824074076</v>
      </c>
    </row>
    <row r="112" spans="1:11" x14ac:dyDescent="0.25">
      <c r="A112" t="s">
        <v>334</v>
      </c>
      <c r="B112" s="26">
        <v>46038</v>
      </c>
      <c r="C112">
        <v>1</v>
      </c>
      <c r="D112" t="s">
        <v>37</v>
      </c>
      <c r="E112" t="s">
        <v>218</v>
      </c>
      <c r="G112">
        <v>35</v>
      </c>
      <c r="H112" t="s">
        <v>258</v>
      </c>
      <c r="I112" t="s">
        <v>224</v>
      </c>
      <c r="J112" t="s">
        <v>222</v>
      </c>
      <c r="K112" s="27">
        <v>46070.452951388892</v>
      </c>
    </row>
    <row r="113" spans="1:11" x14ac:dyDescent="0.25">
      <c r="A113" t="s">
        <v>335</v>
      </c>
      <c r="B113" s="26">
        <v>46038</v>
      </c>
      <c r="C113">
        <v>1</v>
      </c>
      <c r="D113" t="s">
        <v>37</v>
      </c>
      <c r="E113" t="s">
        <v>218</v>
      </c>
      <c r="G113">
        <v>19</v>
      </c>
      <c r="H113" t="s">
        <v>258</v>
      </c>
      <c r="I113" t="s">
        <v>224</v>
      </c>
      <c r="J113" t="s">
        <v>222</v>
      </c>
      <c r="K113" s="27">
        <v>46070.452962962961</v>
      </c>
    </row>
    <row r="114" spans="1:11" x14ac:dyDescent="0.25">
      <c r="A114" t="s">
        <v>336</v>
      </c>
      <c r="B114" s="26">
        <v>46039</v>
      </c>
      <c r="C114">
        <v>1</v>
      </c>
      <c r="D114" t="s">
        <v>37</v>
      </c>
      <c r="E114" t="s">
        <v>218</v>
      </c>
      <c r="G114">
        <v>20</v>
      </c>
      <c r="H114" t="s">
        <v>258</v>
      </c>
      <c r="I114" t="s">
        <v>224</v>
      </c>
      <c r="J114" t="s">
        <v>222</v>
      </c>
      <c r="K114" s="27">
        <v>46070.453090277777</v>
      </c>
    </row>
    <row r="115" spans="1:11" x14ac:dyDescent="0.25">
      <c r="A115" t="s">
        <v>337</v>
      </c>
      <c r="B115" s="26">
        <v>46039</v>
      </c>
      <c r="C115">
        <v>1</v>
      </c>
      <c r="D115" t="s">
        <v>37</v>
      </c>
      <c r="E115" t="s">
        <v>218</v>
      </c>
      <c r="G115">
        <v>39</v>
      </c>
      <c r="H115" t="s">
        <v>258</v>
      </c>
      <c r="I115" t="s">
        <v>224</v>
      </c>
      <c r="J115" t="s">
        <v>222</v>
      </c>
      <c r="K115" s="27">
        <v>46070.453101851854</v>
      </c>
    </row>
    <row r="116" spans="1:11" x14ac:dyDescent="0.25">
      <c r="A116" t="s">
        <v>338</v>
      </c>
      <c r="B116" s="26">
        <v>46039</v>
      </c>
      <c r="C116">
        <v>1</v>
      </c>
      <c r="D116" t="s">
        <v>37</v>
      </c>
      <c r="E116" t="s">
        <v>218</v>
      </c>
      <c r="G116">
        <v>19</v>
      </c>
      <c r="H116" t="s">
        <v>258</v>
      </c>
      <c r="I116" t="s">
        <v>224</v>
      </c>
      <c r="J116" t="s">
        <v>222</v>
      </c>
      <c r="K116" s="27">
        <v>46070.453125</v>
      </c>
    </row>
    <row r="117" spans="1:11" x14ac:dyDescent="0.25">
      <c r="A117" t="s">
        <v>339</v>
      </c>
      <c r="B117" s="26">
        <v>46039</v>
      </c>
      <c r="C117">
        <v>1</v>
      </c>
      <c r="D117" t="s">
        <v>37</v>
      </c>
      <c r="E117" t="s">
        <v>218</v>
      </c>
      <c r="G117">
        <v>17</v>
      </c>
      <c r="H117" t="s">
        <v>258</v>
      </c>
      <c r="I117" t="s">
        <v>224</v>
      </c>
      <c r="J117" t="s">
        <v>222</v>
      </c>
      <c r="K117" s="27">
        <v>46070.453136574077</v>
      </c>
    </row>
    <row r="118" spans="1:11" x14ac:dyDescent="0.25">
      <c r="A118" t="s">
        <v>340</v>
      </c>
      <c r="B118" s="26">
        <v>46040</v>
      </c>
      <c r="C118">
        <v>1</v>
      </c>
      <c r="D118" t="s">
        <v>37</v>
      </c>
      <c r="E118" t="s">
        <v>218</v>
      </c>
      <c r="G118">
        <v>39</v>
      </c>
      <c r="H118" t="s">
        <v>258</v>
      </c>
      <c r="I118" t="s">
        <v>224</v>
      </c>
      <c r="J118" t="s">
        <v>222</v>
      </c>
      <c r="K118" s="27">
        <v>46070.453252314815</v>
      </c>
    </row>
    <row r="119" spans="1:11" x14ac:dyDescent="0.25">
      <c r="A119" t="s">
        <v>341</v>
      </c>
      <c r="B119" s="26">
        <v>46041</v>
      </c>
      <c r="C119">
        <v>1</v>
      </c>
      <c r="D119" t="s">
        <v>37</v>
      </c>
      <c r="E119" t="s">
        <v>218</v>
      </c>
      <c r="G119">
        <v>37</v>
      </c>
      <c r="H119" t="s">
        <v>258</v>
      </c>
      <c r="I119" t="s">
        <v>224</v>
      </c>
      <c r="J119" t="s">
        <v>222</v>
      </c>
      <c r="K119" s="27">
        <v>46070.453449074077</v>
      </c>
    </row>
    <row r="120" spans="1:11" x14ac:dyDescent="0.25">
      <c r="A120" t="s">
        <v>342</v>
      </c>
      <c r="B120" s="26">
        <v>46041</v>
      </c>
      <c r="C120">
        <v>1</v>
      </c>
      <c r="D120" t="s">
        <v>37</v>
      </c>
      <c r="E120" t="s">
        <v>218</v>
      </c>
      <c r="G120">
        <v>25</v>
      </c>
      <c r="H120" t="s">
        <v>258</v>
      </c>
      <c r="I120" t="s">
        <v>224</v>
      </c>
      <c r="J120" t="s">
        <v>222</v>
      </c>
      <c r="K120" s="27">
        <v>46070.453460648147</v>
      </c>
    </row>
    <row r="121" spans="1:11" x14ac:dyDescent="0.25">
      <c r="A121" t="s">
        <v>343</v>
      </c>
      <c r="B121" s="26">
        <v>46041</v>
      </c>
      <c r="C121">
        <v>1</v>
      </c>
      <c r="D121" t="s">
        <v>37</v>
      </c>
      <c r="E121" t="s">
        <v>218</v>
      </c>
      <c r="G121">
        <v>39</v>
      </c>
      <c r="H121" t="s">
        <v>258</v>
      </c>
      <c r="I121" t="s">
        <v>224</v>
      </c>
      <c r="J121" t="s">
        <v>222</v>
      </c>
      <c r="K121" s="27">
        <v>46070.453472222223</v>
      </c>
    </row>
    <row r="122" spans="1:11" x14ac:dyDescent="0.25">
      <c r="A122" t="s">
        <v>344</v>
      </c>
      <c r="B122" s="26">
        <v>46041</v>
      </c>
      <c r="C122">
        <v>1</v>
      </c>
      <c r="D122" t="s">
        <v>37</v>
      </c>
      <c r="E122" t="s">
        <v>218</v>
      </c>
      <c r="G122">
        <v>21</v>
      </c>
      <c r="H122" t="s">
        <v>258</v>
      </c>
      <c r="I122" t="s">
        <v>224</v>
      </c>
      <c r="J122" t="s">
        <v>222</v>
      </c>
      <c r="K122" s="27">
        <v>46070.453483796293</v>
      </c>
    </row>
    <row r="123" spans="1:11" x14ac:dyDescent="0.25">
      <c r="A123" t="s">
        <v>345</v>
      </c>
      <c r="B123" s="26">
        <v>46042</v>
      </c>
      <c r="C123">
        <v>1</v>
      </c>
      <c r="D123" t="s">
        <v>37</v>
      </c>
      <c r="E123" t="s">
        <v>218</v>
      </c>
      <c r="G123">
        <v>27</v>
      </c>
      <c r="H123" t="s">
        <v>258</v>
      </c>
      <c r="I123" t="s">
        <v>224</v>
      </c>
      <c r="J123" t="s">
        <v>222</v>
      </c>
      <c r="K123" s="27">
        <v>46070.453703703701</v>
      </c>
    </row>
    <row r="124" spans="1:11" x14ac:dyDescent="0.25">
      <c r="A124" t="s">
        <v>346</v>
      </c>
      <c r="B124" s="26">
        <v>46042</v>
      </c>
      <c r="C124">
        <v>1</v>
      </c>
      <c r="D124" t="s">
        <v>37</v>
      </c>
      <c r="E124" t="s">
        <v>218</v>
      </c>
      <c r="G124">
        <v>22</v>
      </c>
      <c r="H124" t="s">
        <v>258</v>
      </c>
      <c r="I124" t="s">
        <v>224</v>
      </c>
      <c r="J124" t="s">
        <v>222</v>
      </c>
      <c r="K124" s="27">
        <v>46070.453715277778</v>
      </c>
    </row>
    <row r="125" spans="1:11" x14ac:dyDescent="0.25">
      <c r="A125" t="s">
        <v>347</v>
      </c>
      <c r="B125" s="26">
        <v>46042</v>
      </c>
      <c r="C125">
        <v>1</v>
      </c>
      <c r="D125" t="s">
        <v>37</v>
      </c>
      <c r="E125" t="s">
        <v>218</v>
      </c>
      <c r="G125">
        <v>25</v>
      </c>
      <c r="H125" t="s">
        <v>258</v>
      </c>
      <c r="I125" t="s">
        <v>224</v>
      </c>
      <c r="J125" t="s">
        <v>222</v>
      </c>
      <c r="K125" s="27">
        <v>46070.453726851854</v>
      </c>
    </row>
    <row r="126" spans="1:11" x14ac:dyDescent="0.25">
      <c r="A126" t="s">
        <v>348</v>
      </c>
      <c r="B126" s="26">
        <v>46042</v>
      </c>
      <c r="C126">
        <v>1</v>
      </c>
      <c r="D126" t="s">
        <v>37</v>
      </c>
      <c r="E126" t="s">
        <v>218</v>
      </c>
      <c r="G126">
        <v>38</v>
      </c>
      <c r="H126" t="s">
        <v>258</v>
      </c>
      <c r="I126" t="s">
        <v>224</v>
      </c>
      <c r="J126" t="s">
        <v>222</v>
      </c>
      <c r="K126" s="27">
        <v>46070.453773148147</v>
      </c>
    </row>
    <row r="127" spans="1:11" x14ac:dyDescent="0.25">
      <c r="A127" t="s">
        <v>349</v>
      </c>
      <c r="B127" s="26">
        <v>46043</v>
      </c>
      <c r="C127">
        <v>1</v>
      </c>
      <c r="D127" t="s">
        <v>37</v>
      </c>
      <c r="E127" t="s">
        <v>218</v>
      </c>
      <c r="G127">
        <v>35</v>
      </c>
      <c r="H127" t="s">
        <v>258</v>
      </c>
      <c r="I127" t="s">
        <v>224</v>
      </c>
      <c r="J127" t="s">
        <v>222</v>
      </c>
      <c r="K127" s="27">
        <v>46070.453969907408</v>
      </c>
    </row>
    <row r="128" spans="1:11" x14ac:dyDescent="0.25">
      <c r="A128" t="s">
        <v>350</v>
      </c>
      <c r="B128" s="26">
        <v>46043</v>
      </c>
      <c r="C128">
        <v>1</v>
      </c>
      <c r="D128" t="s">
        <v>37</v>
      </c>
      <c r="E128" t="s">
        <v>218</v>
      </c>
      <c r="G128">
        <v>26</v>
      </c>
      <c r="H128" t="s">
        <v>258</v>
      </c>
      <c r="I128" t="s">
        <v>224</v>
      </c>
      <c r="J128" t="s">
        <v>222</v>
      </c>
      <c r="K128" s="27">
        <v>46070.454004629632</v>
      </c>
    </row>
    <row r="129" spans="1:11" x14ac:dyDescent="0.25">
      <c r="A129" t="s">
        <v>351</v>
      </c>
      <c r="B129" s="26">
        <v>46043</v>
      </c>
      <c r="C129">
        <v>1</v>
      </c>
      <c r="D129" t="s">
        <v>37</v>
      </c>
      <c r="E129" t="s">
        <v>218</v>
      </c>
      <c r="G129">
        <v>36</v>
      </c>
      <c r="H129" t="s">
        <v>258</v>
      </c>
      <c r="I129" t="s">
        <v>224</v>
      </c>
      <c r="J129" t="s">
        <v>222</v>
      </c>
      <c r="K129" s="27">
        <v>46070.454108796293</v>
      </c>
    </row>
    <row r="130" spans="1:11" x14ac:dyDescent="0.25">
      <c r="A130" t="s">
        <v>352</v>
      </c>
      <c r="B130" s="26">
        <v>46043</v>
      </c>
      <c r="C130">
        <v>1</v>
      </c>
      <c r="D130" t="s">
        <v>37</v>
      </c>
      <c r="E130" t="s">
        <v>218</v>
      </c>
      <c r="G130">
        <v>31</v>
      </c>
      <c r="H130" t="s">
        <v>258</v>
      </c>
      <c r="I130" t="s">
        <v>224</v>
      </c>
      <c r="J130" t="s">
        <v>222</v>
      </c>
      <c r="K130" s="27">
        <v>46070.45412037037</v>
      </c>
    </row>
    <row r="131" spans="1:11" x14ac:dyDescent="0.25">
      <c r="A131" t="s">
        <v>353</v>
      </c>
      <c r="B131" s="26">
        <v>46044</v>
      </c>
      <c r="C131">
        <v>1</v>
      </c>
      <c r="D131" t="s">
        <v>37</v>
      </c>
      <c r="E131" t="s">
        <v>218</v>
      </c>
      <c r="G131">
        <v>23</v>
      </c>
      <c r="H131" t="s">
        <v>258</v>
      </c>
      <c r="I131" t="s">
        <v>224</v>
      </c>
      <c r="J131" t="s">
        <v>222</v>
      </c>
      <c r="K131" s="27">
        <v>46070.454363425924</v>
      </c>
    </row>
    <row r="132" spans="1:11" x14ac:dyDescent="0.25">
      <c r="A132" t="s">
        <v>354</v>
      </c>
      <c r="B132" s="26">
        <v>46044</v>
      </c>
      <c r="C132">
        <v>1</v>
      </c>
      <c r="D132" t="s">
        <v>37</v>
      </c>
      <c r="E132" t="s">
        <v>218</v>
      </c>
      <c r="G132">
        <v>33</v>
      </c>
      <c r="H132" t="s">
        <v>258</v>
      </c>
      <c r="I132" t="s">
        <v>224</v>
      </c>
      <c r="J132" t="s">
        <v>222</v>
      </c>
      <c r="K132" s="27">
        <v>46070.454409722224</v>
      </c>
    </row>
    <row r="133" spans="1:11" x14ac:dyDescent="0.25">
      <c r="A133" t="s">
        <v>355</v>
      </c>
      <c r="B133" s="26">
        <v>46044</v>
      </c>
      <c r="C133">
        <v>1</v>
      </c>
      <c r="D133" t="s">
        <v>37</v>
      </c>
      <c r="E133" t="s">
        <v>218</v>
      </c>
      <c r="G133">
        <v>36</v>
      </c>
      <c r="H133" t="s">
        <v>258</v>
      </c>
      <c r="I133" t="s">
        <v>224</v>
      </c>
      <c r="J133" t="s">
        <v>222</v>
      </c>
      <c r="K133" s="27">
        <v>46070.454421296294</v>
      </c>
    </row>
    <row r="134" spans="1:11" x14ac:dyDescent="0.25">
      <c r="A134" t="s">
        <v>356</v>
      </c>
      <c r="B134" s="26">
        <v>46044</v>
      </c>
      <c r="C134">
        <v>1</v>
      </c>
      <c r="D134" t="s">
        <v>37</v>
      </c>
      <c r="E134" t="s">
        <v>218</v>
      </c>
      <c r="G134">
        <v>22</v>
      </c>
      <c r="H134" t="s">
        <v>258</v>
      </c>
      <c r="I134" t="s">
        <v>224</v>
      </c>
      <c r="J134" t="s">
        <v>222</v>
      </c>
      <c r="K134" s="27">
        <v>46070.454432870371</v>
      </c>
    </row>
    <row r="135" spans="1:11" x14ac:dyDescent="0.25">
      <c r="A135" t="s">
        <v>357</v>
      </c>
      <c r="B135" s="26">
        <v>46044</v>
      </c>
      <c r="C135">
        <v>1</v>
      </c>
      <c r="D135" t="s">
        <v>37</v>
      </c>
      <c r="E135" t="s">
        <v>218</v>
      </c>
      <c r="G135">
        <v>24</v>
      </c>
      <c r="H135" t="s">
        <v>258</v>
      </c>
      <c r="I135" t="s">
        <v>224</v>
      </c>
      <c r="J135" t="s">
        <v>222</v>
      </c>
      <c r="K135" s="27">
        <v>46070.454444444447</v>
      </c>
    </row>
    <row r="136" spans="1:11" x14ac:dyDescent="0.25">
      <c r="A136" t="s">
        <v>358</v>
      </c>
      <c r="B136" s="26">
        <v>46045</v>
      </c>
      <c r="C136">
        <v>1</v>
      </c>
      <c r="D136" t="s">
        <v>37</v>
      </c>
      <c r="E136" t="s">
        <v>218</v>
      </c>
      <c r="G136">
        <v>34</v>
      </c>
      <c r="H136" t="s">
        <v>258</v>
      </c>
      <c r="I136" t="s">
        <v>224</v>
      </c>
      <c r="J136" t="s">
        <v>222</v>
      </c>
      <c r="K136" s="27">
        <v>46070.454560185186</v>
      </c>
    </row>
    <row r="137" spans="1:11" x14ac:dyDescent="0.25">
      <c r="A137" t="s">
        <v>359</v>
      </c>
      <c r="B137" s="26">
        <v>46045</v>
      </c>
      <c r="C137">
        <v>1</v>
      </c>
      <c r="D137" t="s">
        <v>37</v>
      </c>
      <c r="E137" t="s">
        <v>218</v>
      </c>
      <c r="G137">
        <v>23</v>
      </c>
      <c r="H137" t="s">
        <v>258</v>
      </c>
      <c r="I137" t="s">
        <v>224</v>
      </c>
      <c r="J137" t="s">
        <v>222</v>
      </c>
      <c r="K137" s="27">
        <v>46070.454618055555</v>
      </c>
    </row>
    <row r="138" spans="1:11" x14ac:dyDescent="0.25">
      <c r="A138" t="s">
        <v>360</v>
      </c>
      <c r="B138" s="26">
        <v>46045</v>
      </c>
      <c r="C138">
        <v>1</v>
      </c>
      <c r="D138" t="s">
        <v>37</v>
      </c>
      <c r="E138" t="s">
        <v>218</v>
      </c>
      <c r="G138">
        <v>40</v>
      </c>
      <c r="H138" t="s">
        <v>258</v>
      </c>
      <c r="I138" t="s">
        <v>224</v>
      </c>
      <c r="J138" t="s">
        <v>222</v>
      </c>
      <c r="K138" s="27">
        <v>46070.454641203702</v>
      </c>
    </row>
    <row r="139" spans="1:11" x14ac:dyDescent="0.25">
      <c r="A139" t="s">
        <v>361</v>
      </c>
      <c r="B139" s="26">
        <v>46045</v>
      </c>
      <c r="C139">
        <v>1</v>
      </c>
      <c r="D139" t="s">
        <v>37</v>
      </c>
      <c r="E139" t="s">
        <v>218</v>
      </c>
      <c r="G139">
        <v>23</v>
      </c>
      <c r="H139" t="s">
        <v>258</v>
      </c>
      <c r="I139" t="s">
        <v>224</v>
      </c>
      <c r="J139" t="s">
        <v>222</v>
      </c>
      <c r="K139" s="27">
        <v>46070.454652777778</v>
      </c>
    </row>
    <row r="140" spans="1:11" x14ac:dyDescent="0.25">
      <c r="A140" t="s">
        <v>362</v>
      </c>
      <c r="B140" s="26">
        <v>46047</v>
      </c>
      <c r="C140">
        <v>1</v>
      </c>
      <c r="D140" t="s">
        <v>37</v>
      </c>
      <c r="E140" t="s">
        <v>218</v>
      </c>
      <c r="G140">
        <v>28</v>
      </c>
      <c r="H140" t="s">
        <v>258</v>
      </c>
      <c r="I140" t="s">
        <v>224</v>
      </c>
      <c r="J140" t="s">
        <v>222</v>
      </c>
      <c r="K140" s="27">
        <v>46070.454826388886</v>
      </c>
    </row>
    <row r="141" spans="1:11" x14ac:dyDescent="0.25">
      <c r="A141" t="s">
        <v>363</v>
      </c>
      <c r="B141" s="26">
        <v>46047</v>
      </c>
      <c r="C141">
        <v>1</v>
      </c>
      <c r="D141" t="s">
        <v>37</v>
      </c>
      <c r="E141" t="s">
        <v>218</v>
      </c>
      <c r="G141">
        <v>32</v>
      </c>
      <c r="H141" t="s">
        <v>258</v>
      </c>
      <c r="I141" t="s">
        <v>224</v>
      </c>
      <c r="J141" t="s">
        <v>222</v>
      </c>
      <c r="K141" s="27">
        <v>46070.45484953704</v>
      </c>
    </row>
    <row r="142" spans="1:11" x14ac:dyDescent="0.25">
      <c r="A142" t="s">
        <v>364</v>
      </c>
      <c r="B142" s="26">
        <v>46048</v>
      </c>
      <c r="C142">
        <v>1</v>
      </c>
      <c r="D142" t="s">
        <v>37</v>
      </c>
      <c r="E142" t="s">
        <v>218</v>
      </c>
      <c r="G142">
        <v>28</v>
      </c>
      <c r="H142" t="s">
        <v>258</v>
      </c>
      <c r="I142" t="s">
        <v>224</v>
      </c>
      <c r="J142" t="s">
        <v>222</v>
      </c>
      <c r="K142" s="27">
        <v>46070.455011574071</v>
      </c>
    </row>
    <row r="143" spans="1:11" x14ac:dyDescent="0.25">
      <c r="A143" t="s">
        <v>365</v>
      </c>
      <c r="B143" s="26">
        <v>46049</v>
      </c>
      <c r="C143">
        <v>1</v>
      </c>
      <c r="D143" t="s">
        <v>37</v>
      </c>
      <c r="E143" t="s">
        <v>218</v>
      </c>
      <c r="G143">
        <v>32</v>
      </c>
      <c r="H143" t="s">
        <v>258</v>
      </c>
      <c r="I143" t="s">
        <v>224</v>
      </c>
      <c r="J143" t="s">
        <v>222</v>
      </c>
      <c r="K143" s="27">
        <v>46070.455127314817</v>
      </c>
    </row>
    <row r="144" spans="1:11" x14ac:dyDescent="0.25">
      <c r="A144" t="s">
        <v>366</v>
      </c>
      <c r="B144" s="26">
        <v>46049</v>
      </c>
      <c r="C144">
        <v>1</v>
      </c>
      <c r="D144" t="s">
        <v>37</v>
      </c>
      <c r="E144" t="s">
        <v>218</v>
      </c>
      <c r="G144">
        <v>19</v>
      </c>
      <c r="H144" t="s">
        <v>258</v>
      </c>
      <c r="I144" t="s">
        <v>224</v>
      </c>
      <c r="J144" t="s">
        <v>222</v>
      </c>
      <c r="K144" s="27">
        <v>46070.455138888887</v>
      </c>
    </row>
    <row r="145" spans="1:11" x14ac:dyDescent="0.25">
      <c r="A145" t="s">
        <v>367</v>
      </c>
      <c r="B145" s="26">
        <v>46049</v>
      </c>
      <c r="C145">
        <v>1</v>
      </c>
      <c r="D145" t="s">
        <v>37</v>
      </c>
      <c r="E145" t="s">
        <v>218</v>
      </c>
      <c r="G145">
        <v>38</v>
      </c>
      <c r="H145" t="s">
        <v>258</v>
      </c>
      <c r="I145" t="s">
        <v>224</v>
      </c>
      <c r="J145" t="s">
        <v>222</v>
      </c>
      <c r="K145" s="27">
        <v>46070.45516203704</v>
      </c>
    </row>
    <row r="146" spans="1:11" x14ac:dyDescent="0.25">
      <c r="A146" t="s">
        <v>368</v>
      </c>
      <c r="B146" s="26">
        <v>46049</v>
      </c>
      <c r="C146">
        <v>1</v>
      </c>
      <c r="D146" t="s">
        <v>37</v>
      </c>
      <c r="E146" t="s">
        <v>218</v>
      </c>
      <c r="G146">
        <v>19</v>
      </c>
      <c r="H146" t="s">
        <v>258</v>
      </c>
      <c r="I146" t="s">
        <v>224</v>
      </c>
      <c r="J146" t="s">
        <v>222</v>
      </c>
      <c r="K146" s="27">
        <v>46070.45517361111</v>
      </c>
    </row>
    <row r="147" spans="1:11" x14ac:dyDescent="0.25">
      <c r="A147" t="s">
        <v>369</v>
      </c>
      <c r="B147" s="26">
        <v>46049</v>
      </c>
      <c r="C147">
        <v>1</v>
      </c>
      <c r="D147" t="s">
        <v>37</v>
      </c>
      <c r="E147" t="s">
        <v>218</v>
      </c>
      <c r="G147">
        <v>24</v>
      </c>
      <c r="H147" t="s">
        <v>258</v>
      </c>
      <c r="I147" t="s">
        <v>224</v>
      </c>
      <c r="J147" t="s">
        <v>222</v>
      </c>
      <c r="K147" s="27">
        <v>46070.455185185187</v>
      </c>
    </row>
    <row r="148" spans="1:11" x14ac:dyDescent="0.25">
      <c r="A148" t="s">
        <v>370</v>
      </c>
      <c r="B148" s="26">
        <v>46050</v>
      </c>
      <c r="C148">
        <v>1</v>
      </c>
      <c r="D148" t="s">
        <v>37</v>
      </c>
      <c r="E148" t="s">
        <v>218</v>
      </c>
      <c r="G148">
        <v>33</v>
      </c>
      <c r="H148" t="s">
        <v>258</v>
      </c>
      <c r="I148" t="s">
        <v>224</v>
      </c>
      <c r="J148" t="s">
        <v>222</v>
      </c>
      <c r="K148" s="27">
        <v>46070.455300925925</v>
      </c>
    </row>
    <row r="149" spans="1:11" x14ac:dyDescent="0.25">
      <c r="A149" t="s">
        <v>371</v>
      </c>
      <c r="B149" s="26">
        <v>46050</v>
      </c>
      <c r="C149">
        <v>1</v>
      </c>
      <c r="D149" t="s">
        <v>37</v>
      </c>
      <c r="E149" t="s">
        <v>218</v>
      </c>
      <c r="G149">
        <v>39</v>
      </c>
      <c r="H149" t="s">
        <v>258</v>
      </c>
      <c r="I149" t="s">
        <v>224</v>
      </c>
      <c r="J149" t="s">
        <v>222</v>
      </c>
      <c r="K149" s="27">
        <v>46070.455312500002</v>
      </c>
    </row>
    <row r="150" spans="1:11" x14ac:dyDescent="0.25">
      <c r="A150" t="s">
        <v>372</v>
      </c>
      <c r="B150" s="26">
        <v>46050</v>
      </c>
      <c r="C150">
        <v>1</v>
      </c>
      <c r="D150" t="s">
        <v>37</v>
      </c>
      <c r="E150" t="s">
        <v>218</v>
      </c>
      <c r="G150">
        <v>37</v>
      </c>
      <c r="H150" t="s">
        <v>258</v>
      </c>
      <c r="I150" t="s">
        <v>224</v>
      </c>
      <c r="J150" t="s">
        <v>222</v>
      </c>
      <c r="K150" s="27">
        <v>46070.455335648148</v>
      </c>
    </row>
    <row r="151" spans="1:11" x14ac:dyDescent="0.25">
      <c r="A151" t="s">
        <v>373</v>
      </c>
      <c r="B151" s="26">
        <v>46050</v>
      </c>
      <c r="C151">
        <v>1</v>
      </c>
      <c r="D151" t="s">
        <v>37</v>
      </c>
      <c r="E151" t="s">
        <v>218</v>
      </c>
      <c r="G151">
        <v>31</v>
      </c>
      <c r="H151" t="s">
        <v>258</v>
      </c>
      <c r="I151" t="s">
        <v>224</v>
      </c>
      <c r="J151" t="s">
        <v>222</v>
      </c>
      <c r="K151" s="27">
        <v>46070.455347222225</v>
      </c>
    </row>
    <row r="152" spans="1:11" x14ac:dyDescent="0.25">
      <c r="A152" t="s">
        <v>374</v>
      </c>
      <c r="B152" s="26">
        <v>46050</v>
      </c>
      <c r="C152">
        <v>1</v>
      </c>
      <c r="D152" t="s">
        <v>37</v>
      </c>
      <c r="E152" t="s">
        <v>218</v>
      </c>
      <c r="G152">
        <v>41</v>
      </c>
      <c r="H152" t="s">
        <v>258</v>
      </c>
      <c r="I152" t="s">
        <v>224</v>
      </c>
      <c r="J152" t="s">
        <v>222</v>
      </c>
      <c r="K152" s="27">
        <v>46070.455358796295</v>
      </c>
    </row>
    <row r="153" spans="1:11" x14ac:dyDescent="0.25">
      <c r="A153" t="s">
        <v>375</v>
      </c>
      <c r="B153" s="26">
        <v>46051</v>
      </c>
      <c r="C153">
        <v>1</v>
      </c>
      <c r="D153" t="s">
        <v>37</v>
      </c>
      <c r="E153" t="s">
        <v>218</v>
      </c>
      <c r="G153">
        <v>35</v>
      </c>
      <c r="H153" t="s">
        <v>258</v>
      </c>
      <c r="I153" t="s">
        <v>224</v>
      </c>
      <c r="J153" t="s">
        <v>222</v>
      </c>
      <c r="K153" s="27">
        <v>46070.455613425926</v>
      </c>
    </row>
    <row r="154" spans="1:11" x14ac:dyDescent="0.25">
      <c r="A154" t="s">
        <v>376</v>
      </c>
      <c r="B154" s="26">
        <v>46051</v>
      </c>
      <c r="C154">
        <v>1</v>
      </c>
      <c r="D154" t="s">
        <v>37</v>
      </c>
      <c r="E154" t="s">
        <v>218</v>
      </c>
      <c r="G154">
        <v>34</v>
      </c>
      <c r="H154" t="s">
        <v>258</v>
      </c>
      <c r="I154" t="s">
        <v>224</v>
      </c>
      <c r="J154" t="s">
        <v>222</v>
      </c>
      <c r="K154" s="27">
        <v>46070.455636574072</v>
      </c>
    </row>
    <row r="155" spans="1:11" x14ac:dyDescent="0.25">
      <c r="A155" t="s">
        <v>377</v>
      </c>
      <c r="B155" s="26">
        <v>46051</v>
      </c>
      <c r="C155">
        <v>1</v>
      </c>
      <c r="D155" t="s">
        <v>37</v>
      </c>
      <c r="E155" t="s">
        <v>218</v>
      </c>
      <c r="G155">
        <v>29</v>
      </c>
      <c r="H155" t="s">
        <v>258</v>
      </c>
      <c r="I155" t="s">
        <v>224</v>
      </c>
      <c r="J155" t="s">
        <v>222</v>
      </c>
      <c r="K155" s="27">
        <v>46070.455659722225</v>
      </c>
    </row>
    <row r="156" spans="1:11" x14ac:dyDescent="0.25">
      <c r="A156" t="s">
        <v>378</v>
      </c>
      <c r="B156" s="26">
        <v>46051</v>
      </c>
      <c r="C156">
        <v>1</v>
      </c>
      <c r="D156" t="s">
        <v>37</v>
      </c>
      <c r="E156" t="s">
        <v>218</v>
      </c>
      <c r="G156">
        <v>45</v>
      </c>
      <c r="H156" t="s">
        <v>258</v>
      </c>
      <c r="I156" t="s">
        <v>224</v>
      </c>
      <c r="J156" t="s">
        <v>222</v>
      </c>
      <c r="K156" s="27">
        <v>46070.455671296295</v>
      </c>
    </row>
    <row r="157" spans="1:11" x14ac:dyDescent="0.25">
      <c r="A157" t="s">
        <v>379</v>
      </c>
      <c r="B157" s="26">
        <v>46052</v>
      </c>
      <c r="C157">
        <v>1</v>
      </c>
      <c r="D157" t="s">
        <v>37</v>
      </c>
      <c r="E157" t="s">
        <v>218</v>
      </c>
      <c r="G157">
        <v>30</v>
      </c>
      <c r="H157" t="s">
        <v>258</v>
      </c>
      <c r="I157" t="s">
        <v>224</v>
      </c>
      <c r="J157" t="s">
        <v>222</v>
      </c>
      <c r="K157" s="27">
        <v>46070.45579861111</v>
      </c>
    </row>
    <row r="158" spans="1:11" x14ac:dyDescent="0.25">
      <c r="A158" t="s">
        <v>380</v>
      </c>
      <c r="B158" s="26">
        <v>46052</v>
      </c>
      <c r="C158">
        <v>1</v>
      </c>
      <c r="D158" t="s">
        <v>37</v>
      </c>
      <c r="E158" t="s">
        <v>218</v>
      </c>
      <c r="G158">
        <v>19</v>
      </c>
      <c r="H158" t="s">
        <v>258</v>
      </c>
      <c r="I158" t="s">
        <v>224</v>
      </c>
      <c r="J158" t="s">
        <v>222</v>
      </c>
      <c r="K158" s="27">
        <v>46070.45585648148</v>
      </c>
    </row>
    <row r="159" spans="1:11" x14ac:dyDescent="0.25">
      <c r="A159" t="s">
        <v>381</v>
      </c>
      <c r="B159" s="26">
        <v>46053</v>
      </c>
      <c r="C159">
        <v>1</v>
      </c>
      <c r="D159" t="s">
        <v>37</v>
      </c>
      <c r="E159" t="s">
        <v>218</v>
      </c>
      <c r="G159">
        <v>22</v>
      </c>
      <c r="H159" t="s">
        <v>258</v>
      </c>
      <c r="I159" t="s">
        <v>224</v>
      </c>
      <c r="J159" t="s">
        <v>222</v>
      </c>
      <c r="K159" s="27">
        <v>46070.455995370372</v>
      </c>
    </row>
    <row r="160" spans="1:11" x14ac:dyDescent="0.25">
      <c r="A160" t="s">
        <v>382</v>
      </c>
      <c r="B160" s="26">
        <v>46053</v>
      </c>
      <c r="C160">
        <v>1</v>
      </c>
      <c r="D160" t="s">
        <v>37</v>
      </c>
      <c r="E160" t="s">
        <v>218</v>
      </c>
      <c r="G160">
        <v>20</v>
      </c>
      <c r="H160" t="s">
        <v>258</v>
      </c>
      <c r="I160" t="s">
        <v>224</v>
      </c>
      <c r="J160" t="s">
        <v>222</v>
      </c>
      <c r="K160" s="27">
        <v>46070.456030092595</v>
      </c>
    </row>
    <row r="161" spans="1:11" x14ac:dyDescent="0.25">
      <c r="A161" t="s">
        <v>383</v>
      </c>
      <c r="B161" s="26">
        <v>46053</v>
      </c>
      <c r="C161">
        <v>1</v>
      </c>
      <c r="D161" t="s">
        <v>37</v>
      </c>
      <c r="E161" t="s">
        <v>218</v>
      </c>
      <c r="G161">
        <v>27</v>
      </c>
      <c r="H161" t="s">
        <v>258</v>
      </c>
      <c r="I161" t="s">
        <v>224</v>
      </c>
      <c r="J161" t="s">
        <v>222</v>
      </c>
      <c r="K161" s="27">
        <v>46070.456041666665</v>
      </c>
    </row>
    <row r="162" spans="1:11" x14ac:dyDescent="0.25">
      <c r="A162" t="s">
        <v>384</v>
      </c>
      <c r="B162" s="26">
        <v>46053</v>
      </c>
      <c r="C162">
        <v>1</v>
      </c>
      <c r="D162" t="s">
        <v>37</v>
      </c>
      <c r="E162" t="s">
        <v>218</v>
      </c>
      <c r="G162">
        <v>32</v>
      </c>
      <c r="H162" t="s">
        <v>258</v>
      </c>
      <c r="I162" t="s">
        <v>224</v>
      </c>
      <c r="J162" t="s">
        <v>222</v>
      </c>
      <c r="K162" s="27">
        <v>46070.456064814818</v>
      </c>
    </row>
    <row r="163" spans="1:11" x14ac:dyDescent="0.25">
      <c r="A163" t="s">
        <v>385</v>
      </c>
      <c r="B163" s="26">
        <v>46053</v>
      </c>
      <c r="C163">
        <v>1</v>
      </c>
      <c r="D163" t="s">
        <v>37</v>
      </c>
      <c r="E163" t="s">
        <v>218</v>
      </c>
      <c r="G163">
        <v>26</v>
      </c>
      <c r="H163" t="s">
        <v>258</v>
      </c>
      <c r="I163" t="s">
        <v>224</v>
      </c>
      <c r="J163" t="s">
        <v>222</v>
      </c>
      <c r="K163" s="27">
        <v>46070.456076388888</v>
      </c>
    </row>
    <row r="164" spans="1:11" x14ac:dyDescent="0.25">
      <c r="A164" t="s">
        <v>386</v>
      </c>
      <c r="B164" s="26">
        <v>46023</v>
      </c>
      <c r="C164">
        <v>1</v>
      </c>
      <c r="D164" t="s">
        <v>39</v>
      </c>
      <c r="E164" t="s">
        <v>218</v>
      </c>
      <c r="G164">
        <v>19</v>
      </c>
      <c r="H164" t="s">
        <v>258</v>
      </c>
      <c r="I164" t="s">
        <v>224</v>
      </c>
      <c r="J164" t="s">
        <v>222</v>
      </c>
      <c r="K164" s="27">
        <v>46070.45685185185</v>
      </c>
    </row>
    <row r="165" spans="1:11" x14ac:dyDescent="0.25">
      <c r="A165" t="s">
        <v>387</v>
      </c>
      <c r="B165" s="26">
        <v>46023</v>
      </c>
      <c r="C165">
        <v>1</v>
      </c>
      <c r="D165" t="s">
        <v>39</v>
      </c>
      <c r="E165" t="s">
        <v>218</v>
      </c>
      <c r="G165">
        <v>43</v>
      </c>
      <c r="H165" t="s">
        <v>258</v>
      </c>
      <c r="I165" t="s">
        <v>224</v>
      </c>
      <c r="J165" t="s">
        <v>222</v>
      </c>
      <c r="K165" s="27">
        <v>46070.456875000003</v>
      </c>
    </row>
    <row r="166" spans="1:11" x14ac:dyDescent="0.25">
      <c r="A166" t="s">
        <v>388</v>
      </c>
      <c r="B166" s="26">
        <v>46023</v>
      </c>
      <c r="C166">
        <v>1</v>
      </c>
      <c r="D166" t="s">
        <v>39</v>
      </c>
      <c r="E166" t="s">
        <v>218</v>
      </c>
      <c r="G166">
        <v>21</v>
      </c>
      <c r="H166" t="s">
        <v>258</v>
      </c>
      <c r="I166" t="s">
        <v>224</v>
      </c>
      <c r="J166" t="s">
        <v>222</v>
      </c>
      <c r="K166" s="27">
        <v>46070.45689814815</v>
      </c>
    </row>
    <row r="167" spans="1:11" x14ac:dyDescent="0.25">
      <c r="A167" t="s">
        <v>389</v>
      </c>
      <c r="B167" s="26">
        <v>46024</v>
      </c>
      <c r="C167">
        <v>1</v>
      </c>
      <c r="D167" t="s">
        <v>39</v>
      </c>
      <c r="E167" t="s">
        <v>218</v>
      </c>
      <c r="G167">
        <v>24</v>
      </c>
      <c r="H167" t="s">
        <v>258</v>
      </c>
      <c r="I167" t="s">
        <v>224</v>
      </c>
      <c r="J167" t="s">
        <v>222</v>
      </c>
      <c r="K167" s="27">
        <v>46070.478159722225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90</v>
      </c>
      <c r="B1" t="s">
        <v>91</v>
      </c>
      <c r="C1" t="s">
        <v>72</v>
      </c>
      <c r="D1" t="s">
        <v>23</v>
      </c>
      <c r="E1" t="s">
        <v>92</v>
      </c>
      <c r="F1" t="s">
        <v>93</v>
      </c>
      <c r="G1" t="s">
        <v>86</v>
      </c>
      <c r="H1" t="s">
        <v>87</v>
      </c>
      <c r="I1" t="s">
        <v>88</v>
      </c>
      <c r="J1" t="s">
        <v>89</v>
      </c>
      <c r="K1" t="s">
        <v>94</v>
      </c>
      <c r="L1" t="s">
        <v>95</v>
      </c>
      <c r="M1" t="s">
        <v>81</v>
      </c>
    </row>
    <row r="2" spans="1:13" x14ac:dyDescent="0.25">
      <c r="B2" s="26"/>
      <c r="M2" s="27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96</v>
      </c>
      <c r="B1" t="s">
        <v>97</v>
      </c>
      <c r="C1" t="s">
        <v>72</v>
      </c>
      <c r="D1" t="s">
        <v>98</v>
      </c>
      <c r="E1" t="s">
        <v>99</v>
      </c>
      <c r="F1" t="s">
        <v>84</v>
      </c>
      <c r="G1" t="s">
        <v>85</v>
      </c>
      <c r="H1" t="s">
        <v>81</v>
      </c>
    </row>
    <row r="2" spans="1:8" x14ac:dyDescent="0.25">
      <c r="B2" s="26"/>
      <c r="H2" s="27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102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IFERROR(INDEX(tblWardConfig[PrevYearRemaining],MATCH("MW",tblWardConfig[WardCode],0)),0)</f>
        <v>25</v>
      </c>
    </row>
    <row r="5" spans="1:8" x14ac:dyDescent="0.25">
      <c r="A5" s="1" t="s">
        <v>105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111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102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105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19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17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10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9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12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12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10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12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16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19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19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SUMIFS(tblDaily[Admissions],tblDaily[Month],2,tblDaily[WardCode],"MW") - SUMIFS(tblDaily[DeathsUnder24Hrs],tblDaily[Month],2,tblDaily[WardCode],"MW")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249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102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105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111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102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105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102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105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111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102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105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102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105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111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102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105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111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102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105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102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105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111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102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105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102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105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111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112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IFERROR(INDEX(tblWardConfig[PrevYearRemaining],MATCH("FW",tblWardConfig[WardCode],0)),0)</f>
        <v>16</v>
      </c>
    </row>
    <row r="5" spans="1:8" x14ac:dyDescent="0.25">
      <c r="A5" s="1" t="s">
        <v>105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111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112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105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15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15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SUMIFS(tblDaily[Admissions],tblDaily[Month],2,tblDaily[WardCode],"FW") - SUMIFS(tblDaily[DeathsUnder24Hrs],tblDaily[Month],2,tblDaily[WardCode],"FW")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30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112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105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111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112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105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112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105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111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112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105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112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105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111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112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105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111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112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105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112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105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111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112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105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112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105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111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113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IFERROR(INDEX(tblWardConfig[PrevYearRemaining],MATCH("CW",tblWardConfig[WardCode],0)),0)</f>
        <v>7</v>
      </c>
    </row>
    <row r="5" spans="1:8" x14ac:dyDescent="0.25">
      <c r="A5" s="1" t="s">
        <v>105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111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113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105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SUMIFS(tblDaily[Admissions],tblDaily[Month],2,tblDaily[WardCode],"CW") - SUMIFS(tblDaily[DeathsUnder24Hrs],tblDaily[Month],2,tblDaily[WardCode],"CW")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113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105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111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113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105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113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105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111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113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105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113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105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111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113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105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111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113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105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113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105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111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113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105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113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105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111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114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IFERROR(INDEX(tblWardConfig[PrevYearRemaining],MATCH("BF",tblWardConfig[WardCode],0)),0)</f>
        <v>9</v>
      </c>
    </row>
    <row r="5" spans="1:8" x14ac:dyDescent="0.25">
      <c r="A5" s="1" t="s">
        <v>105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111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114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105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SUMIFS(tblDaily[Admissions],tblDaily[Month],2,tblDaily[WardCode],"BF") - SUMIFS(tblDaily[DeathsUnder24Hrs],tblDaily[Month],2,tblDaily[WardCode],"BF")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114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105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111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114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105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114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105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111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114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105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114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105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111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114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105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111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114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105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114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105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111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114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105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114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105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111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115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IFERROR(INDEX(tblWardConfig[PrevYearRemaining],MATCH("BG",tblWardConfig[WardCode],0)),0)</f>
        <v>9</v>
      </c>
    </row>
    <row r="5" spans="1:8" x14ac:dyDescent="0.25">
      <c r="A5" s="1" t="s">
        <v>105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111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115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105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115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105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111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115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105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115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105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111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115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105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115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105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111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115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105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111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115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105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115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105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111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115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105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115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105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111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116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IFERROR(INDEX(tblWardConfig[PrevYearRemaining],MATCH("BH",tblWardConfig[WardCode],0)),0)</f>
        <v>12</v>
      </c>
    </row>
    <row r="5" spans="1:8" x14ac:dyDescent="0.25">
      <c r="A5" s="1" t="s">
        <v>105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111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116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105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116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105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111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116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105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116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105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111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116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105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116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105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111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116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105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111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116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105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116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105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111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116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105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116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105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111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117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IFERROR(INDEX(tblWardConfig[PrevYearRemaining],MATCH("NICU",tblWardConfig[WardCode],0)),0)</f>
        <v>14</v>
      </c>
    </row>
    <row r="5" spans="1:8" x14ac:dyDescent="0.25">
      <c r="A5" s="1" t="s">
        <v>105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111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117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105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5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3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8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117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105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111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117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105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117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105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111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117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105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117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105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111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117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105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111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117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105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117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105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111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117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105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117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105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111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118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IFERROR(INDEX(tblWardConfig[PrevYearRemaining],MATCH("MAE",tblWardConfig[WardCode],0)),0)</f>
        <v>9</v>
      </c>
    </row>
    <row r="5" spans="1:8" x14ac:dyDescent="0.25">
      <c r="A5" s="1" t="s">
        <v>105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111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118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105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3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SUMIFS(tblDaily[Admissions],tblDaily[Month],2,tblDaily[WardCode],"MAE") - SUMIFS(tblDaily[DeathsUnder24Hrs],tblDaily[Month],2,tblDaily[WardCode],"MAE")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3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118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105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111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118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105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118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105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111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118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105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118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105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111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118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105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111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118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105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118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105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111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118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105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118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105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111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3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7" t="s">
        <v>100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101</v>
      </c>
      <c r="E3" s="2" t="s">
        <v>119</v>
      </c>
      <c r="F3" s="1" t="s">
        <v>103</v>
      </c>
      <c r="G3" s="2" t="s">
        <v>59</v>
      </c>
    </row>
    <row r="4" spans="1:8" x14ac:dyDescent="0.25">
      <c r="A4" s="1" t="s">
        <v>104</v>
      </c>
      <c r="H4" s="6">
        <f>IFERROR(INDEX(tblWardConfig[PrevYearRemaining],MATCH("FAE",tblWardConfig[WardCode],0)),0)</f>
        <v>1</v>
      </c>
    </row>
    <row r="5" spans="1:8" x14ac:dyDescent="0.25">
      <c r="A5" s="1" t="s">
        <v>105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106</v>
      </c>
      <c r="B6" s="8" t="s">
        <v>73</v>
      </c>
      <c r="C6" s="8" t="s">
        <v>74</v>
      </c>
      <c r="D6" s="8" t="s">
        <v>75</v>
      </c>
      <c r="E6" s="8" t="s">
        <v>107</v>
      </c>
      <c r="F6" s="8" t="s">
        <v>108</v>
      </c>
      <c r="G6" s="8" t="s">
        <v>109</v>
      </c>
      <c r="H6" s="8" t="s">
        <v>110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111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33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7" t="s">
        <v>100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101</v>
      </c>
      <c r="E42" s="2" t="s">
        <v>119</v>
      </c>
      <c r="F42" s="1" t="s">
        <v>103</v>
      </c>
      <c r="G42" s="2" t="s">
        <v>60</v>
      </c>
    </row>
    <row r="43" spans="1:8" x14ac:dyDescent="0.25">
      <c r="A43" s="1" t="s">
        <v>104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105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106</v>
      </c>
      <c r="B45" s="8" t="s">
        <v>73</v>
      </c>
      <c r="C45" s="8" t="s">
        <v>74</v>
      </c>
      <c r="D45" s="8" t="s">
        <v>75</v>
      </c>
      <c r="E45" s="8" t="s">
        <v>107</v>
      </c>
      <c r="F45" s="8" t="s">
        <v>108</v>
      </c>
      <c r="G45" s="8" t="s">
        <v>109</v>
      </c>
      <c r="H45" s="8" t="s">
        <v>110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111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3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7" t="s">
        <v>100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101</v>
      </c>
      <c r="E81" s="2" t="s">
        <v>119</v>
      </c>
      <c r="F81" s="1" t="s">
        <v>103</v>
      </c>
      <c r="G81" s="2" t="s">
        <v>61</v>
      </c>
    </row>
    <row r="82" spans="1:8" x14ac:dyDescent="0.25">
      <c r="A82" s="1" t="s">
        <v>104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105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106</v>
      </c>
      <c r="B84" s="8" t="s">
        <v>73</v>
      </c>
      <c r="C84" s="8" t="s">
        <v>74</v>
      </c>
      <c r="D84" s="8" t="s">
        <v>75</v>
      </c>
      <c r="E84" s="8" t="s">
        <v>107</v>
      </c>
      <c r="F84" s="8" t="s">
        <v>108</v>
      </c>
      <c r="G84" s="8" t="s">
        <v>109</v>
      </c>
      <c r="H84" s="8" t="s">
        <v>110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111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3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7" t="s">
        <v>100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101</v>
      </c>
      <c r="E120" s="2" t="s">
        <v>119</v>
      </c>
      <c r="F120" s="1" t="s">
        <v>103</v>
      </c>
      <c r="G120" s="2" t="s">
        <v>62</v>
      </c>
    </row>
    <row r="121" spans="1:8" x14ac:dyDescent="0.25">
      <c r="A121" s="1" t="s">
        <v>104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105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106</v>
      </c>
      <c r="B123" s="8" t="s">
        <v>73</v>
      </c>
      <c r="C123" s="8" t="s">
        <v>74</v>
      </c>
      <c r="D123" s="8" t="s">
        <v>75</v>
      </c>
      <c r="E123" s="8" t="s">
        <v>107</v>
      </c>
      <c r="F123" s="8" t="s">
        <v>108</v>
      </c>
      <c r="G123" s="8" t="s">
        <v>109</v>
      </c>
      <c r="H123" s="8" t="s">
        <v>110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111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3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7" t="s">
        <v>100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101</v>
      </c>
      <c r="E159" s="2" t="s">
        <v>119</v>
      </c>
      <c r="F159" s="1" t="s">
        <v>103</v>
      </c>
      <c r="G159" s="2" t="s">
        <v>63</v>
      </c>
    </row>
    <row r="160" spans="1:8" x14ac:dyDescent="0.25">
      <c r="A160" s="1" t="s">
        <v>104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105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106</v>
      </c>
      <c r="B162" s="8" t="s">
        <v>73</v>
      </c>
      <c r="C162" s="8" t="s">
        <v>74</v>
      </c>
      <c r="D162" s="8" t="s">
        <v>75</v>
      </c>
      <c r="E162" s="8" t="s">
        <v>107</v>
      </c>
      <c r="F162" s="8" t="s">
        <v>108</v>
      </c>
      <c r="G162" s="8" t="s">
        <v>109</v>
      </c>
      <c r="H162" s="8" t="s">
        <v>110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111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3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7" t="s">
        <v>100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101</v>
      </c>
      <c r="E198" s="2" t="s">
        <v>119</v>
      </c>
      <c r="F198" s="1" t="s">
        <v>103</v>
      </c>
      <c r="G198" s="2" t="s">
        <v>64</v>
      </c>
    </row>
    <row r="199" spans="1:8" x14ac:dyDescent="0.25">
      <c r="A199" s="1" t="s">
        <v>104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105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106</v>
      </c>
      <c r="B201" s="8" t="s">
        <v>73</v>
      </c>
      <c r="C201" s="8" t="s">
        <v>74</v>
      </c>
      <c r="D201" s="8" t="s">
        <v>75</v>
      </c>
      <c r="E201" s="8" t="s">
        <v>107</v>
      </c>
      <c r="F201" s="8" t="s">
        <v>108</v>
      </c>
      <c r="G201" s="8" t="s">
        <v>109</v>
      </c>
      <c r="H201" s="8" t="s">
        <v>110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111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3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7" t="s">
        <v>100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101</v>
      </c>
      <c r="E237" s="2" t="s">
        <v>119</v>
      </c>
      <c r="F237" s="1" t="s">
        <v>103</v>
      </c>
      <c r="G237" s="2" t="s">
        <v>65</v>
      </c>
    </row>
    <row r="238" spans="1:8" x14ac:dyDescent="0.25">
      <c r="A238" s="1" t="s">
        <v>104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105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106</v>
      </c>
      <c r="B240" s="8" t="s">
        <v>73</v>
      </c>
      <c r="C240" s="8" t="s">
        <v>74</v>
      </c>
      <c r="D240" s="8" t="s">
        <v>75</v>
      </c>
      <c r="E240" s="8" t="s">
        <v>107</v>
      </c>
      <c r="F240" s="8" t="s">
        <v>108</v>
      </c>
      <c r="G240" s="8" t="s">
        <v>109</v>
      </c>
      <c r="H240" s="8" t="s">
        <v>110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111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3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7" t="s">
        <v>100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101</v>
      </c>
      <c r="E276" s="2" t="s">
        <v>119</v>
      </c>
      <c r="F276" s="1" t="s">
        <v>103</v>
      </c>
      <c r="G276" s="2" t="s">
        <v>66</v>
      </c>
    </row>
    <row r="277" spans="1:8" x14ac:dyDescent="0.25">
      <c r="A277" s="1" t="s">
        <v>104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105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106</v>
      </c>
      <c r="B279" s="8" t="s">
        <v>73</v>
      </c>
      <c r="C279" s="8" t="s">
        <v>74</v>
      </c>
      <c r="D279" s="8" t="s">
        <v>75</v>
      </c>
      <c r="E279" s="8" t="s">
        <v>107</v>
      </c>
      <c r="F279" s="8" t="s">
        <v>108</v>
      </c>
      <c r="G279" s="8" t="s">
        <v>109</v>
      </c>
      <c r="H279" s="8" t="s">
        <v>110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111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3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7" t="s">
        <v>100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101</v>
      </c>
      <c r="E315" s="2" t="s">
        <v>119</v>
      </c>
      <c r="F315" s="1" t="s">
        <v>103</v>
      </c>
      <c r="G315" s="2" t="s">
        <v>67</v>
      </c>
    </row>
    <row r="316" spans="1:8" x14ac:dyDescent="0.25">
      <c r="A316" s="1" t="s">
        <v>104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105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106</v>
      </c>
      <c r="B318" s="8" t="s">
        <v>73</v>
      </c>
      <c r="C318" s="8" t="s">
        <v>74</v>
      </c>
      <c r="D318" s="8" t="s">
        <v>75</v>
      </c>
      <c r="E318" s="8" t="s">
        <v>107</v>
      </c>
      <c r="F318" s="8" t="s">
        <v>108</v>
      </c>
      <c r="G318" s="8" t="s">
        <v>109</v>
      </c>
      <c r="H318" s="8" t="s">
        <v>110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111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3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7" t="s">
        <v>100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101</v>
      </c>
      <c r="E354" s="2" t="s">
        <v>119</v>
      </c>
      <c r="F354" s="1" t="s">
        <v>103</v>
      </c>
      <c r="G354" s="2" t="s">
        <v>68</v>
      </c>
    </row>
    <row r="355" spans="1:8" x14ac:dyDescent="0.25">
      <c r="A355" s="1" t="s">
        <v>104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105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106</v>
      </c>
      <c r="B357" s="8" t="s">
        <v>73</v>
      </c>
      <c r="C357" s="8" t="s">
        <v>74</v>
      </c>
      <c r="D357" s="8" t="s">
        <v>75</v>
      </c>
      <c r="E357" s="8" t="s">
        <v>107</v>
      </c>
      <c r="F357" s="8" t="s">
        <v>108</v>
      </c>
      <c r="G357" s="8" t="s">
        <v>109</v>
      </c>
      <c r="H357" s="8" t="s">
        <v>110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111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3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7" t="s">
        <v>100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101</v>
      </c>
      <c r="E393" s="2" t="s">
        <v>119</v>
      </c>
      <c r="F393" s="1" t="s">
        <v>103</v>
      </c>
      <c r="G393" s="2" t="s">
        <v>69</v>
      </c>
    </row>
    <row r="394" spans="1:8" x14ac:dyDescent="0.25">
      <c r="A394" s="1" t="s">
        <v>104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105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106</v>
      </c>
      <c r="B396" s="8" t="s">
        <v>73</v>
      </c>
      <c r="C396" s="8" t="s">
        <v>74</v>
      </c>
      <c r="D396" s="8" t="s">
        <v>75</v>
      </c>
      <c r="E396" s="8" t="s">
        <v>107</v>
      </c>
      <c r="F396" s="8" t="s">
        <v>108</v>
      </c>
      <c r="G396" s="8" t="s">
        <v>109</v>
      </c>
      <c r="H396" s="8" t="s">
        <v>110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111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3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7" t="s">
        <v>100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101</v>
      </c>
      <c r="E432" s="2" t="s">
        <v>119</v>
      </c>
      <c r="F432" s="1" t="s">
        <v>103</v>
      </c>
      <c r="G432" s="2" t="s">
        <v>70</v>
      </c>
    </row>
    <row r="433" spans="1:8" x14ac:dyDescent="0.25">
      <c r="A433" s="1" t="s">
        <v>104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105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106</v>
      </c>
      <c r="B435" s="8" t="s">
        <v>73</v>
      </c>
      <c r="C435" s="8" t="s">
        <v>74</v>
      </c>
      <c r="D435" s="8" t="s">
        <v>75</v>
      </c>
      <c r="E435" s="8" t="s">
        <v>107</v>
      </c>
      <c r="F435" s="8" t="s">
        <v>108</v>
      </c>
      <c r="G435" s="8" t="s">
        <v>109</v>
      </c>
      <c r="H435" s="8" t="s">
        <v>110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111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15.75" x14ac:dyDescent="0.25">
      <c r="A2" s="37" t="s">
        <v>100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6" x14ac:dyDescent="0.25">
      <c r="A3" s="1" t="s">
        <v>4</v>
      </c>
      <c r="B3" s="2" t="s">
        <v>2</v>
      </c>
      <c r="E3" s="1" t="s">
        <v>101</v>
      </c>
      <c r="F3" s="1" t="s">
        <v>120</v>
      </c>
      <c r="M3" s="1" t="s">
        <v>103</v>
      </c>
      <c r="N3" s="1" t="s">
        <v>59</v>
      </c>
    </row>
    <row r="4" spans="1:16" x14ac:dyDescent="0.25">
      <c r="A4" s="1" t="s">
        <v>104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6" x14ac:dyDescent="0.25">
      <c r="A5" s="1" t="s">
        <v>105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121</v>
      </c>
      <c r="B6" s="38" t="s">
        <v>118</v>
      </c>
      <c r="C6" s="29"/>
      <c r="D6" s="29"/>
      <c r="E6" s="29"/>
      <c r="F6" s="29"/>
      <c r="G6" s="29"/>
      <c r="H6" s="29"/>
      <c r="I6" s="40" t="s">
        <v>119</v>
      </c>
      <c r="J6" s="29"/>
      <c r="K6" s="29"/>
      <c r="L6" s="29"/>
      <c r="M6" s="29"/>
      <c r="N6" s="29"/>
      <c r="O6" s="29"/>
      <c r="P6" s="13" t="s">
        <v>111</v>
      </c>
    </row>
    <row r="7" spans="1:16" x14ac:dyDescent="0.25">
      <c r="A7" s="3" t="s">
        <v>121</v>
      </c>
      <c r="B7" s="3" t="s">
        <v>122</v>
      </c>
      <c r="C7" s="3" t="s">
        <v>123</v>
      </c>
      <c r="D7" s="3" t="s">
        <v>124</v>
      </c>
      <c r="E7" s="3" t="s">
        <v>125</v>
      </c>
      <c r="F7" s="3" t="s">
        <v>126</v>
      </c>
      <c r="G7" s="3" t="s">
        <v>127</v>
      </c>
      <c r="H7" s="3" t="s">
        <v>128</v>
      </c>
      <c r="I7" s="3" t="s">
        <v>122</v>
      </c>
      <c r="J7" s="3" t="s">
        <v>123</v>
      </c>
      <c r="K7" s="3" t="s">
        <v>124</v>
      </c>
      <c r="L7" s="3" t="s">
        <v>125</v>
      </c>
      <c r="M7" s="3" t="s">
        <v>126</v>
      </c>
      <c r="N7" s="3" t="s">
        <v>127</v>
      </c>
      <c r="O7" s="3" t="s">
        <v>128</v>
      </c>
      <c r="P7" s="3" t="s">
        <v>129</v>
      </c>
    </row>
    <row r="8" spans="1:16" x14ac:dyDescent="0.25">
      <c r="A8" s="14">
        <v>1</v>
      </c>
      <c r="B8" s="14">
        <f>IFERROR(IF(SUMIFS(tblDaily[Admissions],tblDaily[EntryDate],DATE(2026,1,1),tblDaily[WardCode],"MAE")=0,"",SUMIFS(tblDaily[Admissions],tblDaily[EntryDate],DATE(2026,1,1),tblDaily[WardCode],"MAE")),"")</f>
        <v>3</v>
      </c>
      <c r="C8" s="14">
        <f>IFERROR(IF(SUMIFS(tblDaily[Discharges],tblDaily[EntryDate],DATE(2026,1,1),tblDaily[WardCode],"MAE")=0,"",SUMIFS(tblDaily[Discharges],tblDaily[EntryDate],DATE(2026,1,1),tblDaily[WardCode],"MAE")),"")</f>
        <v>3</v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>
        <f>IFERROR(IF(SUMIFS(tblDaily[TransfersOut],tblDaily[EntryDate],DATE(2026,1,1),tblDaily[WardCode],"MAE")=0,"",SUMIFS(tblDaily[TransfersOut],tblDaily[EntryDate],DATE(2026,1,1),tblDaily[WardCode],"MAE")),"")</f>
        <v>1</v>
      </c>
      <c r="H8" s="14">
        <f>IFERROR(IF(SUMIFS(tblDaily[Remaining],tblDaily[EntryDate],DATE(2026,1,1),tblDaily[WardCode],"MAE")=0,"",SUMIFS(tblDaily[Remaining],tblDaily[EntryDate],DATE(2026,1,1),tblDaily[WardCode],"MAE")),"")</f>
        <v>8</v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>
        <f>IFERROR(IF(SUMIFS(tblDaily[TransfersOut],tblDaily[EntryDate],DATE(2026,1,1),tblDaily[WardCode],"FAE")=0,"",SUMIFS(tblDaily[TransfersOut],tblDaily[EntryDate],DATE(2026,1,1),tblDaily[WardCode],"FAE")),"")</f>
        <v>1</v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>
        <f t="shared" ref="P8:P38" si="0">IF(AND(H8="", O8=""), "", N(H8) + N(O8))</f>
        <v>8</v>
      </c>
    </row>
    <row r="9" spans="1:16" x14ac:dyDescent="0.25">
      <c r="A9" s="14">
        <v>2</v>
      </c>
      <c r="B9" s="14">
        <f>IFERROR(IF(SUMIFS(tblDaily[Admissions],tblDaily[EntryDate],DATE(2026,1,2),tblDaily[WardCode],"MAE")=0,"",SUMIFS(tblDaily[Admissions],tblDaily[EntryDate],DATE(2026,1,2),tblDaily[WardCode],"MAE")),"")</f>
        <v>4</v>
      </c>
      <c r="C9" s="14">
        <f>IFERROR(IF(SUMIFS(tblDaily[Discharges],tblDaily[EntryDate],DATE(2026,1,2),tblDaily[WardCode],"MAE")=0,"",SUMIFS(tblDaily[Discharges],tblDaily[EntryDate],DATE(2026,1,2),tblDaily[WardCode],"MAE")),"")</f>
        <v>3</v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>
        <f>IFERROR(IF(SUMIFS(tblDaily[Remaining],tblDaily[EntryDate],DATE(2026,1,2),tblDaily[WardCode],"MAE")=0,"",SUMIFS(tblDaily[Remaining],tblDaily[EntryDate],DATE(2026,1,2),tblDaily[WardCode],"MAE")),"")</f>
        <v>9</v>
      </c>
      <c r="I9" s="14">
        <f>IFERROR(IF(SUMIFS(tblDaily[Admissions],tblDaily[EntryDate],DATE(2026,1,2),tblDaily[WardCode],"FAE")=0,"",SUMIFS(tblDaily[Admissions],tblDaily[EntryDate],DATE(2026,1,2),tblDaily[WardCode],"FAE")),"")</f>
        <v>1</v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>
        <f>IFERROR(IF(SUMIFS(tblDaily[Remaining],tblDaily[EntryDate],DATE(2026,1,2),tblDaily[WardCode],"FAE")=0,"",SUMIFS(tblDaily[Remaining],tblDaily[EntryDate],DATE(2026,1,2),tblDaily[WardCode],"FAE")),"")</f>
        <v>1</v>
      </c>
      <c r="P9" s="15">
        <f t="shared" si="0"/>
        <v>10</v>
      </c>
    </row>
    <row r="10" spans="1:16" x14ac:dyDescent="0.25">
      <c r="A10" s="14">
        <v>3</v>
      </c>
      <c r="B10" s="14">
        <f>IFERROR(IF(SUMIFS(tblDaily[Admissions],tblDaily[EntryDate],DATE(2026,1,3),tblDaily[WardCode],"MAE")=0,"",SUMIFS(tblDaily[Admissions],tblDaily[EntryDate],DATE(2026,1,3),tblDaily[WardCode],"MAE")),"")</f>
        <v>5</v>
      </c>
      <c r="C10" s="14">
        <f>IFERROR(IF(SUMIFS(tblDaily[Discharges],tblDaily[EntryDate],DATE(2026,1,3),tblDaily[WardCode],"MAE")=0,"",SUMIFS(tblDaily[Discharges],tblDaily[EntryDate],DATE(2026,1,3),tblDaily[WardCode],"MAE")),"")</f>
        <v>2</v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>
        <f>IFERROR(IF(SUMIFS(tblDaily[TransfersOut],tblDaily[EntryDate],DATE(2026,1,3),tblDaily[WardCode],"MAE")=0,"",SUMIFS(tblDaily[TransfersOut],tblDaily[EntryDate],DATE(2026,1,3),tblDaily[WardCode],"MAE")),"")</f>
        <v>2</v>
      </c>
      <c r="H10" s="14">
        <f>IFERROR(IF(SUMIFS(tblDaily[Remaining],tblDaily[EntryDate],DATE(2026,1,3),tblDaily[WardCode],"MAE")=0,"",SUMIFS(tblDaily[Remaining],tblDaily[EntryDate],DATE(2026,1,3),tblDaily[WardCode],"MAE")),"")</f>
        <v>10</v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>
        <f>IFERROR(IF(SUMIFS(tblDaily[TransfersOut],tblDaily[EntryDate],DATE(2026,1,3),tblDaily[WardCode],"FAE")=0,"",SUMIFS(tblDaily[TransfersOut],tblDaily[EntryDate],DATE(2026,1,3),tblDaily[WardCode],"FAE")),"")</f>
        <v>1</v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>
        <f t="shared" si="0"/>
        <v>10</v>
      </c>
    </row>
    <row r="11" spans="1:16" x14ac:dyDescent="0.25">
      <c r="A11" s="14">
        <v>4</v>
      </c>
      <c r="B11" s="14">
        <f>IFERROR(IF(SUMIFS(tblDaily[Admissions],tblDaily[EntryDate],DATE(2026,1,4),tblDaily[WardCode],"MAE")=0,"",SUMIFS(tblDaily[Admissions],tblDaily[EntryDate],DATE(2026,1,4),tblDaily[WardCode],"MAE")),"")</f>
        <v>4</v>
      </c>
      <c r="C11" s="14">
        <f>IFERROR(IF(SUMIFS(tblDaily[Discharges],tblDaily[EntryDate],DATE(2026,1,4),tblDaily[WardCode],"MAE")=0,"",SUMIFS(tblDaily[Discharges],tblDaily[EntryDate],DATE(2026,1,4),tblDaily[WardCode],"MAE")),"")</f>
        <v>1</v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>
        <f>IFERROR(IF(SUMIFS(tblDaily[DeathsUnder24Hrs],tblDaily[EntryDate],DATE(2026,1,4),tblDaily[WardCode],"MAE")=0,"",SUMIFS(tblDaily[DeathsUnder24Hrs],tblDaily[EntryDate],DATE(2026,1,4),tblDaily[WardCode],"MAE")),"")</f>
        <v>1</v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>
        <f>IFERROR(IF(SUMIFS(tblDaily[TransfersOut],tblDaily[EntryDate],DATE(2026,1,4),tblDaily[WardCode],"MAE")=0,"",SUMIFS(tblDaily[TransfersOut],tblDaily[EntryDate],DATE(2026,1,4),tblDaily[WardCode],"MAE")),"")</f>
        <v>3</v>
      </c>
      <c r="H11" s="14">
        <f>IFERROR(IF(SUMIFS(tblDaily[Remaining],tblDaily[EntryDate],DATE(2026,1,4),tblDaily[WardCode],"MAE")=0,"",SUMIFS(tblDaily[Remaining],tblDaily[EntryDate],DATE(2026,1,4),tblDaily[WardCode],"MAE")),"")</f>
        <v>9</v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>
        <f t="shared" si="0"/>
        <v>9</v>
      </c>
    </row>
    <row r="12" spans="1:16" x14ac:dyDescent="0.25">
      <c r="A12" s="14">
        <v>5</v>
      </c>
      <c r="B12" s="14">
        <f>IFERROR(IF(SUMIFS(tblDaily[Admissions],tblDaily[EntryDate],DATE(2026,1,5),tblDaily[WardCode],"MAE")=0,"",SUMIFS(tblDaily[Admissions],tblDaily[EntryDate],DATE(2026,1,5),tblDaily[WardCode],"MAE")),"")</f>
        <v>1</v>
      </c>
      <c r="C12" s="14">
        <f>IFERROR(IF(SUMIFS(tblDaily[Discharges],tblDaily[EntryDate],DATE(2026,1,5),tblDaily[WardCode],"MAE")=0,"",SUMIFS(tblDaily[Discharges],tblDaily[EntryDate],DATE(2026,1,5),tblDaily[WardCode],"MAE")),"")</f>
        <v>8</v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>
        <f>IFERROR(IF(SUMIFS(tblDaily[Remaining],tblDaily[EntryDate],DATE(2026,1,5),tblDaily[WardCode],"MAE")=0,"",SUMIFS(tblDaily[Remaining],tblDaily[EntryDate],DATE(2026,1,5),tblDaily[WardCode],"MAE")),"")</f>
        <v>2</v>
      </c>
      <c r="I12" s="14">
        <f>IFERROR(IF(SUMIFS(tblDaily[Admissions],tblDaily[EntryDate],DATE(2026,1,5),tblDaily[WardCode],"FAE")=0,"",SUMIFS(tblDaily[Admissions],tblDaily[EntryDate],DATE(2026,1,5),tblDaily[WardCode],"FAE")),"")</f>
        <v>4</v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>
        <f>IFERROR(IF(SUMIFS(tblDaily[TransfersOut],tblDaily[EntryDate],DATE(2026,1,5),tblDaily[WardCode],"FAE")=0,"",SUMIFS(tblDaily[TransfersOut],tblDaily[EntryDate],DATE(2026,1,5),tblDaily[WardCode],"FAE")),"")</f>
        <v>3</v>
      </c>
      <c r="O12" s="14">
        <f>IFERROR(IF(SUMIFS(tblDaily[Remaining],tblDaily[EntryDate],DATE(2026,1,5),tblDaily[WardCode],"FAE")=0,"",SUMIFS(tblDaily[Remaining],tblDaily[EntryDate],DATE(2026,1,5),tblDaily[WardCode],"FAE")),"")</f>
        <v>1</v>
      </c>
      <c r="P12" s="15">
        <f t="shared" si="0"/>
        <v>3</v>
      </c>
    </row>
    <row r="13" spans="1:16" x14ac:dyDescent="0.25">
      <c r="A13" s="14">
        <v>6</v>
      </c>
      <c r="B13" s="14">
        <f>IFERROR(IF(SUMIFS(tblDaily[Admissions],tblDaily[EntryDate],DATE(2026,1,6),tblDaily[WardCode],"MAE")=0,"",SUMIFS(tblDaily[Admissions],tblDaily[EntryDate],DATE(2026,1,6),tblDaily[WardCode],"MAE")),"")</f>
        <v>2</v>
      </c>
      <c r="C13" s="14">
        <f>IFERROR(IF(SUMIFS(tblDaily[Discharges],tblDaily[EntryDate],DATE(2026,1,6),tblDaily[WardCode],"MAE")=0,"",SUMIFS(tblDaily[Discharges],tblDaily[EntryDate],DATE(2026,1,6),tblDaily[WardCode],"MAE")),"")</f>
        <v>1</v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>
        <f>IFERROR(IF(SUMIFS(tblDaily[TransfersOut],tblDaily[EntryDate],DATE(2026,1,6),tblDaily[WardCode],"MAE")=0,"",SUMIFS(tblDaily[TransfersOut],tblDaily[EntryDate],DATE(2026,1,6),tblDaily[WardCode],"MAE")),"")</f>
        <v>2</v>
      </c>
      <c r="H13" s="14">
        <f>IFERROR(IF(SUMIFS(tblDaily[Remaining],tblDaily[EntryDate],DATE(2026,1,6),tblDaily[WardCode],"MAE")=0,"",SUMIFS(tblDaily[Remaining],tblDaily[EntryDate],DATE(2026,1,6),tblDaily[WardCode],"MAE")),"")</f>
        <v>1</v>
      </c>
      <c r="I13" s="14">
        <f>IFERROR(IF(SUMIFS(tblDaily[Admissions],tblDaily[EntryDate],DATE(2026,1,6),tblDaily[WardCode],"FAE")=0,"",SUMIFS(tblDaily[Admissions],tblDaily[EntryDate],DATE(2026,1,6),tblDaily[WardCode],"FAE")),"")</f>
        <v>1</v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>
        <f>IFERROR(IF(SUMIFS(tblDaily[Remaining],tblDaily[EntryDate],DATE(2026,1,6),tblDaily[WardCode],"FAE")=0,"",SUMIFS(tblDaily[Remaining],tblDaily[EntryDate],DATE(2026,1,6),tblDaily[WardCode],"FAE")),"")</f>
        <v>2</v>
      </c>
      <c r="P13" s="15">
        <f t="shared" si="0"/>
        <v>3</v>
      </c>
    </row>
    <row r="14" spans="1:16" x14ac:dyDescent="0.25">
      <c r="A14" s="14">
        <v>7</v>
      </c>
      <c r="B14" s="14">
        <f>IFERROR(IF(SUMIFS(tblDaily[Admissions],tblDaily[EntryDate],DATE(2026,1,7),tblDaily[WardCode],"MAE")=0,"",SUMIFS(tblDaily[Admissions],tblDaily[EntryDate],DATE(2026,1,7),tblDaily[WardCode],"MAE")),"")</f>
        <v>3</v>
      </c>
      <c r="C14" s="14">
        <f>IFERROR(IF(SUMIFS(tblDaily[Discharges],tblDaily[EntryDate],DATE(2026,1,7),tblDaily[WardCode],"MAE")=0,"",SUMIFS(tblDaily[Discharges],tblDaily[EntryDate],DATE(2026,1,7),tblDaily[WardCode],"MAE")),"")</f>
        <v>1</v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>
        <f>IFERROR(IF(SUMIFS(tblDaily[TransfersOut],tblDaily[EntryDate],DATE(2026,1,7),tblDaily[WardCode],"MAE")=0,"",SUMIFS(tblDaily[TransfersOut],tblDaily[EntryDate],DATE(2026,1,7),tblDaily[WardCode],"MAE")),"")</f>
        <v>1</v>
      </c>
      <c r="H14" s="14">
        <f>IFERROR(IF(SUMIFS(tblDaily[Remaining],tblDaily[EntryDate],DATE(2026,1,7),tblDaily[WardCode],"MAE")=0,"",SUMIFS(tblDaily[Remaining],tblDaily[EntryDate],DATE(2026,1,7),tblDaily[WardCode],"MAE")),"")</f>
        <v>2</v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>
        <f>IFERROR(IF(SUMIFS(tblDaily[Remaining],tblDaily[EntryDate],DATE(2026,1,7),tblDaily[WardCode],"FAE")=0,"",SUMIFS(tblDaily[Remaining],tblDaily[EntryDate],DATE(2026,1,7),tblDaily[WardCode],"FAE")),"")</f>
        <v>2</v>
      </c>
      <c r="P14" s="15">
        <f t="shared" si="0"/>
        <v>4</v>
      </c>
    </row>
    <row r="15" spans="1:16" x14ac:dyDescent="0.25">
      <c r="A15" s="14">
        <v>8</v>
      </c>
      <c r="B15" s="14">
        <f>IFERROR(IF(SUMIFS(tblDaily[Admissions],tblDaily[EntryDate],DATE(2026,1,8),tblDaily[WardCode],"MAE")=0,"",SUMIFS(tblDaily[Admissions],tblDaily[EntryDate],DATE(2026,1,8),tblDaily[WardCode],"MAE")),"")</f>
        <v>5</v>
      </c>
      <c r="C15" s="14">
        <f>IFERROR(IF(SUMIFS(tblDaily[Discharges],tblDaily[EntryDate],DATE(2026,1,8),tblDaily[WardCode],"MAE")=0,"",SUMIFS(tblDaily[Discharges],tblDaily[EntryDate],DATE(2026,1,8),tblDaily[WardCode],"MAE")),"")</f>
        <v>1</v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>
        <f>IFERROR(IF(SUMIFS(tblDaily[Remaining],tblDaily[EntryDate],DATE(2026,1,8),tblDaily[WardCode],"MAE")=0,"",SUMIFS(tblDaily[Remaining],tblDaily[EntryDate],DATE(2026,1,8),tblDaily[WardCode],"MAE")),"")</f>
        <v>6</v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>
        <f>IFERROR(IF(SUMIFS(tblDaily[TransfersOut],tblDaily[EntryDate],DATE(2026,1,8),tblDaily[WardCode],"FAE")=0,"",SUMIFS(tblDaily[TransfersOut],tblDaily[EntryDate],DATE(2026,1,8),tblDaily[WardCode],"FAE")),"")</f>
        <v>2</v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>
        <f t="shared" si="0"/>
        <v>6</v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>
        <f>IFERROR(IF(SUMIFS(tblDaily[Discharges],tblDaily[EntryDate],DATE(2026,1,9),tblDaily[WardCode],"MAE")=0,"",SUMIFS(tblDaily[Discharges],tblDaily[EntryDate],DATE(2026,1,9),tblDaily[WardCode],"MAE")),"")</f>
        <v>2</v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>
        <f>IFERROR(IF(SUMIFS(tblDaily[TransfersOut],tblDaily[EntryDate],DATE(2026,1,9),tblDaily[WardCode],"MAE")=0,"",SUMIFS(tblDaily[TransfersOut],tblDaily[EntryDate],DATE(2026,1,9),tblDaily[WardCode],"MAE")),"")</f>
        <v>2</v>
      </c>
      <c r="H16" s="14">
        <f>IFERROR(IF(SUMIFS(tblDaily[Remaining],tblDaily[EntryDate],DATE(2026,1,9),tblDaily[WardCode],"MAE")=0,"",SUMIFS(tblDaily[Remaining],tblDaily[EntryDate],DATE(2026,1,9),tblDaily[WardCode],"MAE")),"")</f>
        <v>2</v>
      </c>
      <c r="I16" s="14">
        <f>IFERROR(IF(SUMIFS(tblDaily[Admissions],tblDaily[EntryDate],DATE(2026,1,9),tblDaily[WardCode],"FAE")=0,"",SUMIFS(tblDaily[Admissions],tblDaily[EntryDate],DATE(2026,1,9),tblDaily[WardCode],"FAE")),"")</f>
        <v>1</v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>
        <f>IFERROR(IF(SUMIFS(tblDaily[Remaining],tblDaily[EntryDate],DATE(2026,1,9),tblDaily[WardCode],"FAE")=0,"",SUMIFS(tblDaily[Remaining],tblDaily[EntryDate],DATE(2026,1,9),tblDaily[WardCode],"FAE")),"")</f>
        <v>1</v>
      </c>
      <c r="P16" s="15">
        <f t="shared" si="0"/>
        <v>3</v>
      </c>
    </row>
    <row r="17" spans="1:16" x14ac:dyDescent="0.25">
      <c r="A17" s="14">
        <v>10</v>
      </c>
      <c r="B17" s="14">
        <f>IFERROR(IF(SUMIFS(tblDaily[Admissions],tblDaily[EntryDate],DATE(2026,1,10),tblDaily[WardCode],"MAE")=0,"",SUMIFS(tblDaily[Admissions],tblDaily[EntryDate],DATE(2026,1,10),tblDaily[WardCode],"MAE")),"")</f>
        <v>2</v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>
        <f>IFERROR(IF(SUMIFS(tblDaily[Remaining],tblDaily[EntryDate],DATE(2026,1,10),tblDaily[WardCode],"MAE")=0,"",SUMIFS(tblDaily[Remaining],tblDaily[EntryDate],DATE(2026,1,10),tblDaily[WardCode],"MAE")),"")</f>
        <v>4</v>
      </c>
      <c r="I17" s="14">
        <f>IFERROR(IF(SUMIFS(tblDaily[Admissions],tblDaily[EntryDate],DATE(2026,1,10),tblDaily[WardCode],"FAE")=0,"",SUMIFS(tblDaily[Admissions],tblDaily[EntryDate],DATE(2026,1,10),tblDaily[WardCode],"FAE")),"")</f>
        <v>3</v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>
        <f>IFERROR(IF(SUMIFS(tblDaily[Remaining],tblDaily[EntryDate],DATE(2026,1,10),tblDaily[WardCode],"FAE")=0,"",SUMIFS(tblDaily[Remaining],tblDaily[EntryDate],DATE(2026,1,10),tblDaily[WardCode],"FAE")),"")</f>
        <v>4</v>
      </c>
      <c r="P17" s="15">
        <f t="shared" si="0"/>
        <v>8</v>
      </c>
    </row>
    <row r="18" spans="1:16" x14ac:dyDescent="0.25">
      <c r="A18" s="14">
        <v>11</v>
      </c>
      <c r="B18" s="14">
        <f>IFERROR(IF(SUMIFS(tblDaily[Admissions],tblDaily[EntryDate],DATE(2026,1,11),tblDaily[WardCode],"MAE")=0,"",SUMIFS(tblDaily[Admissions],tblDaily[EntryDate],DATE(2026,1,11),tblDaily[WardCode],"MAE")),"")</f>
        <v>4</v>
      </c>
      <c r="C18" s="14">
        <f>IFERROR(IF(SUMIFS(tblDaily[Discharges],tblDaily[EntryDate],DATE(2026,1,11),tblDaily[WardCode],"MAE")=0,"",SUMIFS(tblDaily[Discharges],tblDaily[EntryDate],DATE(2026,1,11),tblDaily[WardCode],"MAE")),"")</f>
        <v>1</v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>
        <f>IFERROR(IF(SUMIFS(tblDaily[TransfersOut],tblDaily[EntryDate],DATE(2026,1,11),tblDaily[WardCode],"MAE")=0,"",SUMIFS(tblDaily[TransfersOut],tblDaily[EntryDate],DATE(2026,1,11),tblDaily[WardCode],"MAE")),"")</f>
        <v>4</v>
      </c>
      <c r="H18" s="14">
        <f>IFERROR(IF(SUMIFS(tblDaily[Remaining],tblDaily[EntryDate],DATE(2026,1,11),tblDaily[WardCode],"MAE")=0,"",SUMIFS(tblDaily[Remaining],tblDaily[EntryDate],DATE(2026,1,11),tblDaily[WardCode],"MAE")),"")</f>
        <v>3</v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>
        <f>IFERROR(IF(SUMIFS(tblDaily[Discharges],tblDaily[EntryDate],DATE(2026,1,11),tblDaily[WardCode],"FAE")=0,"",SUMIFS(tblDaily[Discharges],tblDaily[EntryDate],DATE(2026,1,11),tblDaily[WardCode],"FAE")),"")</f>
        <v>1</v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>
        <f>IFERROR(IF(SUMIFS(tblDaily[TransfersOut],tblDaily[EntryDate],DATE(2026,1,11),tblDaily[WardCode],"FAE")=0,"",SUMIFS(tblDaily[TransfersOut],tblDaily[EntryDate],DATE(2026,1,11),tblDaily[WardCode],"FAE")),"")</f>
        <v>1</v>
      </c>
      <c r="O18" s="14">
        <f>IFERROR(IF(SUMIFS(tblDaily[Remaining],tblDaily[EntryDate],DATE(2026,1,11),tblDaily[WardCode],"FAE")=0,"",SUMIFS(tblDaily[Remaining],tblDaily[EntryDate],DATE(2026,1,11),tblDaily[WardCode],"FAE")),"")</f>
        <v>2</v>
      </c>
      <c r="P18" s="15">
        <f t="shared" si="0"/>
        <v>5</v>
      </c>
    </row>
    <row r="19" spans="1:16" x14ac:dyDescent="0.25">
      <c r="A19" s="14">
        <v>12</v>
      </c>
      <c r="B19" s="14">
        <f>IFERROR(IF(SUMIFS(tblDaily[Admissions],tblDaily[EntryDate],DATE(2026,1,12),tblDaily[WardCode],"MAE")=0,"",SUMIFS(tblDaily[Admissions],tblDaily[EntryDate],DATE(2026,1,12),tblDaily[WardCode],"MAE")),"")</f>
        <v>1</v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>
        <f>IFERROR(IF(SUMIFS(tblDaily[TransfersOut],tblDaily[EntryDate],DATE(2026,1,12),tblDaily[WardCode],"MAE")=0,"",SUMIFS(tblDaily[TransfersOut],tblDaily[EntryDate],DATE(2026,1,12),tblDaily[WardCode],"MAE")),"")</f>
        <v>3</v>
      </c>
      <c r="H19" s="14">
        <f>IFERROR(IF(SUMIFS(tblDaily[Remaining],tblDaily[EntryDate],DATE(2026,1,12),tblDaily[WardCode],"MAE")=0,"",SUMIFS(tblDaily[Remaining],tblDaily[EntryDate],DATE(2026,1,12),tblDaily[WardCode],"MAE")),"")</f>
        <v>1</v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>
        <f>IFERROR(IF(SUMIFS(tblDaily[Discharges],tblDaily[EntryDate],DATE(2026,1,12),tblDaily[WardCode],"FAE")=0,"",SUMIFS(tblDaily[Discharges],tblDaily[EntryDate],DATE(2026,1,12),tblDaily[WardCode],"FAE")),"")</f>
        <v>2</v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>
        <f t="shared" si="0"/>
        <v>1</v>
      </c>
    </row>
    <row r="20" spans="1:16" x14ac:dyDescent="0.25">
      <c r="A20" s="14">
        <v>13</v>
      </c>
      <c r="B20" s="14">
        <f>IFERROR(IF(SUMIFS(tblDaily[Admissions],tblDaily[EntryDate],DATE(2026,1,13),tblDaily[WardCode],"MAE")=0,"",SUMIFS(tblDaily[Admissions],tblDaily[EntryDate],DATE(2026,1,13),tblDaily[WardCode],"MAE")),"")</f>
        <v>4</v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>
        <f>IFERROR(IF(SUMIFS(tblDaily[TransfersOut],tblDaily[EntryDate],DATE(2026,1,13),tblDaily[WardCode],"MAE")=0,"",SUMIFS(tblDaily[TransfersOut],tblDaily[EntryDate],DATE(2026,1,13),tblDaily[WardCode],"MAE")),"")</f>
        <v>2</v>
      </c>
      <c r="H20" s="14">
        <f>IFERROR(IF(SUMIFS(tblDaily[Remaining],tblDaily[EntryDate],DATE(2026,1,13),tblDaily[WardCode],"MAE")=0,"",SUMIFS(tblDaily[Remaining],tblDaily[EntryDate],DATE(2026,1,13),tblDaily[WardCode],"MAE")),"")</f>
        <v>3</v>
      </c>
      <c r="I20" s="14">
        <f>IFERROR(IF(SUMIFS(tblDaily[Admissions],tblDaily[EntryDate],DATE(2026,1,13),tblDaily[WardCode],"FAE")=0,"",SUMIFS(tblDaily[Admissions],tblDaily[EntryDate],DATE(2026,1,13),tblDaily[WardCode],"FAE")),"")</f>
        <v>1</v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>
        <f>IFERROR(IF(SUMIFS(tblDaily[Remaining],tblDaily[EntryDate],DATE(2026,1,13),tblDaily[WardCode],"FAE")=0,"",SUMIFS(tblDaily[Remaining],tblDaily[EntryDate],DATE(2026,1,13),tblDaily[WardCode],"FAE")),"")</f>
        <v>1</v>
      </c>
      <c r="P20" s="15">
        <f t="shared" si="0"/>
        <v>4</v>
      </c>
    </row>
    <row r="21" spans="1:16" x14ac:dyDescent="0.25">
      <c r="A21" s="14">
        <v>14</v>
      </c>
      <c r="B21" s="14">
        <f>IFERROR(IF(SUMIFS(tblDaily[Admissions],tblDaily[EntryDate],DATE(2026,1,14),tblDaily[WardCode],"MAE")=0,"",SUMIFS(tblDaily[Admissions],tblDaily[EntryDate],DATE(2026,1,14),tblDaily[WardCode],"MAE")),"")</f>
        <v>4</v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>
        <f>IFERROR(IF(SUMIFS(tblDaily[TransfersOut],tblDaily[EntryDate],DATE(2026,1,14),tblDaily[WardCode],"MAE")=0,"",SUMIFS(tblDaily[TransfersOut],tblDaily[EntryDate],DATE(2026,1,14),tblDaily[WardCode],"MAE")),"")</f>
        <v>1</v>
      </c>
      <c r="H21" s="14">
        <f>IFERROR(IF(SUMIFS(tblDaily[Remaining],tblDaily[EntryDate],DATE(2026,1,14),tblDaily[WardCode],"MAE")=0,"",SUMIFS(tblDaily[Remaining],tblDaily[EntryDate],DATE(2026,1,14),tblDaily[WardCode],"MAE")),"")</f>
        <v>6</v>
      </c>
      <c r="I21" s="14">
        <f>IFERROR(IF(SUMIFS(tblDaily[Admissions],tblDaily[EntryDate],DATE(2026,1,14),tblDaily[WardCode],"FAE")=0,"",SUMIFS(tblDaily[Admissions],tblDaily[EntryDate],DATE(2026,1,14),tblDaily[WardCode],"FAE")),"")</f>
        <v>4</v>
      </c>
      <c r="J21" s="14">
        <f>IFERROR(IF(SUMIFS(tblDaily[Discharges],tblDaily[EntryDate],DATE(2026,1,14),tblDaily[WardCode],"FAE")=0,"",SUMIFS(tblDaily[Discharges],tblDaily[EntryDate],DATE(2026,1,14),tblDaily[WardCode],"FAE")),"")</f>
        <v>2</v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>
        <f>IFERROR(IF(SUMIFS(tblDaily[TransfersOut],tblDaily[EntryDate],DATE(2026,1,14),tblDaily[WardCode],"FAE")=0,"",SUMIFS(tblDaily[TransfersOut],tblDaily[EntryDate],DATE(2026,1,14),tblDaily[WardCode],"FAE")),"")</f>
        <v>1</v>
      </c>
      <c r="O21" s="14">
        <f>IFERROR(IF(SUMIFS(tblDaily[Remaining],tblDaily[EntryDate],DATE(2026,1,14),tblDaily[WardCode],"FAE")=0,"",SUMIFS(tblDaily[Remaining],tblDaily[EntryDate],DATE(2026,1,14),tblDaily[WardCode],"FAE")),"")</f>
        <v>2</v>
      </c>
      <c r="P21" s="15">
        <f t="shared" si="0"/>
        <v>8</v>
      </c>
    </row>
    <row r="22" spans="1:16" x14ac:dyDescent="0.25">
      <c r="A22" s="14">
        <v>15</v>
      </c>
      <c r="B22" s="14">
        <f>IFERROR(IF(SUMIFS(tblDaily[Admissions],tblDaily[EntryDate],DATE(2026,1,15),tblDaily[WardCode],"MAE")=0,"",SUMIFS(tblDaily[Admissions],tblDaily[EntryDate],DATE(2026,1,15),tblDaily[WardCode],"MAE")),"")</f>
        <v>1</v>
      </c>
      <c r="C22" s="14">
        <f>IFERROR(IF(SUMIFS(tblDaily[Discharges],tblDaily[EntryDate],DATE(2026,1,15),tblDaily[WardCode],"MAE")=0,"",SUMIFS(tblDaily[Discharges],tblDaily[EntryDate],DATE(2026,1,15),tblDaily[WardCode],"MAE")),"")</f>
        <v>2</v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>
        <f>IFERROR(IF(SUMIFS(tblDaily[Remaining],tblDaily[EntryDate],DATE(2026,1,15),tblDaily[WardCode],"MAE")=0,"",SUMIFS(tblDaily[Remaining],tblDaily[EntryDate],DATE(2026,1,15),tblDaily[WardCode],"MAE")),"")</f>
        <v>5</v>
      </c>
      <c r="I22" s="14">
        <f>IFERROR(IF(SUMIFS(tblDaily[Admissions],tblDaily[EntryDate],DATE(2026,1,15),tblDaily[WardCode],"FAE")=0,"",SUMIFS(tblDaily[Admissions],tblDaily[EntryDate],DATE(2026,1,15),tblDaily[WardCode],"FAE")),"")</f>
        <v>3</v>
      </c>
      <c r="J22" s="14">
        <f>IFERROR(IF(SUMIFS(tblDaily[Discharges],tblDaily[EntryDate],DATE(2026,1,15),tblDaily[WardCode],"FAE")=0,"",SUMIFS(tblDaily[Discharges],tblDaily[EntryDate],DATE(2026,1,15),tblDaily[WardCode],"FAE")),"")</f>
        <v>2</v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>
        <f>IFERROR(IF(SUMIFS(tblDaily[TransfersOut],tblDaily[EntryDate],DATE(2026,1,15),tblDaily[WardCode],"FAE")=0,"",SUMIFS(tblDaily[TransfersOut],tblDaily[EntryDate],DATE(2026,1,15),tblDaily[WardCode],"FAE")),"")</f>
        <v>2</v>
      </c>
      <c r="O22" s="14">
        <f>IFERROR(IF(SUMIFS(tblDaily[Remaining],tblDaily[EntryDate],DATE(2026,1,15),tblDaily[WardCode],"FAE")=0,"",SUMIFS(tblDaily[Remaining],tblDaily[EntryDate],DATE(2026,1,15),tblDaily[WardCode],"FAE")),"")</f>
        <v>1</v>
      </c>
      <c r="P22" s="15">
        <f t="shared" si="0"/>
        <v>6</v>
      </c>
    </row>
    <row r="23" spans="1:16" x14ac:dyDescent="0.25">
      <c r="A23" s="14">
        <v>16</v>
      </c>
      <c r="B23" s="14">
        <f>IFERROR(IF(SUMIFS(tblDaily[Admissions],tblDaily[EntryDate],DATE(2026,1,16),tblDaily[WardCode],"MAE")=0,"",SUMIFS(tblDaily[Admissions],tblDaily[EntryDate],DATE(2026,1,16),tblDaily[WardCode],"MAE")),"")</f>
        <v>6</v>
      </c>
      <c r="C23" s="14">
        <f>IFERROR(IF(SUMIFS(tblDaily[Discharges],tblDaily[EntryDate],DATE(2026,1,16),tblDaily[WardCode],"MAE")=0,"",SUMIFS(tblDaily[Discharges],tblDaily[EntryDate],DATE(2026,1,16),tblDaily[WardCode],"MAE")),"")</f>
        <v>1</v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>
        <f>IFERROR(IF(SUMIFS(tblDaily[Remaining],tblDaily[EntryDate],DATE(2026,1,16),tblDaily[WardCode],"MAE")=0,"",SUMIFS(tblDaily[Remaining],tblDaily[EntryDate],DATE(2026,1,16),tblDaily[WardCode],"MAE")),"")</f>
        <v>9</v>
      </c>
      <c r="I23" s="14">
        <f>IFERROR(IF(SUMIFS(tblDaily[Admissions],tblDaily[EntryDate],DATE(2026,1,16),tblDaily[WardCode],"FAE")=0,"",SUMIFS(tblDaily[Admissions],tblDaily[EntryDate],DATE(2026,1,16),tblDaily[WardCode],"FAE")),"")</f>
        <v>1</v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>
        <f>IFERROR(IF(SUMIFS(tblDaily[TransfersOut],tblDaily[EntryDate],DATE(2026,1,16),tblDaily[WardCode],"FAE")=0,"",SUMIFS(tblDaily[TransfersOut],tblDaily[EntryDate],DATE(2026,1,16),tblDaily[WardCode],"FAE")),"")</f>
        <v>2</v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>
        <f t="shared" si="0"/>
        <v>9</v>
      </c>
    </row>
    <row r="24" spans="1:16" x14ac:dyDescent="0.25">
      <c r="A24" s="14">
        <v>17</v>
      </c>
      <c r="B24" s="14">
        <f>IFERROR(IF(SUMIFS(tblDaily[Admissions],tblDaily[EntryDate],DATE(2026,1,17),tblDaily[WardCode],"MAE")=0,"",SUMIFS(tblDaily[Admissions],tblDaily[EntryDate],DATE(2026,1,17),tblDaily[WardCode],"MAE")),"")</f>
        <v>3</v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>
        <f>IFERROR(IF(SUMIFS(tblDaily[TransfersOut],tblDaily[EntryDate],DATE(2026,1,17),tblDaily[WardCode],"MAE")=0,"",SUMIFS(tblDaily[TransfersOut],tblDaily[EntryDate],DATE(2026,1,17),tblDaily[WardCode],"MAE")),"")</f>
        <v>3</v>
      </c>
      <c r="H24" s="14">
        <f>IFERROR(IF(SUMIFS(tblDaily[Remaining],tblDaily[EntryDate],DATE(2026,1,17),tblDaily[WardCode],"MAE")=0,"",SUMIFS(tblDaily[Remaining],tblDaily[EntryDate],DATE(2026,1,17),tblDaily[WardCode],"MAE")),"")</f>
        <v>9</v>
      </c>
      <c r="I24" s="14">
        <f>IFERROR(IF(SUMIFS(tblDaily[Admissions],tblDaily[EntryDate],DATE(2026,1,17),tblDaily[WardCode],"FAE")=0,"",SUMIFS(tblDaily[Admissions],tblDaily[EntryDate],DATE(2026,1,17),tblDaily[WardCode],"FAE")),"")</f>
        <v>3</v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>
        <f>IFERROR(IF(SUMIFS(tblDaily[TransfersOut],tblDaily[EntryDate],DATE(2026,1,17),tblDaily[WardCode],"FAE")=0,"",SUMIFS(tblDaily[TransfersOut],tblDaily[EntryDate],DATE(2026,1,17),tblDaily[WardCode],"FAE")),"")</f>
        <v>2</v>
      </c>
      <c r="O24" s="14">
        <f>IFERROR(IF(SUMIFS(tblDaily[Remaining],tblDaily[EntryDate],DATE(2026,1,17),tblDaily[WardCode],"FAE")=0,"",SUMIFS(tblDaily[Remaining],tblDaily[EntryDate],DATE(2026,1,17),tblDaily[WardCode],"FAE")),"")</f>
        <v>1</v>
      </c>
      <c r="P24" s="15">
        <f t="shared" si="0"/>
        <v>10</v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>
        <f>IFERROR(IF(SUMIFS(tblDaily[Discharges],tblDaily[EntryDate],DATE(2026,1,18),tblDaily[WardCode],"MAE")=0,"",SUMIFS(tblDaily[Discharges],tblDaily[EntryDate],DATE(2026,1,18),tblDaily[WardCode],"MAE")),"")</f>
        <v>1</v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>
        <f>IFERROR(IF(SUMIFS(tblDaily[TransfersOut],tblDaily[EntryDate],DATE(2026,1,18),tblDaily[WardCode],"MAE")=0,"",SUMIFS(tblDaily[TransfersOut],tblDaily[EntryDate],DATE(2026,1,18),tblDaily[WardCode],"MAE")),"")</f>
        <v>2</v>
      </c>
      <c r="H25" s="14">
        <f>IFERROR(IF(SUMIFS(tblDaily[Remaining],tblDaily[EntryDate],DATE(2026,1,18),tblDaily[WardCode],"MAE")=0,"",SUMIFS(tblDaily[Remaining],tblDaily[EntryDate],DATE(2026,1,18),tblDaily[WardCode],"MAE")),"")</f>
        <v>6</v>
      </c>
      <c r="I25" s="14">
        <f>IFERROR(IF(SUMIFS(tblDaily[Admissions],tblDaily[EntryDate],DATE(2026,1,18),tblDaily[WardCode],"FAE")=0,"",SUMIFS(tblDaily[Admissions],tblDaily[EntryDate],DATE(2026,1,18),tblDaily[WardCode],"FAE")),"")</f>
        <v>4</v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>
        <f>IFERROR(IF(SUMIFS(tblDaily[TransfersOut],tblDaily[EntryDate],DATE(2026,1,18),tblDaily[WardCode],"FAE")=0,"",SUMIFS(tblDaily[TransfersOut],tblDaily[EntryDate],DATE(2026,1,18),tblDaily[WardCode],"FAE")),"")</f>
        <v>1</v>
      </c>
      <c r="O25" s="14">
        <f>IFERROR(IF(SUMIFS(tblDaily[Remaining],tblDaily[EntryDate],DATE(2026,1,18),tblDaily[WardCode],"FAE")=0,"",SUMIFS(tblDaily[Remaining],tblDaily[EntryDate],DATE(2026,1,18),tblDaily[WardCode],"FAE")),"")</f>
        <v>4</v>
      </c>
      <c r="P25" s="15">
        <f t="shared" si="0"/>
        <v>10</v>
      </c>
    </row>
    <row r="26" spans="1:16" x14ac:dyDescent="0.25">
      <c r="A26" s="14">
        <v>19</v>
      </c>
      <c r="B26" s="14">
        <f>IFERROR(IF(SUMIFS(tblDaily[Admissions],tblDaily[EntryDate],DATE(2026,1,19),tblDaily[WardCode],"MAE")=0,"",SUMIFS(tblDaily[Admissions],tblDaily[EntryDate],DATE(2026,1,19),tblDaily[WardCode],"MAE")),"")</f>
        <v>2</v>
      </c>
      <c r="C26" s="14">
        <f>IFERROR(IF(SUMIFS(tblDaily[Discharges],tblDaily[EntryDate],DATE(2026,1,19),tblDaily[WardCode],"MAE")=0,"",SUMIFS(tblDaily[Discharges],tblDaily[EntryDate],DATE(2026,1,19),tblDaily[WardCode],"MAE")),"")</f>
        <v>4</v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>
        <f>IFERROR(IF(SUMIFS(tblDaily[Remaining],tblDaily[EntryDate],DATE(2026,1,19),tblDaily[WardCode],"MAE")=0,"",SUMIFS(tblDaily[Remaining],tblDaily[EntryDate],DATE(2026,1,19),tblDaily[WardCode],"MAE")),"")</f>
        <v>3</v>
      </c>
      <c r="I26" s="14">
        <f>IFERROR(IF(SUMIFS(tblDaily[Admissions],tblDaily[EntryDate],DATE(2026,1,19),tblDaily[WardCode],"FAE")=0,"",SUMIFS(tblDaily[Admissions],tblDaily[EntryDate],DATE(2026,1,19),tblDaily[WardCode],"FAE")),"")</f>
        <v>1</v>
      </c>
      <c r="J26" s="14">
        <f>IFERROR(IF(SUMIFS(tblDaily[Discharges],tblDaily[EntryDate],DATE(2026,1,19),tblDaily[WardCode],"FAE")=0,"",SUMIFS(tblDaily[Discharges],tblDaily[EntryDate],DATE(2026,1,19),tblDaily[WardCode],"FAE")),"")</f>
        <v>1</v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>
        <f>IFERROR(IF(SUMIFS(tblDaily[TransfersOut],tblDaily[EntryDate],DATE(2026,1,19),tblDaily[WardCode],"FAE")=0,"",SUMIFS(tblDaily[TransfersOut],tblDaily[EntryDate],DATE(2026,1,19),tblDaily[WardCode],"FAE")),"")</f>
        <v>1</v>
      </c>
      <c r="O26" s="14">
        <f>IFERROR(IF(SUMIFS(tblDaily[Remaining],tblDaily[EntryDate],DATE(2026,1,19),tblDaily[WardCode],"FAE")=0,"",SUMIFS(tblDaily[Remaining],tblDaily[EntryDate],DATE(2026,1,19),tblDaily[WardCode],"FAE")),"")</f>
        <v>3</v>
      </c>
      <c r="P26" s="15">
        <f t="shared" si="0"/>
        <v>6</v>
      </c>
    </row>
    <row r="27" spans="1:16" x14ac:dyDescent="0.25">
      <c r="A27" s="14">
        <v>20</v>
      </c>
      <c r="B27" s="14">
        <f>IFERROR(IF(SUMIFS(tblDaily[Admissions],tblDaily[EntryDate],DATE(2026,1,20),tblDaily[WardCode],"MAE")=0,"",SUMIFS(tblDaily[Admissions],tblDaily[EntryDate],DATE(2026,1,20),tblDaily[WardCode],"MAE")),"")</f>
        <v>7</v>
      </c>
      <c r="C27" s="14">
        <f>IFERROR(IF(SUMIFS(tblDaily[Discharges],tblDaily[EntryDate],DATE(2026,1,20),tblDaily[WardCode],"MAE")=0,"",SUMIFS(tblDaily[Discharges],tblDaily[EntryDate],DATE(2026,1,20),tblDaily[WardCode],"MAE")),"")</f>
        <v>3</v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>
        <f>IFERROR(IF(SUMIFS(tblDaily[TransfersOut],tblDaily[EntryDate],DATE(2026,1,20),tblDaily[WardCode],"MAE")=0,"",SUMIFS(tblDaily[TransfersOut],tblDaily[EntryDate],DATE(2026,1,20),tblDaily[WardCode],"MAE")),"")</f>
        <v>1</v>
      </c>
      <c r="H27" s="14">
        <f>IFERROR(IF(SUMIFS(tblDaily[Remaining],tblDaily[EntryDate],DATE(2026,1,20),tblDaily[WardCode],"MAE")=0,"",SUMIFS(tblDaily[Remaining],tblDaily[EntryDate],DATE(2026,1,20),tblDaily[WardCode],"MAE")),"")</f>
        <v>6</v>
      </c>
      <c r="I27" s="14">
        <f>IFERROR(IF(SUMIFS(tblDaily[Admissions],tblDaily[EntryDate],DATE(2026,1,20),tblDaily[WardCode],"FAE")=0,"",SUMIFS(tblDaily[Admissions],tblDaily[EntryDate],DATE(2026,1,20),tblDaily[WardCode],"FAE")),"")</f>
        <v>1</v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>
        <f>IFERROR(IF(SUMIFS(tblDaily[Remaining],tblDaily[EntryDate],DATE(2026,1,20),tblDaily[WardCode],"FAE")=0,"",SUMIFS(tblDaily[Remaining],tblDaily[EntryDate],DATE(2026,1,20),tblDaily[WardCode],"FAE")),"")</f>
        <v>3</v>
      </c>
      <c r="P27" s="15">
        <f t="shared" si="0"/>
        <v>9</v>
      </c>
    </row>
    <row r="28" spans="1:16" x14ac:dyDescent="0.25">
      <c r="A28" s="14">
        <v>21</v>
      </c>
      <c r="B28" s="14">
        <f>IFERROR(IF(SUMIFS(tblDaily[Admissions],tblDaily[EntryDate],DATE(2026,1,21),tblDaily[WardCode],"MAE")=0,"",SUMIFS(tblDaily[Admissions],tblDaily[EntryDate],DATE(2026,1,21),tblDaily[WardCode],"MAE")),"")</f>
        <v>1</v>
      </c>
      <c r="C28" s="14">
        <f>IFERROR(IF(SUMIFS(tblDaily[Discharges],tblDaily[EntryDate],DATE(2026,1,21),tblDaily[WardCode],"MAE")=0,"",SUMIFS(tblDaily[Discharges],tblDaily[EntryDate],DATE(2026,1,21),tblDaily[WardCode],"MAE")),"")</f>
        <v>2</v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>
        <f>IFERROR(IF(SUMIFS(tblDaily[TransfersOut],tblDaily[EntryDate],DATE(2026,1,21),tblDaily[WardCode],"MAE")=0,"",SUMIFS(tblDaily[TransfersOut],tblDaily[EntryDate],DATE(2026,1,21),tblDaily[WardCode],"MAE")),"")</f>
        <v>1</v>
      </c>
      <c r="H28" s="14">
        <f>IFERROR(IF(SUMIFS(tblDaily[Remaining],tblDaily[EntryDate],DATE(2026,1,21),tblDaily[WardCode],"MAE")=0,"",SUMIFS(tblDaily[Remaining],tblDaily[EntryDate],DATE(2026,1,21),tblDaily[WardCode],"MAE")),"")</f>
        <v>4</v>
      </c>
      <c r="I28" s="14">
        <f>IFERROR(IF(SUMIFS(tblDaily[Admissions],tblDaily[EntryDate],DATE(2026,1,21),tblDaily[WardCode],"FAE")=0,"",SUMIFS(tblDaily[Admissions],tblDaily[EntryDate],DATE(2026,1,21),tblDaily[WardCode],"FAE")),"")</f>
        <v>1</v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>
        <f>IFERROR(IF(SUMIFS(tblDaily[TransfersOut],tblDaily[EntryDate],DATE(2026,1,21),tblDaily[WardCode],"FAE")=0,"",SUMIFS(tblDaily[TransfersOut],tblDaily[EntryDate],DATE(2026,1,21),tblDaily[WardCode],"FAE")),"")</f>
        <v>1</v>
      </c>
      <c r="O28" s="14">
        <f>IFERROR(IF(SUMIFS(tblDaily[Remaining],tblDaily[EntryDate],DATE(2026,1,21),tblDaily[WardCode],"FAE")=0,"",SUMIFS(tblDaily[Remaining],tblDaily[EntryDate],DATE(2026,1,21),tblDaily[WardCode],"FAE")),"")</f>
        <v>3</v>
      </c>
      <c r="P28" s="15">
        <f t="shared" si="0"/>
        <v>7</v>
      </c>
    </row>
    <row r="29" spans="1:16" x14ac:dyDescent="0.25">
      <c r="A29" s="14">
        <v>22</v>
      </c>
      <c r="B29" s="14">
        <f>IFERROR(IF(SUMIFS(tblDaily[Admissions],tblDaily[EntryDate],DATE(2026,1,22),tblDaily[WardCode],"MAE")=0,"",SUMIFS(tblDaily[Admissions],tblDaily[EntryDate],DATE(2026,1,22),tblDaily[WardCode],"MAE")),"")</f>
        <v>5</v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>
        <f>IFERROR(IF(SUMIFS(tblDaily[TransfersOut],tblDaily[EntryDate],DATE(2026,1,22),tblDaily[WardCode],"MAE")=0,"",SUMIFS(tblDaily[TransfersOut],tblDaily[EntryDate],DATE(2026,1,22),tblDaily[WardCode],"MAE")),"")</f>
        <v>3</v>
      </c>
      <c r="H29" s="14">
        <f>IFERROR(IF(SUMIFS(tblDaily[Remaining],tblDaily[EntryDate],DATE(2026,1,22),tblDaily[WardCode],"MAE")=0,"",SUMIFS(tblDaily[Remaining],tblDaily[EntryDate],DATE(2026,1,22),tblDaily[WardCode],"MAE")),"")</f>
        <v>6</v>
      </c>
      <c r="I29" s="14">
        <f>IFERROR(IF(SUMIFS(tblDaily[Admissions],tblDaily[EntryDate],DATE(2026,1,22),tblDaily[WardCode],"FAE")=0,"",SUMIFS(tblDaily[Admissions],tblDaily[EntryDate],DATE(2026,1,22),tblDaily[WardCode],"FAE")),"")</f>
        <v>2</v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>
        <f>IFERROR(IF(SUMIFS(tblDaily[TransfersOut],tblDaily[EntryDate],DATE(2026,1,22),tblDaily[WardCode],"FAE")=0,"",SUMIFS(tblDaily[TransfersOut],tblDaily[EntryDate],DATE(2026,1,22),tblDaily[WardCode],"FAE")),"")</f>
        <v>2</v>
      </c>
      <c r="O29" s="14">
        <f>IFERROR(IF(SUMIFS(tblDaily[Remaining],tblDaily[EntryDate],DATE(2026,1,22),tblDaily[WardCode],"FAE")=0,"",SUMIFS(tblDaily[Remaining],tblDaily[EntryDate],DATE(2026,1,22),tblDaily[WardCode],"FAE")),"")</f>
        <v>3</v>
      </c>
      <c r="P29" s="15">
        <f t="shared" si="0"/>
        <v>9</v>
      </c>
    </row>
    <row r="30" spans="1:16" x14ac:dyDescent="0.25">
      <c r="A30" s="14">
        <v>23</v>
      </c>
      <c r="B30" s="14">
        <f>IFERROR(IF(SUMIFS(tblDaily[Admissions],tblDaily[EntryDate],DATE(2026,1,23),tblDaily[WardCode],"MAE")=0,"",SUMIFS(tblDaily[Admissions],tblDaily[EntryDate],DATE(2026,1,23),tblDaily[WardCode],"MAE")),"")</f>
        <v>4</v>
      </c>
      <c r="C30" s="14">
        <f>IFERROR(IF(SUMIFS(tblDaily[Discharges],tblDaily[EntryDate],DATE(2026,1,23),tblDaily[WardCode],"MAE")=0,"",SUMIFS(tblDaily[Discharges],tblDaily[EntryDate],DATE(2026,1,23),tblDaily[WardCode],"MAE")),"")</f>
        <v>1</v>
      </c>
      <c r="D30" s="14">
        <f>IFERROR(IF(SUMIFS(tblDaily[Deaths],tblDaily[EntryDate],DATE(2026,1,23),tblDaily[WardCode],"MAE")=0,"",SUMIFS(tblDaily[Deaths],tblDaily[EntryDate],DATE(2026,1,23),tblDaily[WardCode],"MAE")),"")</f>
        <v>1</v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>
        <f>IFERROR(IF(SUMIFS(tblDaily[TransfersOut],tblDaily[EntryDate],DATE(2026,1,23),tblDaily[WardCode],"MAE")=0,"",SUMIFS(tblDaily[TransfersOut],tblDaily[EntryDate],DATE(2026,1,23),tblDaily[WardCode],"MAE")),"")</f>
        <v>2</v>
      </c>
      <c r="H30" s="14">
        <f>IFERROR(IF(SUMIFS(tblDaily[Remaining],tblDaily[EntryDate],DATE(2026,1,23),tblDaily[WardCode],"MAE")=0,"",SUMIFS(tblDaily[Remaining],tblDaily[EntryDate],DATE(2026,1,23),tblDaily[WardCode],"MAE")),"")</f>
        <v>6</v>
      </c>
      <c r="I30" s="14">
        <f>IFERROR(IF(SUMIFS(tblDaily[Admissions],tblDaily[EntryDate],DATE(2026,1,23),tblDaily[WardCode],"FAE")=0,"",SUMIFS(tblDaily[Admissions],tblDaily[EntryDate],DATE(2026,1,23),tblDaily[WardCode],"FAE")),"")</f>
        <v>1</v>
      </c>
      <c r="J30" s="14">
        <f>IFERROR(IF(SUMIFS(tblDaily[Discharges],tblDaily[EntryDate],DATE(2026,1,23),tblDaily[WardCode],"FAE")=0,"",SUMIFS(tblDaily[Discharges],tblDaily[EntryDate],DATE(2026,1,23),tblDaily[WardCode],"FAE")),"")</f>
        <v>2</v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>
        <f>IFERROR(IF(SUMIFS(tblDaily[Remaining],tblDaily[EntryDate],DATE(2026,1,23),tblDaily[WardCode],"FAE")=0,"",SUMIFS(tblDaily[Remaining],tblDaily[EntryDate],DATE(2026,1,23),tblDaily[WardCode],"FAE")),"")</f>
        <v>2</v>
      </c>
      <c r="P30" s="15">
        <f t="shared" si="0"/>
        <v>8</v>
      </c>
    </row>
    <row r="31" spans="1:16" x14ac:dyDescent="0.25">
      <c r="A31" s="14">
        <v>24</v>
      </c>
      <c r="B31" s="14">
        <f>IFERROR(IF(SUMIFS(tblDaily[Admissions],tblDaily[EntryDate],DATE(2026,1,24),tblDaily[WardCode],"MAE")=0,"",SUMIFS(tblDaily[Admissions],tblDaily[EntryDate],DATE(2026,1,24),tblDaily[WardCode],"MAE")),"")</f>
        <v>3</v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>
        <f>IFERROR(IF(SUMIFS(tblDaily[Deaths],tblDaily[EntryDate],DATE(2026,1,24),tblDaily[WardCode],"MAE")=0,"",SUMIFS(tblDaily[Deaths],tblDaily[EntryDate],DATE(2026,1,24),tblDaily[WardCode],"MAE")),"")</f>
        <v>1</v>
      </c>
      <c r="E31" s="14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>
        <f>IFERROR(IF(SUMIFS(tblDaily[TransfersOut],tblDaily[EntryDate],DATE(2026,1,24),tblDaily[WardCode],"MAE")=0,"",SUMIFS(tblDaily[TransfersOut],tblDaily[EntryDate],DATE(2026,1,24),tblDaily[WardCode],"MAE")),"")</f>
        <v>2</v>
      </c>
      <c r="H31" s="14">
        <f>IFERROR(IF(SUMIFS(tblDaily[Remaining],tblDaily[EntryDate],DATE(2026,1,24),tblDaily[WardCode],"MAE")=0,"",SUMIFS(tblDaily[Remaining],tblDaily[EntryDate],DATE(2026,1,24),tblDaily[WardCode],"MAE")),"")</f>
        <v>5</v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>
        <f>IFERROR(IF(SUMIFS(tblDaily[Discharges],tblDaily[EntryDate],DATE(2026,1,24),tblDaily[WardCode],"FAE")=0,"",SUMIFS(tblDaily[Discharges],tblDaily[EntryDate],DATE(2026,1,24),tblDaily[WardCode],"FAE")),"")</f>
        <v>1</v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>
        <f>IFERROR(IF(SUMIFS(tblDaily[TransfersOut],tblDaily[EntryDate],DATE(2026,1,24),tblDaily[WardCode],"FAE")=0,"",SUMIFS(tblDaily[TransfersOut],tblDaily[EntryDate],DATE(2026,1,24),tblDaily[WardCode],"FAE")),"")</f>
        <v>1</v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>
        <f t="shared" si="0"/>
        <v>5</v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>
        <f>IFERROR(IF(SUMIFS(tblDaily[Discharges],tblDaily[EntryDate],DATE(2026,1,25),tblDaily[WardCode],"MAE")=0,"",SUMIFS(tblDaily[Discharges],tblDaily[EntryDate],DATE(2026,1,25),tblDaily[WardCode],"MAE")),"")</f>
        <v>1</v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>
        <f>IFERROR(IF(SUMIFS(tblDaily[TransfersOut],tblDaily[EntryDate],DATE(2026,1,25),tblDaily[WardCode],"MAE")=0,"",SUMIFS(tblDaily[TransfersOut],tblDaily[EntryDate],DATE(2026,1,25),tblDaily[WardCode],"MAE")),"")</f>
        <v>2</v>
      </c>
      <c r="H32" s="14">
        <f>IFERROR(IF(SUMIFS(tblDaily[Remaining],tblDaily[EntryDate],DATE(2026,1,25),tblDaily[WardCode],"MAE")=0,"",SUMIFS(tblDaily[Remaining],tblDaily[EntryDate],DATE(2026,1,25),tblDaily[WardCode],"MAE")),"")</f>
        <v>2</v>
      </c>
      <c r="I32" s="14">
        <f>IFERROR(IF(SUMIFS(tblDaily[Admissions],tblDaily[EntryDate],DATE(2026,1,25),tblDaily[WardCode],"FAE")=0,"",SUMIFS(tblDaily[Admissions],tblDaily[EntryDate],DATE(2026,1,25),tblDaily[WardCode],"FAE")),"")</f>
        <v>2</v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>
        <f>IFERROR(IF(SUMIFS(tblDaily[Remaining],tblDaily[EntryDate],DATE(2026,1,25),tblDaily[WardCode],"FAE")=0,"",SUMIFS(tblDaily[Remaining],tblDaily[EntryDate],DATE(2026,1,25),tblDaily[WardCode],"FAE")),"")</f>
        <v>2</v>
      </c>
      <c r="P32" s="15">
        <f t="shared" si="0"/>
        <v>4</v>
      </c>
    </row>
    <row r="33" spans="1:16" x14ac:dyDescent="0.25">
      <c r="A33" s="14">
        <v>26</v>
      </c>
      <c r="B33" s="14">
        <f>IFERROR(IF(SUMIFS(tblDaily[Admissions],tblDaily[EntryDate],DATE(2026,1,26),tblDaily[WardCode],"MAE")=0,"",SUMIFS(tblDaily[Admissions],tblDaily[EntryDate],DATE(2026,1,26),tblDaily[WardCode],"MAE")),"")</f>
        <v>5</v>
      </c>
      <c r="C33" s="14">
        <f>IFERROR(IF(SUMIFS(tblDaily[Discharges],tblDaily[EntryDate],DATE(2026,1,26),tblDaily[WardCode],"MAE")=0,"",SUMIFS(tblDaily[Discharges],tblDaily[EntryDate],DATE(2026,1,26),tblDaily[WardCode],"MAE")),"")</f>
        <v>1</v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>
        <f>IFERROR(IF(SUMIFS(tblDaily[TransfersOut],tblDaily[EntryDate],DATE(2026,1,26),tblDaily[WardCode],"MAE")=0,"",SUMIFS(tblDaily[TransfersOut],tblDaily[EntryDate],DATE(2026,1,26),tblDaily[WardCode],"MAE")),"")</f>
        <v>2</v>
      </c>
      <c r="H33" s="14">
        <f>IFERROR(IF(SUMIFS(tblDaily[Remaining],tblDaily[EntryDate],DATE(2026,1,26),tblDaily[WardCode],"MAE")=0,"",SUMIFS(tblDaily[Remaining],tblDaily[EntryDate],DATE(2026,1,26),tblDaily[WardCode],"MAE")),"")</f>
        <v>4</v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>
        <f>IFERROR(IF(SUMIFS(tblDaily[TransfersOut],tblDaily[EntryDate],DATE(2026,1,26),tblDaily[WardCode],"FAE")=0,"",SUMIFS(tblDaily[TransfersOut],tblDaily[EntryDate],DATE(2026,1,26),tblDaily[WardCode],"FAE")),"")</f>
        <v>1</v>
      </c>
      <c r="O33" s="14">
        <f>IFERROR(IF(SUMIFS(tblDaily[Remaining],tblDaily[EntryDate],DATE(2026,1,26),tblDaily[WardCode],"FAE")=0,"",SUMIFS(tblDaily[Remaining],tblDaily[EntryDate],DATE(2026,1,26),tblDaily[WardCode],"FAE")),"")</f>
        <v>1</v>
      </c>
      <c r="P33" s="15">
        <f t="shared" si="0"/>
        <v>5</v>
      </c>
    </row>
    <row r="34" spans="1:16" x14ac:dyDescent="0.25">
      <c r="A34" s="14">
        <v>27</v>
      </c>
      <c r="B34" s="14">
        <f>IFERROR(IF(SUMIFS(tblDaily[Admissions],tblDaily[EntryDate],DATE(2026,1,27),tblDaily[WardCode],"MAE")=0,"",SUMIFS(tblDaily[Admissions],tblDaily[EntryDate],DATE(2026,1,27),tblDaily[WardCode],"MAE")),"")</f>
        <v>5</v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>
        <f>IFERROR(IF(SUMIFS(tblDaily[TransfersOut],tblDaily[EntryDate],DATE(2026,1,27),tblDaily[WardCode],"MAE")=0,"",SUMIFS(tblDaily[TransfersOut],tblDaily[EntryDate],DATE(2026,1,27),tblDaily[WardCode],"MAE")),"")</f>
        <v>2</v>
      </c>
      <c r="H34" s="14">
        <f>IFERROR(IF(SUMIFS(tblDaily[Remaining],tblDaily[EntryDate],DATE(2026,1,27),tblDaily[WardCode],"MAE")=0,"",SUMIFS(tblDaily[Remaining],tblDaily[EntryDate],DATE(2026,1,27),tblDaily[WardCode],"MAE")),"")</f>
        <v>6</v>
      </c>
      <c r="I34" s="14">
        <f>IFERROR(IF(SUMIFS(tblDaily[Admissions],tblDaily[EntryDate],DATE(2026,1,27),tblDaily[WardCode],"FAE")=0,"",SUMIFS(tblDaily[Admissions],tblDaily[EntryDate],DATE(2026,1,27),tblDaily[WardCode],"FAE")),"")</f>
        <v>1</v>
      </c>
      <c r="J34" s="14">
        <f>IFERROR(IF(SUMIFS(tblDaily[Discharges],tblDaily[EntryDate],DATE(2026,1,27),tblDaily[WardCode],"FAE")=0,"",SUMIFS(tblDaily[Discharges],tblDaily[EntryDate],DATE(2026,1,27),tblDaily[WardCode],"FAE")),"")</f>
        <v>1</v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>
        <f>IFERROR(IF(SUMIFS(tblDaily[TransfersOut],tblDaily[EntryDate],DATE(2026,1,27),tblDaily[WardCode],"FAE")=0,"",SUMIFS(tblDaily[TransfersOut],tblDaily[EntryDate],DATE(2026,1,27),tblDaily[WardCode],"FAE")),"")</f>
        <v>1</v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>
        <f t="shared" si="0"/>
        <v>6</v>
      </c>
    </row>
    <row r="35" spans="1:16" x14ac:dyDescent="0.25">
      <c r="A35" s="14">
        <v>28</v>
      </c>
      <c r="B35" s="14">
        <f>IFERROR(IF(SUMIFS(tblDaily[Admissions],tblDaily[EntryDate],DATE(2026,1,28),tblDaily[WardCode],"MAE")=0,"",SUMIFS(tblDaily[Admissions],tblDaily[EntryDate],DATE(2026,1,28),tblDaily[WardCode],"MAE")),"")</f>
        <v>2</v>
      </c>
      <c r="C35" s="14">
        <f>IFERROR(IF(SUMIFS(tblDaily[Discharges],tblDaily[EntryDate],DATE(2026,1,28),tblDaily[WardCode],"MAE")=0,"",SUMIFS(tblDaily[Discharges],tblDaily[EntryDate],DATE(2026,1,28),tblDaily[WardCode],"MAE")),"")</f>
        <v>3</v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>
        <f>IFERROR(IF(SUMIFS(tblDaily[TransfersOut],tblDaily[EntryDate],DATE(2026,1,28),tblDaily[WardCode],"MAE")=0,"",SUMIFS(tblDaily[TransfersOut],tblDaily[EntryDate],DATE(2026,1,28),tblDaily[WardCode],"MAE")),"")</f>
        <v>2</v>
      </c>
      <c r="H35" s="14">
        <f>IFERROR(IF(SUMIFS(tblDaily[Remaining],tblDaily[EntryDate],DATE(2026,1,28),tblDaily[WardCode],"MAE")=0,"",SUMIFS(tblDaily[Remaining],tblDaily[EntryDate],DATE(2026,1,28),tblDaily[WardCode],"MAE")),"")</f>
        <v>3</v>
      </c>
      <c r="I35" s="14">
        <f>IFERROR(IF(SUMIFS(tblDaily[Admissions],tblDaily[EntryDate],DATE(2026,1,28),tblDaily[WardCode],"FAE")=0,"",SUMIFS(tblDaily[Admissions],tblDaily[EntryDate],DATE(2026,1,28),tblDaily[WardCode],"FAE")),"")</f>
        <v>4</v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>
        <f>IFERROR(IF(SUMIFS(tblDaily[TransfersOut],tblDaily[EntryDate],DATE(2026,1,28),tblDaily[WardCode],"FAE")=0,"",SUMIFS(tblDaily[TransfersOut],tblDaily[EntryDate],DATE(2026,1,28),tblDaily[WardCode],"FAE")),"")</f>
        <v>1</v>
      </c>
      <c r="O35" s="14">
        <f>IFERROR(IF(SUMIFS(tblDaily[Remaining],tblDaily[EntryDate],DATE(2026,1,28),tblDaily[WardCode],"FAE")=0,"",SUMIFS(tblDaily[Remaining],tblDaily[EntryDate],DATE(2026,1,28),tblDaily[WardCode],"FAE")),"")</f>
        <v>3</v>
      </c>
      <c r="P35" s="15">
        <f t="shared" si="0"/>
        <v>6</v>
      </c>
    </row>
    <row r="36" spans="1:16" x14ac:dyDescent="0.25">
      <c r="A36" s="14">
        <v>29</v>
      </c>
      <c r="B36" s="14">
        <f>IFERROR(IF(SUMIFS(tblDaily[Admissions],tblDaily[EntryDate],DATE(2026,1,29),tblDaily[WardCode],"MAE")=0,"",SUMIFS(tblDaily[Admissions],tblDaily[EntryDate],DATE(2026,1,29),tblDaily[WardCode],"MAE")),"")</f>
        <v>1</v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>
        <f>IFERROR(IF(SUMIFS(tblDaily[Remaining],tblDaily[EntryDate],DATE(2026,1,29),tblDaily[WardCode],"MAE")=0,"",SUMIFS(tblDaily[Remaining],tblDaily[EntryDate],DATE(2026,1,29),tblDaily[WardCode],"MAE")),"")</f>
        <v>4</v>
      </c>
      <c r="I36" s="14">
        <f>IFERROR(IF(SUMIFS(tblDaily[Admissions],tblDaily[EntryDate],DATE(2026,1,29),tblDaily[WardCode],"FAE")=0,"",SUMIFS(tblDaily[Admissions],tblDaily[EntryDate],DATE(2026,1,29),tblDaily[WardCode],"FAE")),"")</f>
        <v>2</v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>
        <f>IFERROR(IF(SUMIFS(tblDaily[TransfersOut],tblDaily[EntryDate],DATE(2026,1,29),tblDaily[WardCode],"FAE")=0,"",SUMIFS(tblDaily[TransfersOut],tblDaily[EntryDate],DATE(2026,1,29),tblDaily[WardCode],"FAE")),"")</f>
        <v>2</v>
      </c>
      <c r="O36" s="14">
        <f>IFERROR(IF(SUMIFS(tblDaily[Remaining],tblDaily[EntryDate],DATE(2026,1,29),tblDaily[WardCode],"FAE")=0,"",SUMIFS(tblDaily[Remaining],tblDaily[EntryDate],DATE(2026,1,29),tblDaily[WardCode],"FAE")),"")</f>
        <v>3</v>
      </c>
      <c r="P36" s="15">
        <f t="shared" si="0"/>
        <v>7</v>
      </c>
    </row>
    <row r="37" spans="1:16" x14ac:dyDescent="0.25">
      <c r="A37" s="14">
        <v>30</v>
      </c>
      <c r="B37" s="14">
        <f>IFERROR(IF(SUMIFS(tblDaily[Admissions],tblDaily[EntryDate],DATE(2026,1,30),tblDaily[WardCode],"MAE")=0,"",SUMIFS(tblDaily[Admissions],tblDaily[EntryDate],DATE(2026,1,30),tblDaily[WardCode],"MAE")),"")</f>
        <v>3</v>
      </c>
      <c r="C37" s="14">
        <f>IFERROR(IF(SUMIFS(tblDaily[Discharges],tblDaily[EntryDate],DATE(2026,1,30),tblDaily[WardCode],"MAE")=0,"",SUMIFS(tblDaily[Discharges],tblDaily[EntryDate],DATE(2026,1,30),tblDaily[WardCode],"MAE")),"")</f>
        <v>1</v>
      </c>
      <c r="D37" s="14">
        <f>IFERROR(IF(SUMIFS(tblDaily[Deaths],tblDaily[EntryDate],DATE(2026,1,30),tblDaily[WardCode],"MAE")=0,"",SUMIFS(tblDaily[Deaths],tblDaily[EntryDate],DATE(2026,1,30),tblDaily[WardCode],"MAE")),"")</f>
        <v>2</v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>
        <f>IFERROR(IF(SUMIFS(tblDaily[TransfersOut],tblDaily[EntryDate],DATE(2026,1,30),tblDaily[WardCode],"MAE")=0,"",SUMIFS(tblDaily[TransfersOut],tblDaily[EntryDate],DATE(2026,1,30),tblDaily[WardCode],"MAE")),"")</f>
        <v>1</v>
      </c>
      <c r="H37" s="14">
        <f>IFERROR(IF(SUMIFS(tblDaily[Remaining],tblDaily[EntryDate],DATE(2026,1,30),tblDaily[WardCode],"MAE")=0,"",SUMIFS(tblDaily[Remaining],tblDaily[EntryDate],DATE(2026,1,30),tblDaily[WardCode],"MAE")),"")</f>
        <v>3</v>
      </c>
      <c r="I37" s="14">
        <f>IFERROR(IF(SUMIFS(tblDaily[Admissions],tblDaily[EntryDate],DATE(2026,1,30),tblDaily[WardCode],"FAE")=0,"",SUMIFS(tblDaily[Admissions],tblDaily[EntryDate],DATE(2026,1,30),tblDaily[WardCode],"FAE")),"")</f>
        <v>5</v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>
        <f>IFERROR(IF(SUMIFS(tblDaily[TransfersOut],tblDaily[EntryDate],DATE(2026,1,30),tblDaily[WardCode],"FAE")=0,"",SUMIFS(tblDaily[TransfersOut],tblDaily[EntryDate],DATE(2026,1,30),tblDaily[WardCode],"FAE")),"")</f>
        <v>2</v>
      </c>
      <c r="O37" s="14">
        <f>IFERROR(IF(SUMIFS(tblDaily[Remaining],tblDaily[EntryDate],DATE(2026,1,30),tblDaily[WardCode],"FAE")=0,"",SUMIFS(tblDaily[Remaining],tblDaily[EntryDate],DATE(2026,1,30),tblDaily[WardCode],"FAE")),"")</f>
        <v>6</v>
      </c>
      <c r="P37" s="15">
        <f t="shared" si="0"/>
        <v>9</v>
      </c>
    </row>
    <row r="38" spans="1:16" x14ac:dyDescent="0.25">
      <c r="A38" s="14">
        <v>31</v>
      </c>
      <c r="B38" s="14">
        <f>IFERROR(IF(SUMIFS(tblDaily[Admissions],tblDaily[EntryDate],DATE(2026,1,31),tblDaily[WardCode],"MAE")=0,"",SUMIFS(tblDaily[Admissions],tblDaily[EntryDate],DATE(2026,1,31),tblDaily[WardCode],"MAE")),"")</f>
        <v>1</v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>
        <f>IFERROR(IF(SUMIFS(tblDaily[TransfersOut],tblDaily[EntryDate],DATE(2026,1,31),tblDaily[WardCode],"MAE")=0,"",SUMIFS(tblDaily[TransfersOut],tblDaily[EntryDate],DATE(2026,1,31),tblDaily[WardCode],"MAE")),"")</f>
        <v>3</v>
      </c>
      <c r="H38" s="14">
        <f>IFERROR(IF(SUMIFS(tblDaily[Remaining],tblDaily[EntryDate],DATE(2026,1,31),tblDaily[WardCode],"MAE")=0,"",SUMIFS(tblDaily[Remaining],tblDaily[EntryDate],DATE(2026,1,31),tblDaily[WardCode],"MAE")),"")</f>
        <v>1</v>
      </c>
      <c r="I38" s="14">
        <f>IFERROR(IF(SUMIFS(tblDaily[Admissions],tblDaily[EntryDate],DATE(2026,1,31),tblDaily[WardCode],"FAE")=0,"",SUMIFS(tblDaily[Admissions],tblDaily[EntryDate],DATE(2026,1,31),tblDaily[WardCode],"FAE")),"")</f>
        <v>1</v>
      </c>
      <c r="J38" s="14">
        <f>IFERROR(IF(SUMIFS(tblDaily[Discharges],tblDaily[EntryDate],DATE(2026,1,31),tblDaily[WardCode],"FAE")=0,"",SUMIFS(tblDaily[Discharges],tblDaily[EntryDate],DATE(2026,1,31),tblDaily[WardCode],"FAE")),"")</f>
        <v>1</v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>
        <f>IFERROR(IF(SUMIFS(tblDaily[TransfersOut],tblDaily[EntryDate],DATE(2026,1,31),tblDaily[WardCode],"FAE")=0,"",SUMIFS(tblDaily[TransfersOut],tblDaily[EntryDate],DATE(2026,1,31),tblDaily[WardCode],"FAE")),"")</f>
        <v>2</v>
      </c>
      <c r="O38" s="14">
        <f>IFERROR(IF(SUMIFS(tblDaily[Remaining],tblDaily[EntryDate],DATE(2026,1,31),tblDaily[WardCode],"FAE")=0,"",SUMIFS(tblDaily[Remaining],tblDaily[EntryDate],DATE(2026,1,31),tblDaily[WardCode],"FAE")),"")</f>
        <v>4</v>
      </c>
      <c r="P38" s="15">
        <f t="shared" si="0"/>
        <v>5</v>
      </c>
    </row>
    <row r="39" spans="1:16" x14ac:dyDescent="0.25">
      <c r="A39" s="9" t="s">
        <v>111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  <c r="P39" s="9">
        <f>H39 + O39</f>
        <v>203</v>
      </c>
    </row>
    <row r="41" spans="1:16" ht="18.75" x14ac:dyDescent="0.25">
      <c r="A41" s="39" t="s">
        <v>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6" ht="15.75" x14ac:dyDescent="0.25">
      <c r="A42" s="37" t="s">
        <v>100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6" x14ac:dyDescent="0.25">
      <c r="A43" s="1" t="s">
        <v>4</v>
      </c>
      <c r="B43" s="2" t="s">
        <v>2</v>
      </c>
      <c r="E43" s="1" t="s">
        <v>101</v>
      </c>
      <c r="F43" s="1" t="s">
        <v>120</v>
      </c>
      <c r="M43" s="1" t="s">
        <v>103</v>
      </c>
      <c r="N43" s="1" t="s">
        <v>60</v>
      </c>
    </row>
    <row r="44" spans="1:16" x14ac:dyDescent="0.25">
      <c r="A44" s="1" t="s">
        <v>104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6" x14ac:dyDescent="0.25">
      <c r="A45" s="1" t="s">
        <v>105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121</v>
      </c>
      <c r="B46" s="38" t="s">
        <v>118</v>
      </c>
      <c r="C46" s="29"/>
      <c r="D46" s="29"/>
      <c r="E46" s="29"/>
      <c r="F46" s="29"/>
      <c r="G46" s="29"/>
      <c r="H46" s="29"/>
      <c r="I46" s="40" t="s">
        <v>119</v>
      </c>
      <c r="J46" s="29"/>
      <c r="K46" s="29"/>
      <c r="L46" s="29"/>
      <c r="M46" s="29"/>
      <c r="N46" s="29"/>
      <c r="O46" s="29"/>
      <c r="P46" s="13" t="s">
        <v>111</v>
      </c>
    </row>
    <row r="47" spans="1:16" x14ac:dyDescent="0.25">
      <c r="A47" s="3" t="s">
        <v>121</v>
      </c>
      <c r="B47" s="3" t="s">
        <v>122</v>
      </c>
      <c r="C47" s="3" t="s">
        <v>123</v>
      </c>
      <c r="D47" s="3" t="s">
        <v>124</v>
      </c>
      <c r="E47" s="3" t="s">
        <v>125</v>
      </c>
      <c r="F47" s="3" t="s">
        <v>126</v>
      </c>
      <c r="G47" s="3" t="s">
        <v>127</v>
      </c>
      <c r="H47" s="3" t="s">
        <v>128</v>
      </c>
      <c r="I47" s="3" t="s">
        <v>122</v>
      </c>
      <c r="J47" s="3" t="s">
        <v>123</v>
      </c>
      <c r="K47" s="3" t="s">
        <v>124</v>
      </c>
      <c r="L47" s="3" t="s">
        <v>125</v>
      </c>
      <c r="M47" s="3" t="s">
        <v>126</v>
      </c>
      <c r="N47" s="3" t="s">
        <v>127</v>
      </c>
      <c r="O47" s="3" t="s">
        <v>128</v>
      </c>
      <c r="P47" s="3" t="s">
        <v>129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>
        <f>IFERROR(IF(SUMIFS(tblDaily[Admissions],tblDaily[EntryDate],DATE(2026,2,3),tblDaily[WardCode],"MAE")=0,"",SUMIFS(tblDaily[Admissions],tblDaily[EntryDate],DATE(2026,2,3),tblDaily[WardCode],"MAE")),"")</f>
        <v>3</v>
      </c>
      <c r="C50" s="14">
        <f>IFERROR(IF(SUMIFS(tblDaily[Discharges],tblDaily[EntryDate],DATE(2026,2,3),tblDaily[WardCode],"MAE")=0,"",SUMIFS(tblDaily[Discharges],tblDaily[EntryDate],DATE(2026,2,3),tblDaily[WardCode],"MAE")),"")</f>
        <v>3</v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>
        <f>IFERROR(IF(SUMIFS(tblDaily[TransfersIn],tblDaily[EntryDate],DATE(2026,2,3),tblDaily[WardCode],"MAE")=0,"",SUMIFS(tblDaily[TransfersIn],tblDaily[EntryDate],DATE(2026,2,3),tblDaily[WardCode],"MAE")),"")</f>
        <v>2</v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>
        <f>IFERROR(IF(SUMIFS(tblDaily[Remaining],tblDaily[EntryDate],DATE(2026,2,3),tblDaily[WardCode],"MAE")=0,"",SUMIFS(tblDaily[Remaining],tblDaily[EntryDate],DATE(2026,2,3),tblDaily[WardCode],"MAE")),"")</f>
        <v>3</v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>
        <f t="shared" si="1"/>
        <v>3</v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111</v>
      </c>
      <c r="B79" s="9">
        <f>SUMIFS(tblDaily[Admissions],tblDaily[Month],2,tblDaily[WardCode],"MAE") - SUMIFS(tblDaily[DeathsUnder24Hrs],tblDaily[Month],2,tblDaily[WardCode],"MAE")</f>
        <v>3</v>
      </c>
      <c r="C79" s="9">
        <f>SUMIFS(tblDaily[Discharges],tblDaily[Month],2,tblDaily[WardCode],"MAE")</f>
        <v>3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2</v>
      </c>
      <c r="G79" s="9">
        <f>SUMIFS(tblDaily[TransfersOut],tblDaily[Month],2,tblDaily[WardCode],"MAE")</f>
        <v>0</v>
      </c>
      <c r="H79" s="9">
        <f>SUMIFS(tblDaily[Remaining],tblDaily[Month],2,tblDaily[WardCode],"MAE")</f>
        <v>3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3</v>
      </c>
    </row>
    <row r="81" spans="1:16" ht="18.75" x14ac:dyDescent="0.25">
      <c r="A81" s="39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6" ht="15.75" x14ac:dyDescent="0.25">
      <c r="A82" s="37" t="s">
        <v>100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6" x14ac:dyDescent="0.25">
      <c r="A83" s="1" t="s">
        <v>4</v>
      </c>
      <c r="B83" s="2" t="s">
        <v>2</v>
      </c>
      <c r="E83" s="1" t="s">
        <v>101</v>
      </c>
      <c r="F83" s="1" t="s">
        <v>120</v>
      </c>
      <c r="M83" s="1" t="s">
        <v>103</v>
      </c>
      <c r="N83" s="1" t="s">
        <v>61</v>
      </c>
    </row>
    <row r="84" spans="1:16" x14ac:dyDescent="0.25">
      <c r="A84" s="1" t="s">
        <v>104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105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121</v>
      </c>
      <c r="B86" s="38" t="s">
        <v>118</v>
      </c>
      <c r="C86" s="29"/>
      <c r="D86" s="29"/>
      <c r="E86" s="29"/>
      <c r="F86" s="29"/>
      <c r="G86" s="29"/>
      <c r="H86" s="29"/>
      <c r="I86" s="40" t="s">
        <v>119</v>
      </c>
      <c r="J86" s="29"/>
      <c r="K86" s="29"/>
      <c r="L86" s="29"/>
      <c r="M86" s="29"/>
      <c r="N86" s="29"/>
      <c r="O86" s="29"/>
      <c r="P86" s="13" t="s">
        <v>111</v>
      </c>
    </row>
    <row r="87" spans="1:16" x14ac:dyDescent="0.25">
      <c r="A87" s="3" t="s">
        <v>121</v>
      </c>
      <c r="B87" s="3" t="s">
        <v>122</v>
      </c>
      <c r="C87" s="3" t="s">
        <v>123</v>
      </c>
      <c r="D87" s="3" t="s">
        <v>124</v>
      </c>
      <c r="E87" s="3" t="s">
        <v>125</v>
      </c>
      <c r="F87" s="3" t="s">
        <v>126</v>
      </c>
      <c r="G87" s="3" t="s">
        <v>127</v>
      </c>
      <c r="H87" s="3" t="s">
        <v>128</v>
      </c>
      <c r="I87" s="3" t="s">
        <v>122</v>
      </c>
      <c r="J87" s="3" t="s">
        <v>123</v>
      </c>
      <c r="K87" s="3" t="s">
        <v>124</v>
      </c>
      <c r="L87" s="3" t="s">
        <v>125</v>
      </c>
      <c r="M87" s="3" t="s">
        <v>126</v>
      </c>
      <c r="N87" s="3" t="s">
        <v>127</v>
      </c>
      <c r="O87" s="3" t="s">
        <v>128</v>
      </c>
      <c r="P87" s="3" t="s">
        <v>129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111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9" t="s">
        <v>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6" ht="15.75" x14ac:dyDescent="0.25">
      <c r="A122" s="37" t="s">
        <v>100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6" x14ac:dyDescent="0.25">
      <c r="A123" s="1" t="s">
        <v>4</v>
      </c>
      <c r="B123" s="2" t="s">
        <v>2</v>
      </c>
      <c r="E123" s="1" t="s">
        <v>101</v>
      </c>
      <c r="F123" s="1" t="s">
        <v>120</v>
      </c>
      <c r="M123" s="1" t="s">
        <v>103</v>
      </c>
      <c r="N123" s="1" t="s">
        <v>62</v>
      </c>
    </row>
    <row r="124" spans="1:16" x14ac:dyDescent="0.25">
      <c r="A124" s="1" t="s">
        <v>104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105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121</v>
      </c>
      <c r="B126" s="38" t="s">
        <v>118</v>
      </c>
      <c r="C126" s="29"/>
      <c r="D126" s="29"/>
      <c r="E126" s="29"/>
      <c r="F126" s="29"/>
      <c r="G126" s="29"/>
      <c r="H126" s="29"/>
      <c r="I126" s="40" t="s">
        <v>119</v>
      </c>
      <c r="J126" s="29"/>
      <c r="K126" s="29"/>
      <c r="L126" s="29"/>
      <c r="M126" s="29"/>
      <c r="N126" s="29"/>
      <c r="O126" s="29"/>
      <c r="P126" s="13" t="s">
        <v>111</v>
      </c>
    </row>
    <row r="127" spans="1:16" x14ac:dyDescent="0.25">
      <c r="A127" s="3" t="s">
        <v>121</v>
      </c>
      <c r="B127" s="3" t="s">
        <v>122</v>
      </c>
      <c r="C127" s="3" t="s">
        <v>123</v>
      </c>
      <c r="D127" s="3" t="s">
        <v>124</v>
      </c>
      <c r="E127" s="3" t="s">
        <v>125</v>
      </c>
      <c r="F127" s="3" t="s">
        <v>126</v>
      </c>
      <c r="G127" s="3" t="s">
        <v>127</v>
      </c>
      <c r="H127" s="3" t="s">
        <v>128</v>
      </c>
      <c r="I127" s="3" t="s">
        <v>122</v>
      </c>
      <c r="J127" s="3" t="s">
        <v>123</v>
      </c>
      <c r="K127" s="3" t="s">
        <v>124</v>
      </c>
      <c r="L127" s="3" t="s">
        <v>125</v>
      </c>
      <c r="M127" s="3" t="s">
        <v>126</v>
      </c>
      <c r="N127" s="3" t="s">
        <v>127</v>
      </c>
      <c r="O127" s="3" t="s">
        <v>128</v>
      </c>
      <c r="P127" s="3" t="s">
        <v>129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111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9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6" ht="15.75" x14ac:dyDescent="0.25">
      <c r="A162" s="37" t="s">
        <v>100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</row>
    <row r="163" spans="1:16" x14ac:dyDescent="0.25">
      <c r="A163" s="1" t="s">
        <v>4</v>
      </c>
      <c r="B163" s="2" t="s">
        <v>2</v>
      </c>
      <c r="E163" s="1" t="s">
        <v>101</v>
      </c>
      <c r="F163" s="1" t="s">
        <v>120</v>
      </c>
      <c r="M163" s="1" t="s">
        <v>103</v>
      </c>
      <c r="N163" s="1" t="s">
        <v>63</v>
      </c>
    </row>
    <row r="164" spans="1:16" x14ac:dyDescent="0.25">
      <c r="A164" s="1" t="s">
        <v>104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105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121</v>
      </c>
      <c r="B166" s="38" t="s">
        <v>118</v>
      </c>
      <c r="C166" s="29"/>
      <c r="D166" s="29"/>
      <c r="E166" s="29"/>
      <c r="F166" s="29"/>
      <c r="G166" s="29"/>
      <c r="H166" s="29"/>
      <c r="I166" s="40" t="s">
        <v>119</v>
      </c>
      <c r="J166" s="29"/>
      <c r="K166" s="29"/>
      <c r="L166" s="29"/>
      <c r="M166" s="29"/>
      <c r="N166" s="29"/>
      <c r="O166" s="29"/>
      <c r="P166" s="13" t="s">
        <v>111</v>
      </c>
    </row>
    <row r="167" spans="1:16" x14ac:dyDescent="0.25">
      <c r="A167" s="3" t="s">
        <v>121</v>
      </c>
      <c r="B167" s="3" t="s">
        <v>122</v>
      </c>
      <c r="C167" s="3" t="s">
        <v>123</v>
      </c>
      <c r="D167" s="3" t="s">
        <v>124</v>
      </c>
      <c r="E167" s="3" t="s">
        <v>125</v>
      </c>
      <c r="F167" s="3" t="s">
        <v>126</v>
      </c>
      <c r="G167" s="3" t="s">
        <v>127</v>
      </c>
      <c r="H167" s="3" t="s">
        <v>128</v>
      </c>
      <c r="I167" s="3" t="s">
        <v>122</v>
      </c>
      <c r="J167" s="3" t="s">
        <v>123</v>
      </c>
      <c r="K167" s="3" t="s">
        <v>124</v>
      </c>
      <c r="L167" s="3" t="s">
        <v>125</v>
      </c>
      <c r="M167" s="3" t="s">
        <v>126</v>
      </c>
      <c r="N167" s="3" t="s">
        <v>127</v>
      </c>
      <c r="O167" s="3" t="s">
        <v>128</v>
      </c>
      <c r="P167" s="3" t="s">
        <v>129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111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9" t="s">
        <v>0</v>
      </c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6" ht="15.75" x14ac:dyDescent="0.25">
      <c r="A202" s="37" t="s">
        <v>100</v>
      </c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</row>
    <row r="203" spans="1:16" x14ac:dyDescent="0.25">
      <c r="A203" s="1" t="s">
        <v>4</v>
      </c>
      <c r="B203" s="2" t="s">
        <v>2</v>
      </c>
      <c r="E203" s="1" t="s">
        <v>101</v>
      </c>
      <c r="F203" s="1" t="s">
        <v>120</v>
      </c>
      <c r="M203" s="1" t="s">
        <v>103</v>
      </c>
      <c r="N203" s="1" t="s">
        <v>64</v>
      </c>
    </row>
    <row r="204" spans="1:16" x14ac:dyDescent="0.25">
      <c r="A204" s="1" t="s">
        <v>104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105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121</v>
      </c>
      <c r="B206" s="38" t="s">
        <v>118</v>
      </c>
      <c r="C206" s="29"/>
      <c r="D206" s="29"/>
      <c r="E206" s="29"/>
      <c r="F206" s="29"/>
      <c r="G206" s="29"/>
      <c r="H206" s="29"/>
      <c r="I206" s="40" t="s">
        <v>119</v>
      </c>
      <c r="J206" s="29"/>
      <c r="K206" s="29"/>
      <c r="L206" s="29"/>
      <c r="M206" s="29"/>
      <c r="N206" s="29"/>
      <c r="O206" s="29"/>
      <c r="P206" s="13" t="s">
        <v>111</v>
      </c>
    </row>
    <row r="207" spans="1:16" x14ac:dyDescent="0.25">
      <c r="A207" s="3" t="s">
        <v>121</v>
      </c>
      <c r="B207" s="3" t="s">
        <v>122</v>
      </c>
      <c r="C207" s="3" t="s">
        <v>123</v>
      </c>
      <c r="D207" s="3" t="s">
        <v>124</v>
      </c>
      <c r="E207" s="3" t="s">
        <v>125</v>
      </c>
      <c r="F207" s="3" t="s">
        <v>126</v>
      </c>
      <c r="G207" s="3" t="s">
        <v>127</v>
      </c>
      <c r="H207" s="3" t="s">
        <v>128</v>
      </c>
      <c r="I207" s="3" t="s">
        <v>122</v>
      </c>
      <c r="J207" s="3" t="s">
        <v>123</v>
      </c>
      <c r="K207" s="3" t="s">
        <v>124</v>
      </c>
      <c r="L207" s="3" t="s">
        <v>125</v>
      </c>
      <c r="M207" s="3" t="s">
        <v>126</v>
      </c>
      <c r="N207" s="3" t="s">
        <v>127</v>
      </c>
      <c r="O207" s="3" t="s">
        <v>128</v>
      </c>
      <c r="P207" s="3" t="s">
        <v>129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111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9" t="s">
        <v>0</v>
      </c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</row>
    <row r="242" spans="1:16" ht="15.75" x14ac:dyDescent="0.25">
      <c r="A242" s="37" t="s">
        <v>100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6" x14ac:dyDescent="0.25">
      <c r="A243" s="1" t="s">
        <v>4</v>
      </c>
      <c r="B243" s="2" t="s">
        <v>2</v>
      </c>
      <c r="E243" s="1" t="s">
        <v>101</v>
      </c>
      <c r="F243" s="1" t="s">
        <v>120</v>
      </c>
      <c r="M243" s="1" t="s">
        <v>103</v>
      </c>
      <c r="N243" s="1" t="s">
        <v>65</v>
      </c>
    </row>
    <row r="244" spans="1:16" x14ac:dyDescent="0.25">
      <c r="A244" s="1" t="s">
        <v>104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105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121</v>
      </c>
      <c r="B246" s="38" t="s">
        <v>118</v>
      </c>
      <c r="C246" s="29"/>
      <c r="D246" s="29"/>
      <c r="E246" s="29"/>
      <c r="F246" s="29"/>
      <c r="G246" s="29"/>
      <c r="H246" s="29"/>
      <c r="I246" s="40" t="s">
        <v>119</v>
      </c>
      <c r="J246" s="29"/>
      <c r="K246" s="29"/>
      <c r="L246" s="29"/>
      <c r="M246" s="29"/>
      <c r="N246" s="29"/>
      <c r="O246" s="29"/>
      <c r="P246" s="13" t="s">
        <v>111</v>
      </c>
    </row>
    <row r="247" spans="1:16" x14ac:dyDescent="0.25">
      <c r="A247" s="3" t="s">
        <v>121</v>
      </c>
      <c r="B247" s="3" t="s">
        <v>122</v>
      </c>
      <c r="C247" s="3" t="s">
        <v>123</v>
      </c>
      <c r="D247" s="3" t="s">
        <v>124</v>
      </c>
      <c r="E247" s="3" t="s">
        <v>125</v>
      </c>
      <c r="F247" s="3" t="s">
        <v>126</v>
      </c>
      <c r="G247" s="3" t="s">
        <v>127</v>
      </c>
      <c r="H247" s="3" t="s">
        <v>128</v>
      </c>
      <c r="I247" s="3" t="s">
        <v>122</v>
      </c>
      <c r="J247" s="3" t="s">
        <v>123</v>
      </c>
      <c r="K247" s="3" t="s">
        <v>124</v>
      </c>
      <c r="L247" s="3" t="s">
        <v>125</v>
      </c>
      <c r="M247" s="3" t="s">
        <v>126</v>
      </c>
      <c r="N247" s="3" t="s">
        <v>127</v>
      </c>
      <c r="O247" s="3" t="s">
        <v>128</v>
      </c>
      <c r="P247" s="3" t="s">
        <v>129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111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9" t="s">
        <v>0</v>
      </c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6" ht="15.75" x14ac:dyDescent="0.25">
      <c r="A282" s="37" t="s">
        <v>100</v>
      </c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6" x14ac:dyDescent="0.25">
      <c r="A283" s="1" t="s">
        <v>4</v>
      </c>
      <c r="B283" s="2" t="s">
        <v>2</v>
      </c>
      <c r="E283" s="1" t="s">
        <v>101</v>
      </c>
      <c r="F283" s="1" t="s">
        <v>120</v>
      </c>
      <c r="M283" s="1" t="s">
        <v>103</v>
      </c>
      <c r="N283" s="1" t="s">
        <v>66</v>
      </c>
    </row>
    <row r="284" spans="1:16" x14ac:dyDescent="0.25">
      <c r="A284" s="1" t="s">
        <v>104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105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121</v>
      </c>
      <c r="B286" s="38" t="s">
        <v>118</v>
      </c>
      <c r="C286" s="29"/>
      <c r="D286" s="29"/>
      <c r="E286" s="29"/>
      <c r="F286" s="29"/>
      <c r="G286" s="29"/>
      <c r="H286" s="29"/>
      <c r="I286" s="40" t="s">
        <v>119</v>
      </c>
      <c r="J286" s="29"/>
      <c r="K286" s="29"/>
      <c r="L286" s="29"/>
      <c r="M286" s="29"/>
      <c r="N286" s="29"/>
      <c r="O286" s="29"/>
      <c r="P286" s="13" t="s">
        <v>111</v>
      </c>
    </row>
    <row r="287" spans="1:16" x14ac:dyDescent="0.25">
      <c r="A287" s="3" t="s">
        <v>121</v>
      </c>
      <c r="B287" s="3" t="s">
        <v>122</v>
      </c>
      <c r="C287" s="3" t="s">
        <v>123</v>
      </c>
      <c r="D287" s="3" t="s">
        <v>124</v>
      </c>
      <c r="E287" s="3" t="s">
        <v>125</v>
      </c>
      <c r="F287" s="3" t="s">
        <v>126</v>
      </c>
      <c r="G287" s="3" t="s">
        <v>127</v>
      </c>
      <c r="H287" s="3" t="s">
        <v>128</v>
      </c>
      <c r="I287" s="3" t="s">
        <v>122</v>
      </c>
      <c r="J287" s="3" t="s">
        <v>123</v>
      </c>
      <c r="K287" s="3" t="s">
        <v>124</v>
      </c>
      <c r="L287" s="3" t="s">
        <v>125</v>
      </c>
      <c r="M287" s="3" t="s">
        <v>126</v>
      </c>
      <c r="N287" s="3" t="s">
        <v>127</v>
      </c>
      <c r="O287" s="3" t="s">
        <v>128</v>
      </c>
      <c r="P287" s="3" t="s">
        <v>129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111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9" t="s">
        <v>0</v>
      </c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6" ht="15.75" x14ac:dyDescent="0.25">
      <c r="A322" s="37" t="s">
        <v>100</v>
      </c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6" x14ac:dyDescent="0.25">
      <c r="A323" s="1" t="s">
        <v>4</v>
      </c>
      <c r="B323" s="2" t="s">
        <v>2</v>
      </c>
      <c r="E323" s="1" t="s">
        <v>101</v>
      </c>
      <c r="F323" s="1" t="s">
        <v>120</v>
      </c>
      <c r="M323" s="1" t="s">
        <v>103</v>
      </c>
      <c r="N323" s="1" t="s">
        <v>67</v>
      </c>
    </row>
    <row r="324" spans="1:16" x14ac:dyDescent="0.25">
      <c r="A324" s="1" t="s">
        <v>104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105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121</v>
      </c>
      <c r="B326" s="38" t="s">
        <v>118</v>
      </c>
      <c r="C326" s="29"/>
      <c r="D326" s="29"/>
      <c r="E326" s="29"/>
      <c r="F326" s="29"/>
      <c r="G326" s="29"/>
      <c r="H326" s="29"/>
      <c r="I326" s="40" t="s">
        <v>119</v>
      </c>
      <c r="J326" s="29"/>
      <c r="K326" s="29"/>
      <c r="L326" s="29"/>
      <c r="M326" s="29"/>
      <c r="N326" s="29"/>
      <c r="O326" s="29"/>
      <c r="P326" s="13" t="s">
        <v>111</v>
      </c>
    </row>
    <row r="327" spans="1:16" x14ac:dyDescent="0.25">
      <c r="A327" s="3" t="s">
        <v>121</v>
      </c>
      <c r="B327" s="3" t="s">
        <v>122</v>
      </c>
      <c r="C327" s="3" t="s">
        <v>123</v>
      </c>
      <c r="D327" s="3" t="s">
        <v>124</v>
      </c>
      <c r="E327" s="3" t="s">
        <v>125</v>
      </c>
      <c r="F327" s="3" t="s">
        <v>126</v>
      </c>
      <c r="G327" s="3" t="s">
        <v>127</v>
      </c>
      <c r="H327" s="3" t="s">
        <v>128</v>
      </c>
      <c r="I327" s="3" t="s">
        <v>122</v>
      </c>
      <c r="J327" s="3" t="s">
        <v>123</v>
      </c>
      <c r="K327" s="3" t="s">
        <v>124</v>
      </c>
      <c r="L327" s="3" t="s">
        <v>125</v>
      </c>
      <c r="M327" s="3" t="s">
        <v>126</v>
      </c>
      <c r="N327" s="3" t="s">
        <v>127</v>
      </c>
      <c r="O327" s="3" t="s">
        <v>128</v>
      </c>
      <c r="P327" s="3" t="s">
        <v>129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111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9" t="s">
        <v>0</v>
      </c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</row>
    <row r="362" spans="1:16" ht="15.75" x14ac:dyDescent="0.25">
      <c r="A362" s="37" t="s">
        <v>100</v>
      </c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6" x14ac:dyDescent="0.25">
      <c r="A363" s="1" t="s">
        <v>4</v>
      </c>
      <c r="B363" s="2" t="s">
        <v>2</v>
      </c>
      <c r="E363" s="1" t="s">
        <v>101</v>
      </c>
      <c r="F363" s="1" t="s">
        <v>120</v>
      </c>
      <c r="M363" s="1" t="s">
        <v>103</v>
      </c>
      <c r="N363" s="1" t="s">
        <v>68</v>
      </c>
    </row>
    <row r="364" spans="1:16" x14ac:dyDescent="0.25">
      <c r="A364" s="1" t="s">
        <v>104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105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121</v>
      </c>
      <c r="B366" s="38" t="s">
        <v>118</v>
      </c>
      <c r="C366" s="29"/>
      <c r="D366" s="29"/>
      <c r="E366" s="29"/>
      <c r="F366" s="29"/>
      <c r="G366" s="29"/>
      <c r="H366" s="29"/>
      <c r="I366" s="40" t="s">
        <v>119</v>
      </c>
      <c r="J366" s="29"/>
      <c r="K366" s="29"/>
      <c r="L366" s="29"/>
      <c r="M366" s="29"/>
      <c r="N366" s="29"/>
      <c r="O366" s="29"/>
      <c r="P366" s="13" t="s">
        <v>111</v>
      </c>
    </row>
    <row r="367" spans="1:16" x14ac:dyDescent="0.25">
      <c r="A367" s="3" t="s">
        <v>121</v>
      </c>
      <c r="B367" s="3" t="s">
        <v>122</v>
      </c>
      <c r="C367" s="3" t="s">
        <v>123</v>
      </c>
      <c r="D367" s="3" t="s">
        <v>124</v>
      </c>
      <c r="E367" s="3" t="s">
        <v>125</v>
      </c>
      <c r="F367" s="3" t="s">
        <v>126</v>
      </c>
      <c r="G367" s="3" t="s">
        <v>127</v>
      </c>
      <c r="H367" s="3" t="s">
        <v>128</v>
      </c>
      <c r="I367" s="3" t="s">
        <v>122</v>
      </c>
      <c r="J367" s="3" t="s">
        <v>123</v>
      </c>
      <c r="K367" s="3" t="s">
        <v>124</v>
      </c>
      <c r="L367" s="3" t="s">
        <v>125</v>
      </c>
      <c r="M367" s="3" t="s">
        <v>126</v>
      </c>
      <c r="N367" s="3" t="s">
        <v>127</v>
      </c>
      <c r="O367" s="3" t="s">
        <v>128</v>
      </c>
      <c r="P367" s="3" t="s">
        <v>129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111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9" t="s">
        <v>0</v>
      </c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6" ht="15.75" x14ac:dyDescent="0.25">
      <c r="A402" s="37" t="s">
        <v>100</v>
      </c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6" x14ac:dyDescent="0.25">
      <c r="A403" s="1" t="s">
        <v>4</v>
      </c>
      <c r="B403" s="2" t="s">
        <v>2</v>
      </c>
      <c r="E403" s="1" t="s">
        <v>101</v>
      </c>
      <c r="F403" s="1" t="s">
        <v>120</v>
      </c>
      <c r="M403" s="1" t="s">
        <v>103</v>
      </c>
      <c r="N403" s="1" t="s">
        <v>69</v>
      </c>
    </row>
    <row r="404" spans="1:16" x14ac:dyDescent="0.25">
      <c r="A404" s="1" t="s">
        <v>104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105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121</v>
      </c>
      <c r="B406" s="38" t="s">
        <v>118</v>
      </c>
      <c r="C406" s="29"/>
      <c r="D406" s="29"/>
      <c r="E406" s="29"/>
      <c r="F406" s="29"/>
      <c r="G406" s="29"/>
      <c r="H406" s="29"/>
      <c r="I406" s="40" t="s">
        <v>119</v>
      </c>
      <c r="J406" s="29"/>
      <c r="K406" s="29"/>
      <c r="L406" s="29"/>
      <c r="M406" s="29"/>
      <c r="N406" s="29"/>
      <c r="O406" s="29"/>
      <c r="P406" s="13" t="s">
        <v>111</v>
      </c>
    </row>
    <row r="407" spans="1:16" x14ac:dyDescent="0.25">
      <c r="A407" s="3" t="s">
        <v>121</v>
      </c>
      <c r="B407" s="3" t="s">
        <v>122</v>
      </c>
      <c r="C407" s="3" t="s">
        <v>123</v>
      </c>
      <c r="D407" s="3" t="s">
        <v>124</v>
      </c>
      <c r="E407" s="3" t="s">
        <v>125</v>
      </c>
      <c r="F407" s="3" t="s">
        <v>126</v>
      </c>
      <c r="G407" s="3" t="s">
        <v>127</v>
      </c>
      <c r="H407" s="3" t="s">
        <v>128</v>
      </c>
      <c r="I407" s="3" t="s">
        <v>122</v>
      </c>
      <c r="J407" s="3" t="s">
        <v>123</v>
      </c>
      <c r="K407" s="3" t="s">
        <v>124</v>
      </c>
      <c r="L407" s="3" t="s">
        <v>125</v>
      </c>
      <c r="M407" s="3" t="s">
        <v>126</v>
      </c>
      <c r="N407" s="3" t="s">
        <v>127</v>
      </c>
      <c r="O407" s="3" t="s">
        <v>128</v>
      </c>
      <c r="P407" s="3" t="s">
        <v>129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111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9" t="s">
        <v>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6" ht="15.75" x14ac:dyDescent="0.25">
      <c r="A442" s="37" t="s">
        <v>100</v>
      </c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</row>
    <row r="443" spans="1:16" x14ac:dyDescent="0.25">
      <c r="A443" s="1" t="s">
        <v>4</v>
      </c>
      <c r="B443" s="2" t="s">
        <v>2</v>
      </c>
      <c r="E443" s="1" t="s">
        <v>101</v>
      </c>
      <c r="F443" s="1" t="s">
        <v>120</v>
      </c>
      <c r="M443" s="1" t="s">
        <v>103</v>
      </c>
      <c r="N443" s="1" t="s">
        <v>70</v>
      </c>
    </row>
    <row r="444" spans="1:16" x14ac:dyDescent="0.25">
      <c r="A444" s="1" t="s">
        <v>104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105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121</v>
      </c>
      <c r="B446" s="38" t="s">
        <v>118</v>
      </c>
      <c r="C446" s="29"/>
      <c r="D446" s="29"/>
      <c r="E446" s="29"/>
      <c r="F446" s="29"/>
      <c r="G446" s="29"/>
      <c r="H446" s="29"/>
      <c r="I446" s="40" t="s">
        <v>119</v>
      </c>
      <c r="J446" s="29"/>
      <c r="K446" s="29"/>
      <c r="L446" s="29"/>
      <c r="M446" s="29"/>
      <c r="N446" s="29"/>
      <c r="O446" s="29"/>
      <c r="P446" s="13" t="s">
        <v>111</v>
      </c>
    </row>
    <row r="447" spans="1:16" x14ac:dyDescent="0.25">
      <c r="A447" s="3" t="s">
        <v>121</v>
      </c>
      <c r="B447" s="3" t="s">
        <v>122</v>
      </c>
      <c r="C447" s="3" t="s">
        <v>123</v>
      </c>
      <c r="D447" s="3" t="s">
        <v>124</v>
      </c>
      <c r="E447" s="3" t="s">
        <v>125</v>
      </c>
      <c r="F447" s="3" t="s">
        <v>126</v>
      </c>
      <c r="G447" s="3" t="s">
        <v>127</v>
      </c>
      <c r="H447" s="3" t="s">
        <v>128</v>
      </c>
      <c r="I447" s="3" t="s">
        <v>122</v>
      </c>
      <c r="J447" s="3" t="s">
        <v>123</v>
      </c>
      <c r="K447" s="3" t="s">
        <v>124</v>
      </c>
      <c r="L447" s="3" t="s">
        <v>125</v>
      </c>
      <c r="M447" s="3" t="s">
        <v>126</v>
      </c>
      <c r="N447" s="3" t="s">
        <v>127</v>
      </c>
      <c r="O447" s="3" t="s">
        <v>128</v>
      </c>
      <c r="P447" s="3" t="s">
        <v>129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111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3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15.75" x14ac:dyDescent="0.25">
      <c r="A2" s="37" t="s">
        <v>130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ht="38.25" x14ac:dyDescent="0.25">
      <c r="A3" s="8" t="s">
        <v>131</v>
      </c>
      <c r="B3" s="8" t="s">
        <v>132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15" t="s">
        <v>30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6">
        <f t="shared" ref="K4:K12" si="0">IFERROR(H4/31,0)</f>
        <v>21.06451612903226</v>
      </c>
      <c r="L4" s="16">
        <f t="shared" ref="L4:L12" si="1">IFERROR(H4/(E4+F4),0)</f>
        <v>5.7280701754385968</v>
      </c>
      <c r="M4" s="16">
        <f t="shared" ref="M4:M12" si="2">IFERROR((C4*31-H4)/(E4+F4),0)</f>
        <v>2.9736842105263159</v>
      </c>
      <c r="N4" s="16">
        <f t="shared" ref="N4:N12" si="3">IFERROR((E4+F4)/C4,0)</f>
        <v>3.5625</v>
      </c>
      <c r="O4" s="16">
        <f t="shared" ref="O4:O12" si="4">IFERROR((H4/(C4*31))*100,0)</f>
        <v>65.826612903225808</v>
      </c>
      <c r="P4" s="16">
        <f t="shared" ref="P4:P12" si="5">IFERROR((F4/(D4+B4))*100,0)</f>
        <v>12.222222222222221</v>
      </c>
    </row>
    <row r="5" spans="1:16" x14ac:dyDescent="0.25">
      <c r="A5" s="15" t="s">
        <v>32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6">
        <f t="shared" si="0"/>
        <v>16.93548387096774</v>
      </c>
      <c r="L5" s="16">
        <f t="shared" si="1"/>
        <v>4.7727272727272725</v>
      </c>
      <c r="M5" s="16">
        <f t="shared" si="2"/>
        <v>3.1181818181818182</v>
      </c>
      <c r="N5" s="16">
        <f t="shared" si="3"/>
        <v>3.9285714285714284</v>
      </c>
      <c r="O5" s="16">
        <f t="shared" si="4"/>
        <v>60.483870967741936</v>
      </c>
      <c r="P5" s="16">
        <f t="shared" si="5"/>
        <v>10.526315789473683</v>
      </c>
    </row>
    <row r="6" spans="1:16" x14ac:dyDescent="0.25">
      <c r="A6" s="15" t="s">
        <v>34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6">
        <f t="shared" si="0"/>
        <v>9.5806451612903221</v>
      </c>
      <c r="L6" s="16">
        <f t="shared" si="1"/>
        <v>3.8076923076923075</v>
      </c>
      <c r="M6" s="16">
        <f t="shared" si="2"/>
        <v>6.9230769230769234</v>
      </c>
      <c r="N6" s="16">
        <f t="shared" si="3"/>
        <v>2.8888888888888888</v>
      </c>
      <c r="O6" s="16">
        <f t="shared" si="4"/>
        <v>35.483870967741936</v>
      </c>
      <c r="P6" s="16">
        <f t="shared" si="5"/>
        <v>0</v>
      </c>
    </row>
    <row r="7" spans="1:16" x14ac:dyDescent="0.25">
      <c r="A7" s="15" t="s">
        <v>36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6">
        <f t="shared" si="0"/>
        <v>6.4838709677419351</v>
      </c>
      <c r="L7" s="16">
        <f t="shared" si="1"/>
        <v>3.0923076923076924</v>
      </c>
      <c r="M7" s="16">
        <f t="shared" si="2"/>
        <v>6.4461538461538463</v>
      </c>
      <c r="N7" s="16">
        <f t="shared" si="3"/>
        <v>3.25</v>
      </c>
      <c r="O7" s="16">
        <f t="shared" si="4"/>
        <v>32.41935483870968</v>
      </c>
      <c r="P7" s="16">
        <f t="shared" si="5"/>
        <v>0</v>
      </c>
    </row>
    <row r="8" spans="1:16" x14ac:dyDescent="0.25">
      <c r="A8" s="15" t="s">
        <v>38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6">
        <f t="shared" si="0"/>
        <v>11.03225806451613</v>
      </c>
      <c r="L8" s="16">
        <f t="shared" si="1"/>
        <v>2.8032786885245899</v>
      </c>
      <c r="M8" s="16">
        <f t="shared" si="2"/>
        <v>0.75409836065573765</v>
      </c>
      <c r="N8" s="16">
        <f t="shared" si="3"/>
        <v>8.7142857142857135</v>
      </c>
      <c r="O8" s="16">
        <f t="shared" si="4"/>
        <v>78.801843317972356</v>
      </c>
      <c r="P8" s="16">
        <f t="shared" si="5"/>
        <v>0</v>
      </c>
    </row>
    <row r="9" spans="1:16" x14ac:dyDescent="0.25">
      <c r="A9" s="15" t="s">
        <v>40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6">
        <f t="shared" si="0"/>
        <v>11.903225806451612</v>
      </c>
      <c r="L9" s="16">
        <f t="shared" si="1"/>
        <v>4.5555555555555554</v>
      </c>
      <c r="M9" s="16">
        <f t="shared" si="2"/>
        <v>3.8641975308641974</v>
      </c>
      <c r="N9" s="16">
        <f t="shared" si="3"/>
        <v>3.6818181818181817</v>
      </c>
      <c r="O9" s="16">
        <f t="shared" si="4"/>
        <v>54.105571847507328</v>
      </c>
      <c r="P9" s="16">
        <f t="shared" si="5"/>
        <v>0</v>
      </c>
    </row>
    <row r="10" spans="1:16" x14ac:dyDescent="0.25">
      <c r="A10" s="15" t="s">
        <v>42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13.225806451612904</v>
      </c>
      <c r="L10" s="16">
        <f t="shared" si="1"/>
        <v>7.5925925925925926</v>
      </c>
      <c r="M10" s="16">
        <f t="shared" si="2"/>
        <v>1.0185185185185186</v>
      </c>
      <c r="N10" s="16">
        <f t="shared" si="3"/>
        <v>3.6</v>
      </c>
      <c r="O10" s="16">
        <f t="shared" si="4"/>
        <v>88.172043010752688</v>
      </c>
      <c r="P10" s="16">
        <f t="shared" si="5"/>
        <v>13.114754098360656</v>
      </c>
    </row>
    <row r="11" spans="1:16" x14ac:dyDescent="0.25">
      <c r="A11" s="15" t="s">
        <v>44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6">
        <f t="shared" si="0"/>
        <v>4.774193548387097</v>
      </c>
      <c r="L11" s="16">
        <f t="shared" si="1"/>
        <v>3.1489361702127661</v>
      </c>
      <c r="M11" s="16">
        <f t="shared" si="2"/>
        <v>3.4468085106382977</v>
      </c>
      <c r="N11" s="16">
        <f t="shared" si="3"/>
        <v>4.7</v>
      </c>
      <c r="O11" s="16">
        <f t="shared" si="4"/>
        <v>47.741935483870968</v>
      </c>
      <c r="P11" s="16">
        <f t="shared" si="5"/>
        <v>4.2105263157894735</v>
      </c>
    </row>
    <row r="12" spans="1:16" x14ac:dyDescent="0.25">
      <c r="A12" s="15" t="s">
        <v>46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6">
        <f t="shared" si="0"/>
        <v>1.7741935483870968</v>
      </c>
      <c r="L12" s="16">
        <f t="shared" si="1"/>
        <v>4.2307692307692308</v>
      </c>
      <c r="M12" s="16">
        <f t="shared" si="2"/>
        <v>19.615384615384617</v>
      </c>
      <c r="N12" s="16">
        <f t="shared" si="3"/>
        <v>1.3</v>
      </c>
      <c r="O12" s="16">
        <f t="shared" si="4"/>
        <v>17.741935483870968</v>
      </c>
      <c r="P12" s="16">
        <f t="shared" si="5"/>
        <v>0</v>
      </c>
    </row>
    <row r="13" spans="1:16" x14ac:dyDescent="0.25">
      <c r="A13" s="17" t="s">
        <v>143</v>
      </c>
      <c r="B13" s="15">
        <f>SUMIFS(tblDaily[Remaining],tblDaily[EntryDate],DATE(2026,1,31),tblDaily[WardCode],"MAE")+SUMIFS(tblDaily[Remaining],tblDaily[EntryDate],DATE(2026,1,31),tblDaily[WardCode],"FAE")</f>
        <v>5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111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9">
        <f>IFERROR(H14/31,0)</f>
        <v>96.774193548387103</v>
      </c>
      <c r="L14" s="19">
        <f>IFERROR(H14/(E14+F14),0)</f>
        <v>4.3859649122807021</v>
      </c>
      <c r="M14" s="19">
        <f>IFERROR((C14*31-H14)/(E14+F14),0)</f>
        <v>3.6812865497076022</v>
      </c>
      <c r="N14" s="19">
        <f>IFERROR((E14+F14)/C14,0)</f>
        <v>3.8426966292134832</v>
      </c>
      <c r="O14" s="19">
        <f>IFERROR((H14/(C14*31))*100,0)</f>
        <v>54.367524465386005</v>
      </c>
      <c r="P14" s="19">
        <f>IFERROR((F14/(D14+B14))*100,0)</f>
        <v>4.3193717277486909</v>
      </c>
    </row>
    <row r="15" spans="1:16" x14ac:dyDescent="0.25">
      <c r="A15" s="20" t="s">
        <v>144</v>
      </c>
      <c r="B15" s="20">
        <f t="shared" ref="B15:J15" si="7">B11+B12</f>
        <v>10</v>
      </c>
      <c r="C15" s="20">
        <f t="shared" si="7"/>
        <v>20</v>
      </c>
      <c r="D15" s="20">
        <f t="shared" si="7"/>
        <v>132</v>
      </c>
      <c r="E15" s="20">
        <f t="shared" si="7"/>
        <v>56</v>
      </c>
      <c r="F15" s="20">
        <f t="shared" si="7"/>
        <v>4</v>
      </c>
      <c r="G15" s="20">
        <f t="shared" si="7"/>
        <v>6</v>
      </c>
      <c r="H15" s="20">
        <f t="shared" si="7"/>
        <v>203</v>
      </c>
      <c r="I15" s="20">
        <f t="shared" si="7"/>
        <v>0</v>
      </c>
      <c r="J15" s="20">
        <f t="shared" si="7"/>
        <v>77</v>
      </c>
      <c r="K15" s="21">
        <f>IFERROR(H15/31,0)</f>
        <v>6.5483870967741939</v>
      </c>
      <c r="L15" s="21">
        <f>IFERROR(H15/(E15+F15),0)</f>
        <v>3.3833333333333333</v>
      </c>
      <c r="M15" s="21">
        <f>IFERROR((C15*31-H15)/(E15+F15),0)</f>
        <v>6.95</v>
      </c>
      <c r="N15" s="21">
        <f>IFERROR((E15+F15)/C15,0)</f>
        <v>3</v>
      </c>
      <c r="O15" s="21">
        <f>IFERROR((H15/(C15*31))*100,0)</f>
        <v>32.741935483870968</v>
      </c>
      <c r="P15" s="21">
        <f>IFERROR((F15/(D15+B15))*100,0)</f>
        <v>2.8169014084507045</v>
      </c>
    </row>
    <row r="17" spans="1:16" ht="18.75" x14ac:dyDescent="0.25">
      <c r="A17" s="33" t="s">
        <v>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5.75" x14ac:dyDescent="0.25">
      <c r="A18" s="37" t="s">
        <v>145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38.25" x14ac:dyDescent="0.25">
      <c r="A19" s="8" t="s">
        <v>131</v>
      </c>
      <c r="B19" s="8" t="s">
        <v>132</v>
      </c>
      <c r="C19" s="8" t="s">
        <v>133</v>
      </c>
      <c r="D19" s="8" t="s">
        <v>73</v>
      </c>
      <c r="E19" s="8" t="s">
        <v>74</v>
      </c>
      <c r="F19" s="8" t="s">
        <v>75</v>
      </c>
      <c r="G19" s="8" t="s">
        <v>107</v>
      </c>
      <c r="H19" s="8" t="s">
        <v>134</v>
      </c>
      <c r="I19" s="8" t="s">
        <v>135</v>
      </c>
      <c r="J19" s="8" t="s">
        <v>136</v>
      </c>
      <c r="K19" s="8" t="s">
        <v>137</v>
      </c>
      <c r="L19" s="8" t="s">
        <v>138</v>
      </c>
      <c r="M19" s="8" t="s">
        <v>139</v>
      </c>
      <c r="N19" s="8" t="s">
        <v>140</v>
      </c>
      <c r="O19" s="8" t="s">
        <v>141</v>
      </c>
      <c r="P19" s="8" t="s">
        <v>142</v>
      </c>
    </row>
    <row r="20" spans="1:16" x14ac:dyDescent="0.25">
      <c r="A20" s="15" t="s">
        <v>30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32</v>
      </c>
      <c r="E20" s="4">
        <f>SUMIFS(tblDaily[Discharges],tblDaily[Month],2,tblDaily[WardCode],"MW")</f>
        <v>38</v>
      </c>
      <c r="F20" s="4">
        <f>SUMIFS(tblDaily[Deaths],tblDaily[Month],2,tblDaily[WardCode],"MW")</f>
        <v>8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249</v>
      </c>
      <c r="I20" s="4">
        <f>SUMIFS(tblDaily[TransfersIn],tblDaily[Month],2,tblDaily[WardCode],"MW")</f>
        <v>14</v>
      </c>
      <c r="J20" s="4">
        <f>SUMIFS(tblDaily[TransfersOut],tblDaily[Month],2,tblDaily[WardCode],"MW")</f>
        <v>0</v>
      </c>
      <c r="K20" s="16">
        <f t="shared" ref="K20:K28" si="8">IFERROR(H20/28,0)</f>
        <v>8.8928571428571423</v>
      </c>
      <c r="L20" s="16">
        <f t="shared" ref="L20:L28" si="9">IFERROR(H20/(E20+F20),0)</f>
        <v>5.4130434782608692</v>
      </c>
      <c r="M20" s="16">
        <f t="shared" ref="M20:M28" si="10">IFERROR((C20*28-H20)/(E20+F20),0)</f>
        <v>14.065217391304348</v>
      </c>
      <c r="N20" s="16">
        <f t="shared" ref="N20:N28" si="11">IFERROR((E20+F20)/C20,0)</f>
        <v>1.4375</v>
      </c>
      <c r="O20" s="16">
        <f t="shared" ref="O20:O28" si="12">IFERROR((H20/(C20*28))*100,0)</f>
        <v>27.790178571428569</v>
      </c>
      <c r="P20" s="16">
        <f t="shared" ref="P20:P28" si="13">IFERROR((F20/(D20+B20))*100,0)</f>
        <v>15.686274509803921</v>
      </c>
    </row>
    <row r="21" spans="1:16" x14ac:dyDescent="0.25">
      <c r="A21" s="15" t="s">
        <v>32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4</v>
      </c>
      <c r="E21" s="4">
        <f>SUMIFS(tblDaily[Discharges],tblDaily[Month],2,tblDaily[WardCode],"FW")</f>
        <v>2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30</v>
      </c>
      <c r="I21" s="4">
        <f>SUMIFS(tblDaily[TransfersIn],tblDaily[Month],2,tblDaily[WardCode],"FW")</f>
        <v>1</v>
      </c>
      <c r="J21" s="4">
        <f>SUMIFS(tblDaily[TransfersOut],tblDaily[Month],2,tblDaily[WardCode],"FW")</f>
        <v>0</v>
      </c>
      <c r="K21" s="16">
        <f t="shared" si="8"/>
        <v>1.0714285714285714</v>
      </c>
      <c r="L21" s="16">
        <f t="shared" si="9"/>
        <v>15</v>
      </c>
      <c r="M21" s="16">
        <f t="shared" si="10"/>
        <v>377</v>
      </c>
      <c r="N21" s="16">
        <f t="shared" si="11"/>
        <v>7.1428571428571425E-2</v>
      </c>
      <c r="O21" s="16">
        <f t="shared" si="12"/>
        <v>3.8265306122448979</v>
      </c>
      <c r="P21" s="16">
        <f t="shared" si="13"/>
        <v>0</v>
      </c>
    </row>
    <row r="22" spans="1:16" x14ac:dyDescent="0.25">
      <c r="A22" s="15" t="s">
        <v>34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2</v>
      </c>
      <c r="E22" s="4">
        <f>SUMIFS(tblDaily[Discharges],tblDaily[Month],2,tblDaily[WardCode],"CW")</f>
        <v>2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12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0.42857142857142855</v>
      </c>
      <c r="L22" s="16">
        <f t="shared" si="9"/>
        <v>6</v>
      </c>
      <c r="M22" s="16">
        <f t="shared" si="10"/>
        <v>372</v>
      </c>
      <c r="N22" s="16">
        <f t="shared" si="11"/>
        <v>7.407407407407407E-2</v>
      </c>
      <c r="O22" s="16">
        <f t="shared" si="12"/>
        <v>1.5873015873015872</v>
      </c>
      <c r="P22" s="16">
        <f t="shared" si="13"/>
        <v>0</v>
      </c>
    </row>
    <row r="23" spans="1:16" x14ac:dyDescent="0.25">
      <c r="A23" s="15" t="s">
        <v>36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3</v>
      </c>
      <c r="E23" s="4">
        <f>SUMIFS(tblDaily[Discharges],tblDaily[Month],2,tblDaily[WardCode],"BF")</f>
        <v>1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8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0.2857142857142857</v>
      </c>
      <c r="L23" s="16">
        <f t="shared" si="9"/>
        <v>8</v>
      </c>
      <c r="M23" s="16">
        <f t="shared" si="10"/>
        <v>552</v>
      </c>
      <c r="N23" s="16">
        <f t="shared" si="11"/>
        <v>0.05</v>
      </c>
      <c r="O23" s="16">
        <f t="shared" si="12"/>
        <v>1.4285714285714286</v>
      </c>
      <c r="P23" s="16">
        <f t="shared" si="13"/>
        <v>0</v>
      </c>
    </row>
    <row r="24" spans="1:16" x14ac:dyDescent="0.25">
      <c r="A24" s="15" t="s">
        <v>38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12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0.42857142857142855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3.0612244897959182</v>
      </c>
      <c r="P24" s="16">
        <f t="shared" si="13"/>
        <v>0</v>
      </c>
    </row>
    <row r="25" spans="1:16" x14ac:dyDescent="0.25">
      <c r="A25" s="15" t="s">
        <v>40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7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0.25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1.1363636363636365</v>
      </c>
      <c r="P25" s="16">
        <f t="shared" si="13"/>
        <v>0</v>
      </c>
    </row>
    <row r="26" spans="1:16" x14ac:dyDescent="0.25">
      <c r="A26" s="15" t="s">
        <v>42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4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8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0.2857142857142857</v>
      </c>
      <c r="L26" s="16">
        <f t="shared" si="9"/>
        <v>2</v>
      </c>
      <c r="M26" s="16">
        <f t="shared" si="10"/>
        <v>103</v>
      </c>
      <c r="N26" s="16">
        <f t="shared" si="11"/>
        <v>0.26666666666666666</v>
      </c>
      <c r="O26" s="16">
        <f t="shared" si="12"/>
        <v>1.9047619047619049</v>
      </c>
      <c r="P26" s="16">
        <f t="shared" si="13"/>
        <v>0</v>
      </c>
    </row>
    <row r="27" spans="1:16" x14ac:dyDescent="0.25">
      <c r="A27" s="15" t="s">
        <v>44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3</v>
      </c>
      <c r="E27" s="4">
        <f>SUMIFS(tblDaily[Discharges],tblDaily[Month],2,tblDaily[WardCode],"MAE")</f>
        <v>3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3</v>
      </c>
      <c r="I27" s="4">
        <f>SUMIFS(tblDaily[TransfersIn],tblDaily[Month],2,tblDaily[WardCode],"MAE")</f>
        <v>2</v>
      </c>
      <c r="J27" s="4">
        <f>SUMIFS(tblDaily[TransfersOut],tblDaily[Month],2,tblDaily[WardCode],"MAE")</f>
        <v>0</v>
      </c>
      <c r="K27" s="16">
        <f t="shared" si="8"/>
        <v>0.10714285714285714</v>
      </c>
      <c r="L27" s="16">
        <f t="shared" si="9"/>
        <v>1</v>
      </c>
      <c r="M27" s="16">
        <f t="shared" si="10"/>
        <v>92.333333333333329</v>
      </c>
      <c r="N27" s="16">
        <f t="shared" si="11"/>
        <v>0.3</v>
      </c>
      <c r="O27" s="16">
        <f t="shared" si="12"/>
        <v>1.0714285714285714</v>
      </c>
      <c r="P27" s="16">
        <f t="shared" si="13"/>
        <v>0</v>
      </c>
    </row>
    <row r="28" spans="1:16" x14ac:dyDescent="0.25">
      <c r="A28" s="15" t="s">
        <v>46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143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111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44</v>
      </c>
      <c r="E30" s="9">
        <f t="shared" si="14"/>
        <v>50</v>
      </c>
      <c r="F30" s="9">
        <f t="shared" si="14"/>
        <v>8</v>
      </c>
      <c r="G30" s="9">
        <f t="shared" si="14"/>
        <v>0</v>
      </c>
      <c r="H30" s="9">
        <f t="shared" si="14"/>
        <v>329</v>
      </c>
      <c r="I30" s="9">
        <f t="shared" si="14"/>
        <v>17</v>
      </c>
      <c r="J30" s="9">
        <f t="shared" si="14"/>
        <v>0</v>
      </c>
      <c r="K30" s="19">
        <f>IFERROR(H30/28,0)</f>
        <v>11.75</v>
      </c>
      <c r="L30" s="19">
        <f>IFERROR(H30/(E30+F30),0)</f>
        <v>5.6724137931034484</v>
      </c>
      <c r="M30" s="19">
        <f>IFERROR((C30*28-H30)/(E30+F30),0)</f>
        <v>80.258620689655174</v>
      </c>
      <c r="N30" s="19">
        <f>IFERROR((E30+F30)/C30,0)</f>
        <v>0.3258426966292135</v>
      </c>
      <c r="O30" s="19">
        <f>IFERROR((H30/(C30*28))*100,0)</f>
        <v>6.6011235955056176</v>
      </c>
      <c r="P30" s="19">
        <f>IFERROR((F30/(D30+B30))*100,0)</f>
        <v>6.4516129032258061</v>
      </c>
    </row>
    <row r="31" spans="1:16" x14ac:dyDescent="0.25">
      <c r="A31" s="20" t="s">
        <v>144</v>
      </c>
      <c r="B31" s="20">
        <f t="shared" ref="B31:J31" si="15">B27+B28</f>
        <v>5</v>
      </c>
      <c r="C31" s="20">
        <f t="shared" si="15"/>
        <v>20</v>
      </c>
      <c r="D31" s="20">
        <f t="shared" si="15"/>
        <v>3</v>
      </c>
      <c r="E31" s="20">
        <f t="shared" si="15"/>
        <v>3</v>
      </c>
      <c r="F31" s="20">
        <f t="shared" si="15"/>
        <v>0</v>
      </c>
      <c r="G31" s="20">
        <f t="shared" si="15"/>
        <v>0</v>
      </c>
      <c r="H31" s="20">
        <f t="shared" si="15"/>
        <v>3</v>
      </c>
      <c r="I31" s="20">
        <f t="shared" si="15"/>
        <v>2</v>
      </c>
      <c r="J31" s="20">
        <f t="shared" si="15"/>
        <v>0</v>
      </c>
      <c r="K31" s="21">
        <f>IFERROR(H31/28,0)</f>
        <v>0.10714285714285714</v>
      </c>
      <c r="L31" s="21">
        <f>IFERROR(H31/(E31+F31),0)</f>
        <v>1</v>
      </c>
      <c r="M31" s="21">
        <f>IFERROR((C31*28-H31)/(E31+F31),0)</f>
        <v>185.66666666666666</v>
      </c>
      <c r="N31" s="21">
        <f>IFERROR((E31+F31)/C31,0)</f>
        <v>0.15</v>
      </c>
      <c r="O31" s="21">
        <f>IFERROR((H31/(C31*28))*100,0)</f>
        <v>0.5357142857142857</v>
      </c>
      <c r="P31" s="21">
        <f>IFERROR((F31/(D31+B31))*100,0)</f>
        <v>0</v>
      </c>
    </row>
    <row r="33" spans="1:16" ht="18.75" x14ac:dyDescent="0.25">
      <c r="A33" s="33" t="s">
        <v>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ht="15.75" x14ac:dyDescent="0.25">
      <c r="A34" s="37" t="s">
        <v>146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ht="38.25" x14ac:dyDescent="0.25">
      <c r="A35" s="8" t="s">
        <v>131</v>
      </c>
      <c r="B35" s="8" t="s">
        <v>132</v>
      </c>
      <c r="C35" s="8" t="s">
        <v>133</v>
      </c>
      <c r="D35" s="8" t="s">
        <v>73</v>
      </c>
      <c r="E35" s="8" t="s">
        <v>74</v>
      </c>
      <c r="F35" s="8" t="s">
        <v>75</v>
      </c>
      <c r="G35" s="8" t="s">
        <v>107</v>
      </c>
      <c r="H35" s="8" t="s">
        <v>134</v>
      </c>
      <c r="I35" s="8" t="s">
        <v>135</v>
      </c>
      <c r="J35" s="8" t="s">
        <v>136</v>
      </c>
      <c r="K35" s="8" t="s">
        <v>137</v>
      </c>
      <c r="L35" s="8" t="s">
        <v>138</v>
      </c>
      <c r="M35" s="8" t="s">
        <v>139</v>
      </c>
      <c r="N35" s="8" t="s">
        <v>140</v>
      </c>
      <c r="O35" s="8" t="s">
        <v>141</v>
      </c>
      <c r="P35" s="8" t="s">
        <v>142</v>
      </c>
    </row>
    <row r="36" spans="1:16" x14ac:dyDescent="0.25">
      <c r="A36" s="15" t="s">
        <v>30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32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34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36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38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40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42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44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46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143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111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144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3" t="s">
        <v>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1:16" ht="15.75" x14ac:dyDescent="0.25">
      <c r="A50" s="37" t="s">
        <v>147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1:16" ht="38.25" x14ac:dyDescent="0.25">
      <c r="A51" s="8" t="s">
        <v>131</v>
      </c>
      <c r="B51" s="8" t="s">
        <v>132</v>
      </c>
      <c r="C51" s="8" t="s">
        <v>133</v>
      </c>
      <c r="D51" s="8" t="s">
        <v>73</v>
      </c>
      <c r="E51" s="8" t="s">
        <v>74</v>
      </c>
      <c r="F51" s="8" t="s">
        <v>75</v>
      </c>
      <c r="G51" s="8" t="s">
        <v>107</v>
      </c>
      <c r="H51" s="8" t="s">
        <v>134</v>
      </c>
      <c r="I51" s="8" t="s">
        <v>135</v>
      </c>
      <c r="J51" s="8" t="s">
        <v>136</v>
      </c>
      <c r="K51" s="8" t="s">
        <v>137</v>
      </c>
      <c r="L51" s="8" t="s">
        <v>138</v>
      </c>
      <c r="M51" s="8" t="s">
        <v>139</v>
      </c>
      <c r="N51" s="8" t="s">
        <v>140</v>
      </c>
      <c r="O51" s="8" t="s">
        <v>141</v>
      </c>
      <c r="P51" s="8" t="s">
        <v>142</v>
      </c>
    </row>
    <row r="52" spans="1:16" x14ac:dyDescent="0.25">
      <c r="A52" s="15" t="s">
        <v>30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32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34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36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38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40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42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44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46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143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111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144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3" t="s">
        <v>0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</row>
    <row r="66" spans="1:16" ht="15.75" x14ac:dyDescent="0.25">
      <c r="A66" s="37" t="s">
        <v>148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</row>
    <row r="67" spans="1:16" ht="38.25" x14ac:dyDescent="0.25">
      <c r="A67" s="8" t="s">
        <v>131</v>
      </c>
      <c r="B67" s="8" t="s">
        <v>132</v>
      </c>
      <c r="C67" s="8" t="s">
        <v>133</v>
      </c>
      <c r="D67" s="8" t="s">
        <v>73</v>
      </c>
      <c r="E67" s="8" t="s">
        <v>74</v>
      </c>
      <c r="F67" s="8" t="s">
        <v>75</v>
      </c>
      <c r="G67" s="8" t="s">
        <v>107</v>
      </c>
      <c r="H67" s="8" t="s">
        <v>134</v>
      </c>
      <c r="I67" s="8" t="s">
        <v>135</v>
      </c>
      <c r="J67" s="8" t="s">
        <v>136</v>
      </c>
      <c r="K67" s="8" t="s">
        <v>137</v>
      </c>
      <c r="L67" s="8" t="s">
        <v>138</v>
      </c>
      <c r="M67" s="8" t="s">
        <v>139</v>
      </c>
      <c r="N67" s="8" t="s">
        <v>140</v>
      </c>
      <c r="O67" s="8" t="s">
        <v>141</v>
      </c>
      <c r="P67" s="8" t="s">
        <v>142</v>
      </c>
    </row>
    <row r="68" spans="1:16" x14ac:dyDescent="0.25">
      <c r="A68" s="15" t="s">
        <v>30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32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34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36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38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40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42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44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46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143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111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144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3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ht="15.75" x14ac:dyDescent="0.25">
      <c r="A82" s="37" t="s">
        <v>149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</row>
    <row r="83" spans="1:16" ht="38.25" x14ac:dyDescent="0.25">
      <c r="A83" s="8" t="s">
        <v>131</v>
      </c>
      <c r="B83" s="8" t="s">
        <v>132</v>
      </c>
      <c r="C83" s="8" t="s">
        <v>133</v>
      </c>
      <c r="D83" s="8" t="s">
        <v>73</v>
      </c>
      <c r="E83" s="8" t="s">
        <v>74</v>
      </c>
      <c r="F83" s="8" t="s">
        <v>75</v>
      </c>
      <c r="G83" s="8" t="s">
        <v>107</v>
      </c>
      <c r="H83" s="8" t="s">
        <v>134</v>
      </c>
      <c r="I83" s="8" t="s">
        <v>135</v>
      </c>
      <c r="J83" s="8" t="s">
        <v>136</v>
      </c>
      <c r="K83" s="8" t="s">
        <v>137</v>
      </c>
      <c r="L83" s="8" t="s">
        <v>138</v>
      </c>
      <c r="M83" s="8" t="s">
        <v>139</v>
      </c>
      <c r="N83" s="8" t="s">
        <v>140</v>
      </c>
      <c r="O83" s="8" t="s">
        <v>141</v>
      </c>
      <c r="P83" s="8" t="s">
        <v>142</v>
      </c>
    </row>
    <row r="84" spans="1:16" x14ac:dyDescent="0.25">
      <c r="A84" s="15" t="s">
        <v>30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32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34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36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38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40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42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44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46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143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111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144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3" t="s">
        <v>0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</row>
    <row r="98" spans="1:16" ht="15.75" x14ac:dyDescent="0.25">
      <c r="A98" s="37" t="s">
        <v>150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</row>
    <row r="99" spans="1:16" ht="38.25" x14ac:dyDescent="0.25">
      <c r="A99" s="8" t="s">
        <v>131</v>
      </c>
      <c r="B99" s="8" t="s">
        <v>132</v>
      </c>
      <c r="C99" s="8" t="s">
        <v>133</v>
      </c>
      <c r="D99" s="8" t="s">
        <v>73</v>
      </c>
      <c r="E99" s="8" t="s">
        <v>74</v>
      </c>
      <c r="F99" s="8" t="s">
        <v>75</v>
      </c>
      <c r="G99" s="8" t="s">
        <v>107</v>
      </c>
      <c r="H99" s="8" t="s">
        <v>134</v>
      </c>
      <c r="I99" s="8" t="s">
        <v>135</v>
      </c>
      <c r="J99" s="8" t="s">
        <v>136</v>
      </c>
      <c r="K99" s="8" t="s">
        <v>137</v>
      </c>
      <c r="L99" s="8" t="s">
        <v>138</v>
      </c>
      <c r="M99" s="8" t="s">
        <v>139</v>
      </c>
      <c r="N99" s="8" t="s">
        <v>140</v>
      </c>
      <c r="O99" s="8" t="s">
        <v>141</v>
      </c>
      <c r="P99" s="8" t="s">
        <v>142</v>
      </c>
    </row>
    <row r="100" spans="1:16" x14ac:dyDescent="0.25">
      <c r="A100" s="15" t="s">
        <v>30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32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34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36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38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40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42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44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46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143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111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144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3" t="s">
        <v>0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</row>
    <row r="114" spans="1:16" ht="15.75" x14ac:dyDescent="0.25">
      <c r="A114" s="37" t="s">
        <v>151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</row>
    <row r="115" spans="1:16" ht="38.25" x14ac:dyDescent="0.25">
      <c r="A115" s="8" t="s">
        <v>131</v>
      </c>
      <c r="B115" s="8" t="s">
        <v>132</v>
      </c>
      <c r="C115" s="8" t="s">
        <v>133</v>
      </c>
      <c r="D115" s="8" t="s">
        <v>73</v>
      </c>
      <c r="E115" s="8" t="s">
        <v>74</v>
      </c>
      <c r="F115" s="8" t="s">
        <v>75</v>
      </c>
      <c r="G115" s="8" t="s">
        <v>107</v>
      </c>
      <c r="H115" s="8" t="s">
        <v>134</v>
      </c>
      <c r="I115" s="8" t="s">
        <v>135</v>
      </c>
      <c r="J115" s="8" t="s">
        <v>136</v>
      </c>
      <c r="K115" s="8" t="s">
        <v>137</v>
      </c>
      <c r="L115" s="8" t="s">
        <v>138</v>
      </c>
      <c r="M115" s="8" t="s">
        <v>139</v>
      </c>
      <c r="N115" s="8" t="s">
        <v>140</v>
      </c>
      <c r="O115" s="8" t="s">
        <v>141</v>
      </c>
      <c r="P115" s="8" t="s">
        <v>142</v>
      </c>
    </row>
    <row r="116" spans="1:16" x14ac:dyDescent="0.25">
      <c r="A116" s="15" t="s">
        <v>30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32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34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36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38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40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42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44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46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143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111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144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3" t="s">
        <v>0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1:16" ht="15.75" x14ac:dyDescent="0.25">
      <c r="A130" s="37" t="s">
        <v>152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1:16" ht="38.25" x14ac:dyDescent="0.25">
      <c r="A131" s="8" t="s">
        <v>131</v>
      </c>
      <c r="B131" s="8" t="s">
        <v>132</v>
      </c>
      <c r="C131" s="8" t="s">
        <v>133</v>
      </c>
      <c r="D131" s="8" t="s">
        <v>73</v>
      </c>
      <c r="E131" s="8" t="s">
        <v>74</v>
      </c>
      <c r="F131" s="8" t="s">
        <v>75</v>
      </c>
      <c r="G131" s="8" t="s">
        <v>107</v>
      </c>
      <c r="H131" s="8" t="s">
        <v>134</v>
      </c>
      <c r="I131" s="8" t="s">
        <v>135</v>
      </c>
      <c r="J131" s="8" t="s">
        <v>136</v>
      </c>
      <c r="K131" s="8" t="s">
        <v>137</v>
      </c>
      <c r="L131" s="8" t="s">
        <v>138</v>
      </c>
      <c r="M131" s="8" t="s">
        <v>139</v>
      </c>
      <c r="N131" s="8" t="s">
        <v>140</v>
      </c>
      <c r="O131" s="8" t="s">
        <v>141</v>
      </c>
      <c r="P131" s="8" t="s">
        <v>142</v>
      </c>
    </row>
    <row r="132" spans="1:16" x14ac:dyDescent="0.25">
      <c r="A132" s="15" t="s">
        <v>30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32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34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36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38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40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42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44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46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143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111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144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3" t="s">
        <v>0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</row>
    <row r="146" spans="1:16" ht="15.75" x14ac:dyDescent="0.25">
      <c r="A146" s="37" t="s">
        <v>153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</row>
    <row r="147" spans="1:16" ht="38.25" x14ac:dyDescent="0.25">
      <c r="A147" s="8" t="s">
        <v>131</v>
      </c>
      <c r="B147" s="8" t="s">
        <v>132</v>
      </c>
      <c r="C147" s="8" t="s">
        <v>133</v>
      </c>
      <c r="D147" s="8" t="s">
        <v>73</v>
      </c>
      <c r="E147" s="8" t="s">
        <v>74</v>
      </c>
      <c r="F147" s="8" t="s">
        <v>75</v>
      </c>
      <c r="G147" s="8" t="s">
        <v>107</v>
      </c>
      <c r="H147" s="8" t="s">
        <v>134</v>
      </c>
      <c r="I147" s="8" t="s">
        <v>135</v>
      </c>
      <c r="J147" s="8" t="s">
        <v>136</v>
      </c>
      <c r="K147" s="8" t="s">
        <v>137</v>
      </c>
      <c r="L147" s="8" t="s">
        <v>138</v>
      </c>
      <c r="M147" s="8" t="s">
        <v>139</v>
      </c>
      <c r="N147" s="8" t="s">
        <v>140</v>
      </c>
      <c r="O147" s="8" t="s">
        <v>141</v>
      </c>
      <c r="P147" s="8" t="s">
        <v>142</v>
      </c>
    </row>
    <row r="148" spans="1:16" x14ac:dyDescent="0.25">
      <c r="A148" s="15" t="s">
        <v>30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32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34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36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38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40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42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44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46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143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111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144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3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</row>
    <row r="162" spans="1:16" ht="15.75" x14ac:dyDescent="0.25">
      <c r="A162" s="37" t="s">
        <v>154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</row>
    <row r="163" spans="1:16" ht="38.25" x14ac:dyDescent="0.25">
      <c r="A163" s="8" t="s">
        <v>131</v>
      </c>
      <c r="B163" s="8" t="s">
        <v>132</v>
      </c>
      <c r="C163" s="8" t="s">
        <v>133</v>
      </c>
      <c r="D163" s="8" t="s">
        <v>73</v>
      </c>
      <c r="E163" s="8" t="s">
        <v>74</v>
      </c>
      <c r="F163" s="8" t="s">
        <v>75</v>
      </c>
      <c r="G163" s="8" t="s">
        <v>107</v>
      </c>
      <c r="H163" s="8" t="s">
        <v>134</v>
      </c>
      <c r="I163" s="8" t="s">
        <v>135</v>
      </c>
      <c r="J163" s="8" t="s">
        <v>136</v>
      </c>
      <c r="K163" s="8" t="s">
        <v>137</v>
      </c>
      <c r="L163" s="8" t="s">
        <v>138</v>
      </c>
      <c r="M163" s="8" t="s">
        <v>139</v>
      </c>
      <c r="N163" s="8" t="s">
        <v>140</v>
      </c>
      <c r="O163" s="8" t="s">
        <v>141</v>
      </c>
      <c r="P163" s="8" t="s">
        <v>142</v>
      </c>
    </row>
    <row r="164" spans="1:16" x14ac:dyDescent="0.25">
      <c r="A164" s="15" t="s">
        <v>30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32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34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36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38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40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42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44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46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143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111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144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3" t="s">
        <v>0</v>
      </c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</row>
    <row r="178" spans="1:16" ht="15.75" x14ac:dyDescent="0.25">
      <c r="A178" s="37" t="s">
        <v>155</v>
      </c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</row>
    <row r="179" spans="1:16" ht="38.25" x14ac:dyDescent="0.25">
      <c r="A179" s="8" t="s">
        <v>131</v>
      </c>
      <c r="B179" s="8" t="s">
        <v>132</v>
      </c>
      <c r="C179" s="8" t="s">
        <v>133</v>
      </c>
      <c r="D179" s="8" t="s">
        <v>73</v>
      </c>
      <c r="E179" s="8" t="s">
        <v>74</v>
      </c>
      <c r="F179" s="8" t="s">
        <v>75</v>
      </c>
      <c r="G179" s="8" t="s">
        <v>107</v>
      </c>
      <c r="H179" s="8" t="s">
        <v>134</v>
      </c>
      <c r="I179" s="8" t="s">
        <v>135</v>
      </c>
      <c r="J179" s="8" t="s">
        <v>136</v>
      </c>
      <c r="K179" s="8" t="s">
        <v>137</v>
      </c>
      <c r="L179" s="8" t="s">
        <v>138</v>
      </c>
      <c r="M179" s="8" t="s">
        <v>139</v>
      </c>
      <c r="N179" s="8" t="s">
        <v>140</v>
      </c>
      <c r="O179" s="8" t="s">
        <v>141</v>
      </c>
      <c r="P179" s="8" t="s">
        <v>142</v>
      </c>
    </row>
    <row r="180" spans="1:16" x14ac:dyDescent="0.25">
      <c r="A180" s="15" t="s">
        <v>30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32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34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36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38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40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42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44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46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143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111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144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3" t="s">
        <v>59</v>
      </c>
      <c r="B1" s="29"/>
      <c r="C1" s="29"/>
      <c r="D1" s="29"/>
      <c r="E1" s="29"/>
      <c r="F1" s="29"/>
      <c r="G1" s="29"/>
      <c r="H1" s="43" t="s">
        <v>60</v>
      </c>
      <c r="I1" s="29"/>
      <c r="J1" s="29"/>
      <c r="K1" s="29"/>
      <c r="L1" s="29"/>
      <c r="M1" s="29"/>
      <c r="N1" s="29"/>
      <c r="O1" s="43" t="s">
        <v>61</v>
      </c>
      <c r="P1" s="29"/>
      <c r="Q1" s="29"/>
      <c r="R1" s="29"/>
      <c r="S1" s="29"/>
      <c r="T1" s="29"/>
      <c r="U1" s="29"/>
      <c r="V1" s="43" t="s">
        <v>62</v>
      </c>
      <c r="W1" s="29"/>
      <c r="X1" s="29"/>
      <c r="Y1" s="29"/>
      <c r="Z1" s="29"/>
      <c r="AA1" s="29"/>
      <c r="AB1" s="29"/>
      <c r="AC1" s="43" t="s">
        <v>63</v>
      </c>
      <c r="AD1" s="29"/>
      <c r="AE1" s="29"/>
      <c r="AF1" s="29"/>
      <c r="AG1" s="29"/>
      <c r="AH1" s="29"/>
      <c r="AI1" s="29"/>
      <c r="AJ1" s="43" t="s">
        <v>64</v>
      </c>
      <c r="AK1" s="29"/>
      <c r="AL1" s="29"/>
      <c r="AM1" s="29"/>
      <c r="AN1" s="29"/>
      <c r="AO1" s="29"/>
      <c r="AP1" s="29"/>
      <c r="AQ1" s="43" t="s">
        <v>65</v>
      </c>
      <c r="AR1" s="29"/>
      <c r="AS1" s="29"/>
      <c r="AT1" s="29"/>
      <c r="AU1" s="29"/>
      <c r="AV1" s="29"/>
      <c r="AW1" s="29"/>
      <c r="AX1" s="43" t="s">
        <v>66</v>
      </c>
      <c r="AY1" s="29"/>
      <c r="AZ1" s="29"/>
      <c r="BA1" s="29"/>
      <c r="BB1" s="29"/>
      <c r="BC1" s="29"/>
      <c r="BD1" s="29"/>
      <c r="BE1" s="43" t="s">
        <v>67</v>
      </c>
      <c r="BF1" s="29"/>
      <c r="BG1" s="29"/>
      <c r="BH1" s="29"/>
      <c r="BI1" s="29"/>
      <c r="BJ1" s="29"/>
      <c r="BK1" s="29"/>
      <c r="BL1" s="43" t="s">
        <v>68</v>
      </c>
      <c r="BM1" s="29"/>
      <c r="BN1" s="29"/>
      <c r="BO1" s="29"/>
      <c r="BP1" s="29"/>
      <c r="BQ1" s="29"/>
      <c r="BR1" s="29"/>
      <c r="BS1" s="43" t="s">
        <v>69</v>
      </c>
      <c r="BT1" s="29"/>
      <c r="BU1" s="29"/>
      <c r="BV1" s="29"/>
      <c r="BW1" s="29"/>
      <c r="BX1" s="29"/>
      <c r="BY1" s="29"/>
      <c r="BZ1" s="43" t="s">
        <v>70</v>
      </c>
      <c r="CA1" s="29"/>
      <c r="CB1" s="29"/>
      <c r="CC1" s="29"/>
      <c r="CD1" s="29"/>
      <c r="CE1" s="29"/>
      <c r="CF1" s="29"/>
    </row>
    <row r="2" spans="1:84" x14ac:dyDescent="0.25">
      <c r="B2" s="42" t="s">
        <v>156</v>
      </c>
      <c r="C2" s="29"/>
      <c r="D2" s="44" t="s">
        <v>157</v>
      </c>
      <c r="E2" s="29"/>
      <c r="F2" s="41" t="s">
        <v>158</v>
      </c>
      <c r="G2" s="29"/>
      <c r="I2" s="42" t="s">
        <v>156</v>
      </c>
      <c r="J2" s="29"/>
      <c r="K2" s="44" t="s">
        <v>157</v>
      </c>
      <c r="L2" s="29"/>
      <c r="M2" s="41" t="s">
        <v>158</v>
      </c>
      <c r="N2" s="29"/>
      <c r="P2" s="42" t="s">
        <v>156</v>
      </c>
      <c r="Q2" s="29"/>
      <c r="R2" s="44" t="s">
        <v>157</v>
      </c>
      <c r="S2" s="29"/>
      <c r="T2" s="41" t="s">
        <v>158</v>
      </c>
      <c r="U2" s="29"/>
      <c r="W2" s="42" t="s">
        <v>156</v>
      </c>
      <c r="X2" s="29"/>
      <c r="Y2" s="44" t="s">
        <v>157</v>
      </c>
      <c r="Z2" s="29"/>
      <c r="AA2" s="41" t="s">
        <v>158</v>
      </c>
      <c r="AB2" s="29"/>
      <c r="AD2" s="42" t="s">
        <v>156</v>
      </c>
      <c r="AE2" s="29"/>
      <c r="AF2" s="44" t="s">
        <v>157</v>
      </c>
      <c r="AG2" s="29"/>
      <c r="AH2" s="41" t="s">
        <v>158</v>
      </c>
      <c r="AI2" s="29"/>
      <c r="AK2" s="42" t="s">
        <v>156</v>
      </c>
      <c r="AL2" s="29"/>
      <c r="AM2" s="44" t="s">
        <v>157</v>
      </c>
      <c r="AN2" s="29"/>
      <c r="AO2" s="41" t="s">
        <v>158</v>
      </c>
      <c r="AP2" s="29"/>
      <c r="AR2" s="42" t="s">
        <v>156</v>
      </c>
      <c r="AS2" s="29"/>
      <c r="AT2" s="44" t="s">
        <v>157</v>
      </c>
      <c r="AU2" s="29"/>
      <c r="AV2" s="41" t="s">
        <v>158</v>
      </c>
      <c r="AW2" s="29"/>
      <c r="AY2" s="42" t="s">
        <v>156</v>
      </c>
      <c r="AZ2" s="29"/>
      <c r="BA2" s="44" t="s">
        <v>157</v>
      </c>
      <c r="BB2" s="29"/>
      <c r="BC2" s="41" t="s">
        <v>158</v>
      </c>
      <c r="BD2" s="29"/>
      <c r="BF2" s="42" t="s">
        <v>156</v>
      </c>
      <c r="BG2" s="29"/>
      <c r="BH2" s="44" t="s">
        <v>157</v>
      </c>
      <c r="BI2" s="29"/>
      <c r="BJ2" s="41" t="s">
        <v>158</v>
      </c>
      <c r="BK2" s="29"/>
      <c r="BM2" s="42" t="s">
        <v>156</v>
      </c>
      <c r="BN2" s="29"/>
      <c r="BO2" s="44" t="s">
        <v>157</v>
      </c>
      <c r="BP2" s="29"/>
      <c r="BQ2" s="41" t="s">
        <v>158</v>
      </c>
      <c r="BR2" s="29"/>
      <c r="BT2" s="42" t="s">
        <v>156</v>
      </c>
      <c r="BU2" s="29"/>
      <c r="BV2" s="44" t="s">
        <v>157</v>
      </c>
      <c r="BW2" s="29"/>
      <c r="BX2" s="41" t="s">
        <v>158</v>
      </c>
      <c r="BY2" s="29"/>
      <c r="CA2" s="42" t="s">
        <v>156</v>
      </c>
      <c r="CB2" s="29"/>
      <c r="CC2" s="44" t="s">
        <v>157</v>
      </c>
      <c r="CD2" s="29"/>
      <c r="CE2" s="41" t="s">
        <v>158</v>
      </c>
      <c r="CF2" s="29"/>
    </row>
    <row r="3" spans="1:84" x14ac:dyDescent="0.25">
      <c r="A3" s="15" t="s">
        <v>159</v>
      </c>
      <c r="B3" s="15" t="s">
        <v>160</v>
      </c>
      <c r="C3" s="15" t="s">
        <v>161</v>
      </c>
      <c r="D3" s="15" t="s">
        <v>162</v>
      </c>
      <c r="E3" s="15" t="s">
        <v>163</v>
      </c>
      <c r="F3" s="15" t="s">
        <v>162</v>
      </c>
      <c r="G3" s="15" t="s">
        <v>163</v>
      </c>
      <c r="H3" s="15" t="s">
        <v>159</v>
      </c>
      <c r="I3" s="15" t="s">
        <v>160</v>
      </c>
      <c r="J3" s="15" t="s">
        <v>161</v>
      </c>
      <c r="K3" s="15" t="s">
        <v>162</v>
      </c>
      <c r="L3" s="15" t="s">
        <v>163</v>
      </c>
      <c r="M3" s="15" t="s">
        <v>162</v>
      </c>
      <c r="N3" s="15" t="s">
        <v>163</v>
      </c>
      <c r="O3" s="15" t="s">
        <v>159</v>
      </c>
      <c r="P3" s="15" t="s">
        <v>160</v>
      </c>
      <c r="Q3" s="15" t="s">
        <v>161</v>
      </c>
      <c r="R3" s="15" t="s">
        <v>162</v>
      </c>
      <c r="S3" s="15" t="s">
        <v>163</v>
      </c>
      <c r="T3" s="15" t="s">
        <v>162</v>
      </c>
      <c r="U3" s="15" t="s">
        <v>163</v>
      </c>
      <c r="V3" s="15" t="s">
        <v>159</v>
      </c>
      <c r="W3" s="15" t="s">
        <v>160</v>
      </c>
      <c r="X3" s="15" t="s">
        <v>161</v>
      </c>
      <c r="Y3" s="15" t="s">
        <v>162</v>
      </c>
      <c r="Z3" s="15" t="s">
        <v>163</v>
      </c>
      <c r="AA3" s="15" t="s">
        <v>162</v>
      </c>
      <c r="AB3" s="15" t="s">
        <v>163</v>
      </c>
      <c r="AC3" s="15" t="s">
        <v>159</v>
      </c>
      <c r="AD3" s="15" t="s">
        <v>160</v>
      </c>
      <c r="AE3" s="15" t="s">
        <v>161</v>
      </c>
      <c r="AF3" s="15" t="s">
        <v>162</v>
      </c>
      <c r="AG3" s="15" t="s">
        <v>163</v>
      </c>
      <c r="AH3" s="15" t="s">
        <v>162</v>
      </c>
      <c r="AI3" s="15" t="s">
        <v>163</v>
      </c>
      <c r="AJ3" s="15" t="s">
        <v>159</v>
      </c>
      <c r="AK3" s="15" t="s">
        <v>160</v>
      </c>
      <c r="AL3" s="15" t="s">
        <v>161</v>
      </c>
      <c r="AM3" s="15" t="s">
        <v>162</v>
      </c>
      <c r="AN3" s="15" t="s">
        <v>163</v>
      </c>
      <c r="AO3" s="15" t="s">
        <v>162</v>
      </c>
      <c r="AP3" s="15" t="s">
        <v>163</v>
      </c>
      <c r="AQ3" s="15" t="s">
        <v>159</v>
      </c>
      <c r="AR3" s="15" t="s">
        <v>160</v>
      </c>
      <c r="AS3" s="15" t="s">
        <v>161</v>
      </c>
      <c r="AT3" s="15" t="s">
        <v>162</v>
      </c>
      <c r="AU3" s="15" t="s">
        <v>163</v>
      </c>
      <c r="AV3" s="15" t="s">
        <v>162</v>
      </c>
      <c r="AW3" s="15" t="s">
        <v>163</v>
      </c>
      <c r="AX3" s="15" t="s">
        <v>159</v>
      </c>
      <c r="AY3" s="15" t="s">
        <v>160</v>
      </c>
      <c r="AZ3" s="15" t="s">
        <v>161</v>
      </c>
      <c r="BA3" s="15" t="s">
        <v>162</v>
      </c>
      <c r="BB3" s="15" t="s">
        <v>163</v>
      </c>
      <c r="BC3" s="15" t="s">
        <v>162</v>
      </c>
      <c r="BD3" s="15" t="s">
        <v>163</v>
      </c>
      <c r="BE3" s="15" t="s">
        <v>159</v>
      </c>
      <c r="BF3" s="15" t="s">
        <v>160</v>
      </c>
      <c r="BG3" s="15" t="s">
        <v>161</v>
      </c>
      <c r="BH3" s="15" t="s">
        <v>162</v>
      </c>
      <c r="BI3" s="15" t="s">
        <v>163</v>
      </c>
      <c r="BJ3" s="15" t="s">
        <v>162</v>
      </c>
      <c r="BK3" s="15" t="s">
        <v>163</v>
      </c>
      <c r="BL3" s="15" t="s">
        <v>159</v>
      </c>
      <c r="BM3" s="15" t="s">
        <v>160</v>
      </c>
      <c r="BN3" s="15" t="s">
        <v>161</v>
      </c>
      <c r="BO3" s="15" t="s">
        <v>162</v>
      </c>
      <c r="BP3" s="15" t="s">
        <v>163</v>
      </c>
      <c r="BQ3" s="15" t="s">
        <v>162</v>
      </c>
      <c r="BR3" s="15" t="s">
        <v>163</v>
      </c>
      <c r="BS3" s="15" t="s">
        <v>159</v>
      </c>
      <c r="BT3" s="15" t="s">
        <v>160</v>
      </c>
      <c r="BU3" s="15" t="s">
        <v>161</v>
      </c>
      <c r="BV3" s="15" t="s">
        <v>162</v>
      </c>
      <c r="BW3" s="15" t="s">
        <v>163</v>
      </c>
      <c r="BX3" s="15" t="s">
        <v>162</v>
      </c>
      <c r="BY3" s="15" t="s">
        <v>163</v>
      </c>
      <c r="BZ3" s="15" t="s">
        <v>159</v>
      </c>
      <c r="CA3" s="15" t="s">
        <v>160</v>
      </c>
      <c r="CB3" s="15" t="s">
        <v>161</v>
      </c>
      <c r="CC3" s="15" t="s">
        <v>162</v>
      </c>
      <c r="CD3" s="15" t="s">
        <v>163</v>
      </c>
      <c r="CE3" s="15" t="s">
        <v>162</v>
      </c>
      <c r="CF3" s="15" t="s">
        <v>163</v>
      </c>
    </row>
    <row r="4" spans="1:84" x14ac:dyDescent="0.25">
      <c r="A4" s="4" t="s">
        <v>164</v>
      </c>
      <c r="B4" s="4">
        <f>COUNTIFS(tblAdmissions[Month],1,tblAdmissions[AgeUnit],"Days",tblAdmissions[Age],"&gt;="&amp;0,tblAdmissions[Age],"&lt;="&amp;28,tblAdmissions[Sex],"M")</f>
        <v>19</v>
      </c>
      <c r="C4" s="4">
        <f>COUNTIFS(tblAdmissions[Month],1,tblAdmissions[AgeUnit],"Days",tblAdmissions[Age],"&gt;="&amp;0,tblAdmissions[Age],"&lt;="&amp;28,tblAdmissions[Sex],"F")</f>
        <v>16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19</v>
      </c>
      <c r="G4" s="4">
        <f>COUNTIFS(tblAdmissions[Month],1,tblAdmissions[AgeUnit],"Days",tblAdmissions[Age],"&gt;="&amp;0,tblAdmissions[Age],"&lt;="&amp;28,tblAdmissions[Sex],"F",tblAdmissions[NHIS],"Insured")</f>
        <v>16</v>
      </c>
      <c r="H4" s="4" t="s">
        <v>164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164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164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164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164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164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164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164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164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164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164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165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165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165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165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165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165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165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165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165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165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165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165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166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1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1</v>
      </c>
      <c r="H6" s="4" t="s">
        <v>166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166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166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166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166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166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166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166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166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166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166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167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167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167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167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167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167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167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167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167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167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167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167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168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2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2</v>
      </c>
      <c r="H8" s="4" t="s">
        <v>168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168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168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168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168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168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168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168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168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168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168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169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6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6</v>
      </c>
      <c r="H9" s="4" t="s">
        <v>169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169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169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169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169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169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169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169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169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169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169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170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8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8</v>
      </c>
      <c r="H10" s="4" t="s">
        <v>170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170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170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170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170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170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170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170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170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170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170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171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80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80</v>
      </c>
      <c r="H11" s="4" t="s">
        <v>171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171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171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171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171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171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171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171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171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171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171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172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33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33</v>
      </c>
      <c r="H12" s="4" t="s">
        <v>172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172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172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172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172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172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172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172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172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172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172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173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173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173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173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173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173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173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173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173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173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173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173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174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174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174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174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174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174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174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174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174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174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174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174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175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175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175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175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175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175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175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175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175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175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175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175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176</v>
      </c>
      <c r="B16" s="9">
        <f t="shared" ref="B16:G16" si="0">SUM(B4:B15)</f>
        <v>19</v>
      </c>
      <c r="C16" s="9">
        <f t="shared" si="0"/>
        <v>146</v>
      </c>
      <c r="D16" s="9">
        <f t="shared" si="0"/>
        <v>0</v>
      </c>
      <c r="E16" s="9">
        <f t="shared" si="0"/>
        <v>0</v>
      </c>
      <c r="F16" s="9">
        <f t="shared" si="0"/>
        <v>19</v>
      </c>
      <c r="G16" s="9">
        <f t="shared" si="0"/>
        <v>146</v>
      </c>
      <c r="H16" s="9" t="s">
        <v>176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176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176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176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176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176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176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176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176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176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176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7" t="s">
        <v>177</v>
      </c>
      <c r="B1" s="29"/>
      <c r="C1" s="29"/>
      <c r="D1" s="29"/>
      <c r="E1" s="29"/>
      <c r="F1" s="29"/>
      <c r="G1" s="29"/>
      <c r="H1" s="29"/>
    </row>
    <row r="2" spans="1:8" x14ac:dyDescent="0.25">
      <c r="A2" s="3" t="s">
        <v>178</v>
      </c>
      <c r="B2" s="3" t="s">
        <v>179</v>
      </c>
      <c r="C2" s="3" t="s">
        <v>180</v>
      </c>
      <c r="D2" s="3" t="s">
        <v>181</v>
      </c>
      <c r="E2" s="3" t="s">
        <v>86</v>
      </c>
      <c r="F2" s="3" t="s">
        <v>88</v>
      </c>
      <c r="G2" s="3" t="s">
        <v>182</v>
      </c>
      <c r="H2" s="3" t="s">
        <v>89</v>
      </c>
    </row>
    <row r="43" spans="1:8" ht="15.75" x14ac:dyDescent="0.25">
      <c r="A43" s="37" t="s">
        <v>183</v>
      </c>
      <c r="B43" s="29"/>
      <c r="C43" s="29"/>
      <c r="D43" s="29"/>
      <c r="E43" s="29"/>
      <c r="F43" s="29"/>
      <c r="G43" s="29"/>
      <c r="H43" s="29"/>
    </row>
    <row r="44" spans="1:8" x14ac:dyDescent="0.25">
      <c r="A44" s="3" t="s">
        <v>178</v>
      </c>
      <c r="B44" s="3" t="s">
        <v>179</v>
      </c>
      <c r="C44" s="3" t="s">
        <v>180</v>
      </c>
      <c r="D44" s="3" t="s">
        <v>181</v>
      </c>
      <c r="E44" s="3" t="s">
        <v>86</v>
      </c>
      <c r="F44" s="3" t="s">
        <v>88</v>
      </c>
      <c r="G44" s="3" t="s">
        <v>182</v>
      </c>
      <c r="H44" s="3" t="s">
        <v>89</v>
      </c>
    </row>
    <row r="85" spans="1:8" ht="15.75" x14ac:dyDescent="0.25">
      <c r="A85" s="37" t="s">
        <v>184</v>
      </c>
      <c r="B85" s="29"/>
      <c r="C85" s="29"/>
      <c r="D85" s="29"/>
      <c r="E85" s="29"/>
      <c r="F85" s="29"/>
      <c r="G85" s="29"/>
      <c r="H85" s="29"/>
    </row>
    <row r="86" spans="1:8" x14ac:dyDescent="0.25">
      <c r="A86" s="3" t="s">
        <v>178</v>
      </c>
      <c r="B86" s="3" t="s">
        <v>179</v>
      </c>
      <c r="C86" s="3" t="s">
        <v>180</v>
      </c>
      <c r="D86" s="3" t="s">
        <v>181</v>
      </c>
      <c r="E86" s="3" t="s">
        <v>86</v>
      </c>
      <c r="F86" s="3" t="s">
        <v>88</v>
      </c>
      <c r="G86" s="3" t="s">
        <v>182</v>
      </c>
      <c r="H86" s="3" t="s">
        <v>89</v>
      </c>
    </row>
    <row r="127" spans="1:8" ht="15.75" x14ac:dyDescent="0.25">
      <c r="A127" s="37" t="s">
        <v>185</v>
      </c>
      <c r="B127" s="29"/>
      <c r="C127" s="29"/>
      <c r="D127" s="29"/>
      <c r="E127" s="29"/>
      <c r="F127" s="29"/>
      <c r="G127" s="29"/>
      <c r="H127" s="29"/>
    </row>
    <row r="128" spans="1:8" x14ac:dyDescent="0.25">
      <c r="A128" s="3" t="s">
        <v>178</v>
      </c>
      <c r="B128" s="3" t="s">
        <v>179</v>
      </c>
      <c r="C128" s="3" t="s">
        <v>180</v>
      </c>
      <c r="D128" s="3" t="s">
        <v>181</v>
      </c>
      <c r="E128" s="3" t="s">
        <v>86</v>
      </c>
      <c r="F128" s="3" t="s">
        <v>88</v>
      </c>
      <c r="G128" s="3" t="s">
        <v>182</v>
      </c>
      <c r="H128" s="3" t="s">
        <v>89</v>
      </c>
    </row>
    <row r="169" spans="1:8" ht="15.75" x14ac:dyDescent="0.25">
      <c r="A169" s="37" t="s">
        <v>186</v>
      </c>
      <c r="B169" s="29"/>
      <c r="C169" s="29"/>
      <c r="D169" s="29"/>
      <c r="E169" s="29"/>
      <c r="F169" s="29"/>
      <c r="G169" s="29"/>
      <c r="H169" s="29"/>
    </row>
    <row r="170" spans="1:8" x14ac:dyDescent="0.25">
      <c r="A170" s="3" t="s">
        <v>178</v>
      </c>
      <c r="B170" s="3" t="s">
        <v>179</v>
      </c>
      <c r="C170" s="3" t="s">
        <v>180</v>
      </c>
      <c r="D170" s="3" t="s">
        <v>181</v>
      </c>
      <c r="E170" s="3" t="s">
        <v>86</v>
      </c>
      <c r="F170" s="3" t="s">
        <v>88</v>
      </c>
      <c r="G170" s="3" t="s">
        <v>182</v>
      </c>
      <c r="H170" s="3" t="s">
        <v>89</v>
      </c>
    </row>
    <row r="211" spans="1:8" ht="15.75" x14ac:dyDescent="0.25">
      <c r="A211" s="37" t="s">
        <v>187</v>
      </c>
      <c r="B211" s="29"/>
      <c r="C211" s="29"/>
      <c r="D211" s="29"/>
      <c r="E211" s="29"/>
      <c r="F211" s="29"/>
      <c r="G211" s="29"/>
      <c r="H211" s="29"/>
    </row>
    <row r="212" spans="1:8" x14ac:dyDescent="0.25">
      <c r="A212" s="3" t="s">
        <v>178</v>
      </c>
      <c r="B212" s="3" t="s">
        <v>179</v>
      </c>
      <c r="C212" s="3" t="s">
        <v>180</v>
      </c>
      <c r="D212" s="3" t="s">
        <v>181</v>
      </c>
      <c r="E212" s="3" t="s">
        <v>86</v>
      </c>
      <c r="F212" s="3" t="s">
        <v>88</v>
      </c>
      <c r="G212" s="3" t="s">
        <v>182</v>
      </c>
      <c r="H212" s="3" t="s">
        <v>89</v>
      </c>
    </row>
    <row r="253" spans="1:8" ht="15.75" x14ac:dyDescent="0.25">
      <c r="A253" s="37" t="s">
        <v>188</v>
      </c>
      <c r="B253" s="29"/>
      <c r="C253" s="29"/>
      <c r="D253" s="29"/>
      <c r="E253" s="29"/>
      <c r="F253" s="29"/>
      <c r="G253" s="29"/>
      <c r="H253" s="29"/>
    </row>
    <row r="254" spans="1:8" x14ac:dyDescent="0.25">
      <c r="A254" s="3" t="s">
        <v>178</v>
      </c>
      <c r="B254" s="3" t="s">
        <v>179</v>
      </c>
      <c r="C254" s="3" t="s">
        <v>180</v>
      </c>
      <c r="D254" s="3" t="s">
        <v>181</v>
      </c>
      <c r="E254" s="3" t="s">
        <v>86</v>
      </c>
      <c r="F254" s="3" t="s">
        <v>88</v>
      </c>
      <c r="G254" s="3" t="s">
        <v>182</v>
      </c>
      <c r="H254" s="3" t="s">
        <v>89</v>
      </c>
    </row>
    <row r="295" spans="1:8" ht="15.75" x14ac:dyDescent="0.25">
      <c r="A295" s="37" t="s">
        <v>189</v>
      </c>
      <c r="B295" s="29"/>
      <c r="C295" s="29"/>
      <c r="D295" s="29"/>
      <c r="E295" s="29"/>
      <c r="F295" s="29"/>
      <c r="G295" s="29"/>
      <c r="H295" s="29"/>
    </row>
    <row r="296" spans="1:8" x14ac:dyDescent="0.25">
      <c r="A296" s="3" t="s">
        <v>178</v>
      </c>
      <c r="B296" s="3" t="s">
        <v>179</v>
      </c>
      <c r="C296" s="3" t="s">
        <v>180</v>
      </c>
      <c r="D296" s="3" t="s">
        <v>181</v>
      </c>
      <c r="E296" s="3" t="s">
        <v>86</v>
      </c>
      <c r="F296" s="3" t="s">
        <v>88</v>
      </c>
      <c r="G296" s="3" t="s">
        <v>182</v>
      </c>
      <c r="H296" s="3" t="s">
        <v>89</v>
      </c>
    </row>
    <row r="337" spans="1:8" ht="15.75" x14ac:dyDescent="0.25">
      <c r="A337" s="37" t="s">
        <v>190</v>
      </c>
      <c r="B337" s="29"/>
      <c r="C337" s="29"/>
      <c r="D337" s="29"/>
      <c r="E337" s="29"/>
      <c r="F337" s="29"/>
      <c r="G337" s="29"/>
      <c r="H337" s="29"/>
    </row>
    <row r="338" spans="1:8" x14ac:dyDescent="0.25">
      <c r="A338" s="3" t="s">
        <v>178</v>
      </c>
      <c r="B338" s="3" t="s">
        <v>179</v>
      </c>
      <c r="C338" s="3" t="s">
        <v>180</v>
      </c>
      <c r="D338" s="3" t="s">
        <v>181</v>
      </c>
      <c r="E338" s="3" t="s">
        <v>86</v>
      </c>
      <c r="F338" s="3" t="s">
        <v>88</v>
      </c>
      <c r="G338" s="3" t="s">
        <v>182</v>
      </c>
      <c r="H338" s="3" t="s">
        <v>89</v>
      </c>
    </row>
    <row r="379" spans="1:8" ht="15.75" x14ac:dyDescent="0.25">
      <c r="A379" s="37" t="s">
        <v>191</v>
      </c>
      <c r="B379" s="29"/>
      <c r="C379" s="29"/>
      <c r="D379" s="29"/>
      <c r="E379" s="29"/>
      <c r="F379" s="29"/>
      <c r="G379" s="29"/>
      <c r="H379" s="29"/>
    </row>
    <row r="380" spans="1:8" x14ac:dyDescent="0.25">
      <c r="A380" s="3" t="s">
        <v>178</v>
      </c>
      <c r="B380" s="3" t="s">
        <v>179</v>
      </c>
      <c r="C380" s="3" t="s">
        <v>180</v>
      </c>
      <c r="D380" s="3" t="s">
        <v>181</v>
      </c>
      <c r="E380" s="3" t="s">
        <v>86</v>
      </c>
      <c r="F380" s="3" t="s">
        <v>88</v>
      </c>
      <c r="G380" s="3" t="s">
        <v>182</v>
      </c>
      <c r="H380" s="3" t="s">
        <v>89</v>
      </c>
    </row>
    <row r="421" spans="1:8" ht="15.75" x14ac:dyDescent="0.25">
      <c r="A421" s="37" t="s">
        <v>192</v>
      </c>
      <c r="B421" s="29"/>
      <c r="C421" s="29"/>
      <c r="D421" s="29"/>
      <c r="E421" s="29"/>
      <c r="F421" s="29"/>
      <c r="G421" s="29"/>
      <c r="H421" s="29"/>
    </row>
    <row r="422" spans="1:8" x14ac:dyDescent="0.25">
      <c r="A422" s="3" t="s">
        <v>178</v>
      </c>
      <c r="B422" s="3" t="s">
        <v>179</v>
      </c>
      <c r="C422" s="3" t="s">
        <v>180</v>
      </c>
      <c r="D422" s="3" t="s">
        <v>181</v>
      </c>
      <c r="E422" s="3" t="s">
        <v>86</v>
      </c>
      <c r="F422" s="3" t="s">
        <v>88</v>
      </c>
      <c r="G422" s="3" t="s">
        <v>182</v>
      </c>
      <c r="H422" s="3" t="s">
        <v>89</v>
      </c>
    </row>
    <row r="463" spans="1:8" ht="15.75" x14ac:dyDescent="0.25">
      <c r="A463" s="37" t="s">
        <v>193</v>
      </c>
      <c r="B463" s="29"/>
      <c r="C463" s="29"/>
      <c r="D463" s="29"/>
      <c r="E463" s="29"/>
      <c r="F463" s="29"/>
      <c r="G463" s="29"/>
      <c r="H463" s="29"/>
    </row>
    <row r="464" spans="1:8" x14ac:dyDescent="0.25">
      <c r="A464" s="3" t="s">
        <v>178</v>
      </c>
      <c r="B464" s="3" t="s">
        <v>179</v>
      </c>
      <c r="C464" s="3" t="s">
        <v>180</v>
      </c>
      <c r="D464" s="3" t="s">
        <v>181</v>
      </c>
      <c r="E464" s="3" t="s">
        <v>86</v>
      </c>
      <c r="F464" s="3" t="s">
        <v>88</v>
      </c>
      <c r="G464" s="3" t="s">
        <v>182</v>
      </c>
      <c r="H464" s="3" t="s">
        <v>89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3" t="s">
        <v>194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25">
      <c r="A2" s="3" t="s">
        <v>195</v>
      </c>
      <c r="B2" s="3" t="s">
        <v>59</v>
      </c>
      <c r="C2" s="3" t="s">
        <v>60</v>
      </c>
      <c r="D2" s="3" t="s">
        <v>61</v>
      </c>
      <c r="E2" s="3" t="s">
        <v>62</v>
      </c>
      <c r="F2" s="3" t="s">
        <v>63</v>
      </c>
      <c r="G2" s="3" t="s">
        <v>64</v>
      </c>
      <c r="H2" s="3" t="s">
        <v>65</v>
      </c>
      <c r="I2" s="3" t="s">
        <v>66</v>
      </c>
      <c r="J2" s="3" t="s">
        <v>67</v>
      </c>
      <c r="K2" s="3" t="s">
        <v>68</v>
      </c>
      <c r="L2" s="3" t="s">
        <v>69</v>
      </c>
      <c r="M2" s="3" t="s">
        <v>70</v>
      </c>
      <c r="N2" s="3" t="s">
        <v>111</v>
      </c>
    </row>
    <row r="3" spans="1:14" x14ac:dyDescent="0.25">
      <c r="A3" s="2" t="s">
        <v>196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3" t="s">
        <v>197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16" ht="51" x14ac:dyDescent="0.25">
      <c r="A3" s="8" t="s">
        <v>131</v>
      </c>
      <c r="B3" s="8" t="s">
        <v>198</v>
      </c>
      <c r="C3" s="8" t="s">
        <v>133</v>
      </c>
      <c r="D3" s="8" t="s">
        <v>73</v>
      </c>
      <c r="E3" s="8" t="s">
        <v>74</v>
      </c>
      <c r="F3" s="8" t="s">
        <v>75</v>
      </c>
      <c r="G3" s="8" t="s">
        <v>107</v>
      </c>
      <c r="H3" s="8" t="s">
        <v>134</v>
      </c>
      <c r="I3" s="8" t="s">
        <v>135</v>
      </c>
      <c r="J3" s="8" t="s">
        <v>136</v>
      </c>
      <c r="K3" s="8" t="s">
        <v>137</v>
      </c>
      <c r="L3" s="8" t="s">
        <v>138</v>
      </c>
      <c r="M3" s="8" t="s">
        <v>139</v>
      </c>
      <c r="N3" s="8" t="s">
        <v>140</v>
      </c>
      <c r="O3" s="8" t="s">
        <v>141</v>
      </c>
      <c r="P3" s="8" t="s">
        <v>142</v>
      </c>
    </row>
    <row r="4" spans="1:16" x14ac:dyDescent="0.25">
      <c r="A4" s="22" t="s">
        <v>30</v>
      </c>
      <c r="B4" s="23">
        <f>IFERROR(INDEX(tblWardConfig[PrevYearRemaining],MATCH("MW",tblWardConfig[WardCode],0)),0)</f>
        <v>25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97</v>
      </c>
      <c r="E4" s="24">
        <f>SUMIFS(tblDaily[Discharges],tblDaily[WardCode],"MW")</f>
        <v>141</v>
      </c>
      <c r="F4" s="24">
        <f>SUMIFS(tblDaily[Deaths],tblDaily[WardCode],"MW")</f>
        <v>19</v>
      </c>
      <c r="G4" s="24">
        <f>SUMIFS(tblDaily[DeathsUnder24Hrs],tblDaily[WardCode],"MW")</f>
        <v>0</v>
      </c>
      <c r="H4" s="24">
        <f>SUMIFS(tblDaily[Remaining],tblDaily[WardCode],"MW")</f>
        <v>902</v>
      </c>
      <c r="I4" s="24">
        <f>SUMIFS(tblDaily[TransfersIn],tblDaily[WardCode],"MW")</f>
        <v>57</v>
      </c>
      <c r="J4" s="24">
        <f>SUMIFS(tblDaily[TransfersOut],tblDaily[WardCode],"MW")</f>
        <v>0</v>
      </c>
      <c r="K4" s="25">
        <f t="shared" ref="K4:K12" si="0">IFERROR(H4/365,0)</f>
        <v>2.4712328767123286</v>
      </c>
      <c r="L4" s="25">
        <f t="shared" ref="L4:L12" si="1">IFERROR(H4/(E4+F4),0)</f>
        <v>5.6375000000000002</v>
      </c>
      <c r="M4" s="25">
        <f t="shared" ref="M4:M12" si="2">IFERROR((C4*365-H4)/(E4+F4),0)</f>
        <v>67.362499999999997</v>
      </c>
      <c r="N4" s="25">
        <f t="shared" ref="N4:N12" si="3">IFERROR((E4+F4)/C4,0)</f>
        <v>5</v>
      </c>
      <c r="O4" s="25">
        <f t="shared" ref="O4:O12" si="4">IFERROR((H4/(C4*365))*100,0)</f>
        <v>7.7226027397260273</v>
      </c>
      <c r="P4" s="25">
        <f t="shared" ref="P4:P12" si="5">IFERROR((F4/(D4+B4))*100,0)</f>
        <v>15.573770491803279</v>
      </c>
    </row>
    <row r="5" spans="1:16" x14ac:dyDescent="0.25">
      <c r="A5" s="22" t="s">
        <v>32</v>
      </c>
      <c r="B5" s="23">
        <f>IFERROR(INDEX(tblWardConfig[PrevYearRemaining],MATCH("FW",tblWardConfig[WardCode],0)),0)</f>
        <v>16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83</v>
      </c>
      <c r="E5" s="24">
        <f>SUMIFS(tblDaily[Discharges],tblDaily[WardCode],"FW")</f>
        <v>102</v>
      </c>
      <c r="F5" s="24">
        <f>SUMIFS(tblDaily[Deaths],tblDaily[WardCode],"FW")</f>
        <v>10</v>
      </c>
      <c r="G5" s="24">
        <f>SUMIFS(tblDaily[DeathsUnder24Hrs],tblDaily[WardCode],"FW")</f>
        <v>0</v>
      </c>
      <c r="H5" s="24">
        <f>SUMIFS(tblDaily[Remaining],tblDaily[WardCode],"FW")</f>
        <v>555</v>
      </c>
      <c r="I5" s="24">
        <f>SUMIFS(tblDaily[TransfersIn],tblDaily[WardCode],"FW")</f>
        <v>28</v>
      </c>
      <c r="J5" s="24">
        <f>SUMIFS(tblDaily[TransfersOut],tblDaily[WardCode],"FW")</f>
        <v>0</v>
      </c>
      <c r="K5" s="25">
        <f t="shared" si="0"/>
        <v>1.5205479452054795</v>
      </c>
      <c r="L5" s="25">
        <f t="shared" si="1"/>
        <v>4.9553571428571432</v>
      </c>
      <c r="M5" s="25">
        <f t="shared" si="2"/>
        <v>86.294642857142861</v>
      </c>
      <c r="N5" s="25">
        <f t="shared" si="3"/>
        <v>4</v>
      </c>
      <c r="O5" s="25">
        <f t="shared" si="4"/>
        <v>5.4305283757338545</v>
      </c>
      <c r="P5" s="25">
        <f t="shared" si="5"/>
        <v>10.1010101010101</v>
      </c>
    </row>
    <row r="6" spans="1:16" x14ac:dyDescent="0.25">
      <c r="A6" s="22" t="s">
        <v>34</v>
      </c>
      <c r="B6" s="23">
        <f>IFERROR(INDEX(tblWardConfig[PrevYearRemaining],MATCH("CW",tblWardConfig[WardCode],0)),0)</f>
        <v>7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80</v>
      </c>
      <c r="E6" s="24">
        <f>SUMIFS(tblDaily[Discharges],tblDaily[WardCode],"CW")</f>
        <v>80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309</v>
      </c>
      <c r="I6" s="24">
        <f>SUMIFS(tblDaily[TransfersIn],tblDaily[WardCode],"CW")</f>
        <v>5</v>
      </c>
      <c r="J6" s="24">
        <f>SUMIFS(tblDaily[TransfersOut],tblDaily[WardCode],"CW")</f>
        <v>0</v>
      </c>
      <c r="K6" s="25">
        <f t="shared" si="0"/>
        <v>0.84657534246575339</v>
      </c>
      <c r="L6" s="25">
        <f t="shared" si="1"/>
        <v>3.8624999999999998</v>
      </c>
      <c r="M6" s="25">
        <f t="shared" si="2"/>
        <v>119.325</v>
      </c>
      <c r="N6" s="25">
        <f t="shared" si="3"/>
        <v>2.9629629629629628</v>
      </c>
      <c r="O6" s="25">
        <f t="shared" si="4"/>
        <v>3.1354642313546419</v>
      </c>
      <c r="P6" s="25">
        <f t="shared" si="5"/>
        <v>0</v>
      </c>
    </row>
    <row r="7" spans="1:16" x14ac:dyDescent="0.25">
      <c r="A7" s="22" t="s">
        <v>36</v>
      </c>
      <c r="B7" s="23">
        <f>IFERROR(INDEX(tblWardConfig[PrevYearRemaining],MATCH("BF",tblWardConfig[WardCode],0)),0)</f>
        <v>9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65</v>
      </c>
      <c r="E7" s="24">
        <f>SUMIFS(tblDaily[Discharges],tblDaily[WardCode],"BF")</f>
        <v>66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209</v>
      </c>
      <c r="I7" s="24">
        <f>SUMIFS(tblDaily[TransfersIn],tblDaily[WardCode],"BF")</f>
        <v>1</v>
      </c>
      <c r="J7" s="24">
        <f>SUMIFS(tblDaily[TransfersOut],tblDaily[WardCode],"BF")</f>
        <v>1</v>
      </c>
      <c r="K7" s="25">
        <f t="shared" si="0"/>
        <v>0.57260273972602738</v>
      </c>
      <c r="L7" s="25">
        <f t="shared" si="1"/>
        <v>3.1666666666666665</v>
      </c>
      <c r="M7" s="25">
        <f t="shared" si="2"/>
        <v>107.43939393939394</v>
      </c>
      <c r="N7" s="25">
        <f t="shared" si="3"/>
        <v>3.3</v>
      </c>
      <c r="O7" s="25">
        <f t="shared" si="4"/>
        <v>2.8630136986301369</v>
      </c>
      <c r="P7" s="25">
        <f t="shared" si="5"/>
        <v>0</v>
      </c>
    </row>
    <row r="8" spans="1:16" x14ac:dyDescent="0.25">
      <c r="A8" s="22" t="s">
        <v>38</v>
      </c>
      <c r="B8" s="23">
        <f>IFERROR(INDEX(tblWardConfig[PrevYearRemaining],MATCH("BG",tblWardConfig[WardCode],0)),0)</f>
        <v>9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125</v>
      </c>
      <c r="E8" s="24">
        <f>SUMIFS(tblDaily[Discharges],tblDaily[WardCode],"BG")</f>
        <v>122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354</v>
      </c>
      <c r="I8" s="24">
        <f>SUMIFS(tblDaily[TransfersIn],tblDaily[WardCode],"BG")</f>
        <v>27</v>
      </c>
      <c r="J8" s="24">
        <f>SUMIFS(tblDaily[TransfersOut],tblDaily[WardCode],"BG")</f>
        <v>27</v>
      </c>
      <c r="K8" s="25">
        <f t="shared" si="0"/>
        <v>0.96986301369863015</v>
      </c>
      <c r="L8" s="25">
        <f t="shared" si="1"/>
        <v>2.901639344262295</v>
      </c>
      <c r="M8" s="25">
        <f t="shared" si="2"/>
        <v>38.983606557377051</v>
      </c>
      <c r="N8" s="25">
        <f t="shared" si="3"/>
        <v>8.7142857142857135</v>
      </c>
      <c r="O8" s="25">
        <f t="shared" si="4"/>
        <v>6.9275929549902155</v>
      </c>
      <c r="P8" s="25">
        <f t="shared" si="5"/>
        <v>0</v>
      </c>
    </row>
    <row r="9" spans="1:16" x14ac:dyDescent="0.25">
      <c r="A9" s="22" t="s">
        <v>40</v>
      </c>
      <c r="B9" s="23">
        <f>IFERROR(INDEX(tblWardConfig[PrevYearRemaining],MATCH("BH",tblWardConfig[WardCode],0)),0)</f>
        <v>12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74</v>
      </c>
      <c r="E9" s="24">
        <f>SUMIFS(tblDaily[Discharges],tblDaily[WardCode],"BH")</f>
        <v>81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376</v>
      </c>
      <c r="I9" s="24">
        <f>SUMIFS(tblDaily[TransfersIn],tblDaily[WardCode],"BH")</f>
        <v>28</v>
      </c>
      <c r="J9" s="24">
        <f>SUMIFS(tblDaily[TransfersOut],tblDaily[WardCode],"BH")</f>
        <v>26</v>
      </c>
      <c r="K9" s="25">
        <f t="shared" si="0"/>
        <v>1.0301369863013699</v>
      </c>
      <c r="L9" s="25">
        <f t="shared" si="1"/>
        <v>4.6419753086419755</v>
      </c>
      <c r="M9" s="25">
        <f t="shared" si="2"/>
        <v>94.493827160493822</v>
      </c>
      <c r="N9" s="25">
        <f t="shared" si="3"/>
        <v>3.6818181818181817</v>
      </c>
      <c r="O9" s="25">
        <f t="shared" si="4"/>
        <v>4.6824408468244085</v>
      </c>
      <c r="P9" s="25">
        <f t="shared" si="5"/>
        <v>0</v>
      </c>
    </row>
    <row r="10" spans="1:16" x14ac:dyDescent="0.25">
      <c r="A10" s="22" t="s">
        <v>42</v>
      </c>
      <c r="B10" s="23">
        <f>IFERROR(INDEX(tblWardConfig[PrevYearRemaining],MATCH("NICU",tblWardConfig[WardCode],0)),0)</f>
        <v>14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47</v>
      </c>
      <c r="E10" s="24">
        <f>SUMIFS(tblDaily[Discharges],tblDaily[WardCode],"NICU")</f>
        <v>50</v>
      </c>
      <c r="F10" s="24">
        <f>SUMIFS(tblDaily[Deaths],tblDaily[WardCode],"NICU")</f>
        <v>8</v>
      </c>
      <c r="G10" s="24">
        <f>SUMIFS(tblDaily[DeathsUnder24Hrs],tblDaily[WardCode],"NICU")</f>
        <v>0</v>
      </c>
      <c r="H10" s="24">
        <f>SUMIFS(tblDaily[Remaining],tblDaily[WardCode],"NICU")</f>
        <v>418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1.1452054794520548</v>
      </c>
      <c r="L10" s="25">
        <f t="shared" si="1"/>
        <v>7.2068965517241379</v>
      </c>
      <c r="M10" s="25">
        <f t="shared" si="2"/>
        <v>87.189655172413794</v>
      </c>
      <c r="N10" s="25">
        <f t="shared" si="3"/>
        <v>3.8666666666666667</v>
      </c>
      <c r="O10" s="25">
        <f t="shared" si="4"/>
        <v>7.6347031963470311</v>
      </c>
      <c r="P10" s="25">
        <f t="shared" si="5"/>
        <v>13.114754098360656</v>
      </c>
    </row>
    <row r="11" spans="1:16" x14ac:dyDescent="0.25">
      <c r="A11" s="22" t="s">
        <v>44</v>
      </c>
      <c r="B11" s="23">
        <f>IFERROR(INDEX(tblWardConfig[PrevYearRemaining],MATCH("MAE",tblWardConfig[WardCode],0)),0)</f>
        <v>9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89</v>
      </c>
      <c r="E11" s="24">
        <f>SUMIFS(tblDaily[Discharges],tblDaily[WardCode],"MAE")</f>
        <v>46</v>
      </c>
      <c r="F11" s="24">
        <f>SUMIFS(tblDaily[Deaths],tblDaily[WardCode],"MAE")</f>
        <v>4</v>
      </c>
      <c r="G11" s="24">
        <f>SUMIFS(tblDaily[DeathsUnder24Hrs],tblDaily[WardCode],"MAE")</f>
        <v>5</v>
      </c>
      <c r="H11" s="24">
        <f>SUMIFS(tblDaily[Remaining],tblDaily[WardCode],"MAE")</f>
        <v>151</v>
      </c>
      <c r="I11" s="24">
        <f>SUMIFS(tblDaily[TransfersIn],tblDaily[WardCode],"MAE")</f>
        <v>2</v>
      </c>
      <c r="J11" s="24">
        <f>SUMIFS(tblDaily[TransfersOut],tblDaily[WardCode],"MAE")</f>
        <v>47</v>
      </c>
      <c r="K11" s="25">
        <f t="shared" si="0"/>
        <v>0.41369863013698632</v>
      </c>
      <c r="L11" s="25">
        <f t="shared" si="1"/>
        <v>3.02</v>
      </c>
      <c r="M11" s="25">
        <f t="shared" si="2"/>
        <v>69.98</v>
      </c>
      <c r="N11" s="25">
        <f t="shared" si="3"/>
        <v>5</v>
      </c>
      <c r="O11" s="25">
        <f t="shared" si="4"/>
        <v>4.1369863013698636</v>
      </c>
      <c r="P11" s="25">
        <f t="shared" si="5"/>
        <v>4.0816326530612246</v>
      </c>
    </row>
    <row r="12" spans="1:16" x14ac:dyDescent="0.25">
      <c r="A12" s="22" t="s">
        <v>46</v>
      </c>
      <c r="B12" s="23">
        <f>IFERROR(INDEX(tblWardConfig[PrevYearRemaining],MATCH("FAE",tblWardConfig[WardCode],0)),0)</f>
        <v>1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46</v>
      </c>
      <c r="E12" s="24">
        <f>SUMIFS(tblDaily[Discharges],tblDaily[WardCode],"FAE")</f>
        <v>13</v>
      </c>
      <c r="F12" s="24">
        <f>SUMIFS(tblDaily[Deaths],tblDaily[WardCode],"FAE")</f>
        <v>0</v>
      </c>
      <c r="G12" s="24">
        <f>SUMIFS(tblDaily[DeathsUnder24Hrs],tblDaily[WardCode],"FAE")</f>
        <v>1</v>
      </c>
      <c r="H12" s="24">
        <f>SUMIFS(tblDaily[Remaining],tblDaily[WardCode],"FAE")</f>
        <v>55</v>
      </c>
      <c r="I12" s="24">
        <f>SUMIFS(tblDaily[TransfersIn],tblDaily[WardCode],"FAE")</f>
        <v>0</v>
      </c>
      <c r="J12" s="24">
        <f>SUMIFS(tblDaily[TransfersOut],tblDaily[WardCode],"FAE")</f>
        <v>30</v>
      </c>
      <c r="K12" s="25">
        <f t="shared" si="0"/>
        <v>0.15068493150684931</v>
      </c>
      <c r="L12" s="25">
        <f t="shared" si="1"/>
        <v>4.2307692307692308</v>
      </c>
      <c r="M12" s="25">
        <f t="shared" si="2"/>
        <v>276.53846153846155</v>
      </c>
      <c r="N12" s="25">
        <f t="shared" si="3"/>
        <v>1.3</v>
      </c>
      <c r="O12" s="25">
        <f t="shared" si="4"/>
        <v>1.5068493150684932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3" t="s">
        <v>199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25">
      <c r="A2" s="3" t="s">
        <v>178</v>
      </c>
      <c r="B2" s="3" t="s">
        <v>200</v>
      </c>
      <c r="C2" s="3" t="s">
        <v>72</v>
      </c>
      <c r="D2" s="3" t="s">
        <v>182</v>
      </c>
      <c r="E2" s="3" t="s">
        <v>201</v>
      </c>
      <c r="F2" s="3" t="s">
        <v>202</v>
      </c>
      <c r="G2" s="3" t="s">
        <v>86</v>
      </c>
      <c r="H2" s="3" t="s">
        <v>88</v>
      </c>
      <c r="I2" s="3" t="s">
        <v>203</v>
      </c>
      <c r="J2" s="3" t="s">
        <v>204</v>
      </c>
    </row>
    <row r="3" spans="1:10" x14ac:dyDescent="0.25">
      <c r="A3" s="2" t="s">
        <v>196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2026-02-17T11:38:51Z</dcterms:created>
  <dcterms:modified xsi:type="dcterms:W3CDTF">2026-02-17T11:45:04Z</dcterms:modified>
</cp:coreProperties>
</file>