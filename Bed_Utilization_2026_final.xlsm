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HMH\Desktop\projects\bedutilization\"/>
    </mc:Choice>
  </mc:AlternateContent>
  <xr:revisionPtr revIDLastSave="0" documentId="13_ncr:1_{33A973C8-3409-4CE5-AA3B-18F7BCA2CC85}" xr6:coauthVersionLast="47" xr6:coauthVersionMax="47" xr10:uidLastSave="{00000000-0000-0000-0000-000000000000}"/>
  <bookViews>
    <workbookView xWindow="-120" yWindow="-120" windowWidth="24240" windowHeight="13140" firstSheet="7" activeTab="16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hidden" r:id="rId13"/>
    <sheet name="Female Emergency" sheetId="14" state="hidden" r:id="rId14"/>
    <sheet name="Emergency" sheetId="15" r:id="rId15"/>
    <sheet name="Monthly Summary" sheetId="16" r:id="rId16"/>
    <sheet name="Ages Summary" sheetId="17" r:id="rId17"/>
    <sheet name="Deaths Report" sheetId="18" r:id="rId18"/>
    <sheet name="COD Summary" sheetId="19" r:id="rId19"/>
    <sheet name="Statement of Inpatient" sheetId="20" r:id="rId20"/>
    <sheet name="Non-Insured Report" sheetId="21" r:id="rId21"/>
  </sheets>
  <functionGroups builtInGroupCount="19"/>
  <calcPr calcId="181029"/>
</workbook>
</file>

<file path=xl/calcChain.xml><?xml version="1.0" encoding="utf-8"?>
<calcChain xmlns="http://schemas.openxmlformats.org/spreadsheetml/2006/main">
  <c r="J12" i="20" l="1"/>
  <c r="I12" i="20"/>
  <c r="H12" i="20"/>
  <c r="G12" i="20"/>
  <c r="F12" i="20"/>
  <c r="E12" i="20"/>
  <c r="N12" i="20" s="1"/>
  <c r="D12" i="20"/>
  <c r="C12" i="20"/>
  <c r="B12" i="20"/>
  <c r="J11" i="20"/>
  <c r="I11" i="20"/>
  <c r="H11" i="20"/>
  <c r="K11" i="20" s="1"/>
  <c r="G11" i="20"/>
  <c r="F11" i="20"/>
  <c r="N11" i="20" s="1"/>
  <c r="E11" i="20"/>
  <c r="D11" i="20"/>
  <c r="C11" i="20"/>
  <c r="B11" i="20"/>
  <c r="J10" i="20"/>
  <c r="I10" i="20"/>
  <c r="H10" i="20"/>
  <c r="G10" i="20"/>
  <c r="F10" i="20"/>
  <c r="E10" i="20"/>
  <c r="D10" i="20"/>
  <c r="C10" i="20"/>
  <c r="B10" i="20"/>
  <c r="J9" i="20"/>
  <c r="I9" i="20"/>
  <c r="H9" i="20"/>
  <c r="G9" i="20"/>
  <c r="F9" i="20"/>
  <c r="E9" i="20"/>
  <c r="D9" i="20"/>
  <c r="C9" i="20"/>
  <c r="B9" i="20"/>
  <c r="J8" i="20"/>
  <c r="I8" i="20"/>
  <c r="H8" i="20"/>
  <c r="G8" i="20"/>
  <c r="F8" i="20"/>
  <c r="E8" i="20"/>
  <c r="N8" i="20" s="1"/>
  <c r="D8" i="20"/>
  <c r="C8" i="20"/>
  <c r="B8" i="20"/>
  <c r="J7" i="20"/>
  <c r="I7" i="20"/>
  <c r="H7" i="20"/>
  <c r="O7" i="20" s="1"/>
  <c r="G7" i="20"/>
  <c r="F7" i="20"/>
  <c r="N7" i="20" s="1"/>
  <c r="E7" i="20"/>
  <c r="D7" i="20"/>
  <c r="P7" i="20" s="1"/>
  <c r="C7" i="20"/>
  <c r="B7" i="20"/>
  <c r="J6" i="20"/>
  <c r="I6" i="20"/>
  <c r="H6" i="20"/>
  <c r="K6" i="20" s="1"/>
  <c r="G6" i="20"/>
  <c r="F6" i="20"/>
  <c r="N6" i="20" s="1"/>
  <c r="E6" i="20"/>
  <c r="D6" i="20"/>
  <c r="C6" i="20"/>
  <c r="B6" i="20"/>
  <c r="J5" i="20"/>
  <c r="I5" i="20"/>
  <c r="H5" i="20"/>
  <c r="G5" i="20"/>
  <c r="F5" i="20"/>
  <c r="E5" i="20"/>
  <c r="M5" i="20" s="1"/>
  <c r="D5" i="20"/>
  <c r="C5" i="20"/>
  <c r="B5" i="20"/>
  <c r="J4" i="20"/>
  <c r="I4" i="20"/>
  <c r="H4" i="20"/>
  <c r="G4" i="20"/>
  <c r="F4" i="20"/>
  <c r="E4" i="20"/>
  <c r="D4" i="20"/>
  <c r="P4" i="20" s="1"/>
  <c r="C4" i="20"/>
  <c r="B4" i="20"/>
  <c r="CF15" i="17"/>
  <c r="CE15" i="17"/>
  <c r="CD15" i="17"/>
  <c r="CC15" i="17"/>
  <c r="CB15" i="17"/>
  <c r="CA15" i="17"/>
  <c r="BY15" i="17"/>
  <c r="BX15" i="17"/>
  <c r="BW15" i="17"/>
  <c r="BV15" i="17"/>
  <c r="BU15" i="17"/>
  <c r="BT15" i="17"/>
  <c r="BR15" i="17"/>
  <c r="BQ15" i="17"/>
  <c r="BP15" i="17"/>
  <c r="BO15" i="17"/>
  <c r="BN15" i="17"/>
  <c r="BM15" i="17"/>
  <c r="BK15" i="17"/>
  <c r="BJ15" i="17"/>
  <c r="BI15" i="17"/>
  <c r="BH15" i="17"/>
  <c r="BG15" i="17"/>
  <c r="BF15" i="17"/>
  <c r="BD15" i="17"/>
  <c r="BC15" i="17"/>
  <c r="BB15" i="17"/>
  <c r="BA15" i="17"/>
  <c r="AZ15" i="17"/>
  <c r="AY15" i="17"/>
  <c r="AW15" i="17"/>
  <c r="AV15" i="17"/>
  <c r="AU15" i="17"/>
  <c r="AT15" i="17"/>
  <c r="AS15" i="17"/>
  <c r="AR15" i="17"/>
  <c r="AP15" i="17"/>
  <c r="AO15" i="17"/>
  <c r="AN15" i="17"/>
  <c r="AM15" i="17"/>
  <c r="AL15" i="17"/>
  <c r="AK15" i="17"/>
  <c r="AI15" i="17"/>
  <c r="AH15" i="17"/>
  <c r="AG15" i="17"/>
  <c r="AF15" i="17"/>
  <c r="AE15" i="17"/>
  <c r="AD15" i="17"/>
  <c r="AB15" i="17"/>
  <c r="AA15" i="17"/>
  <c r="Z15" i="17"/>
  <c r="Y15" i="17"/>
  <c r="X15" i="17"/>
  <c r="W15" i="17"/>
  <c r="U15" i="17"/>
  <c r="T15" i="17"/>
  <c r="S15" i="17"/>
  <c r="R15" i="17"/>
  <c r="Q15" i="17"/>
  <c r="P15" i="17"/>
  <c r="N15" i="17"/>
  <c r="M15" i="17"/>
  <c r="L15" i="17"/>
  <c r="K15" i="17"/>
  <c r="J15" i="17"/>
  <c r="I15" i="17"/>
  <c r="G15" i="17"/>
  <c r="F15" i="17"/>
  <c r="E15" i="17"/>
  <c r="D15" i="17"/>
  <c r="C15" i="17"/>
  <c r="B15" i="17"/>
  <c r="CF14" i="17"/>
  <c r="CE14" i="17"/>
  <c r="CD14" i="17"/>
  <c r="CC14" i="17"/>
  <c r="CB14" i="17"/>
  <c r="CA14" i="17"/>
  <c r="BY14" i="17"/>
  <c r="BX14" i="17"/>
  <c r="BW14" i="17"/>
  <c r="BV14" i="17"/>
  <c r="BU14" i="17"/>
  <c r="BT14" i="17"/>
  <c r="BR14" i="17"/>
  <c r="BQ14" i="17"/>
  <c r="BP14" i="17"/>
  <c r="BO14" i="17"/>
  <c r="BN14" i="17"/>
  <c r="BM14" i="17"/>
  <c r="BK14" i="17"/>
  <c r="BJ14" i="17"/>
  <c r="BI14" i="17"/>
  <c r="BH14" i="17"/>
  <c r="BG14" i="17"/>
  <c r="BF14" i="17"/>
  <c r="BD14" i="17"/>
  <c r="BC14" i="17"/>
  <c r="BB14" i="17"/>
  <c r="BA14" i="17"/>
  <c r="AZ14" i="17"/>
  <c r="AY14" i="17"/>
  <c r="AW14" i="17"/>
  <c r="AV14" i="17"/>
  <c r="AU14" i="17"/>
  <c r="AT14" i="17"/>
  <c r="AS14" i="17"/>
  <c r="AR14" i="17"/>
  <c r="AP14" i="17"/>
  <c r="AO14" i="17"/>
  <c r="AN14" i="17"/>
  <c r="AM14" i="17"/>
  <c r="AL14" i="17"/>
  <c r="AK14" i="17"/>
  <c r="AI14" i="17"/>
  <c r="AH14" i="17"/>
  <c r="AG14" i="17"/>
  <c r="AF14" i="17"/>
  <c r="AE14" i="17"/>
  <c r="AD14" i="17"/>
  <c r="AB14" i="17"/>
  <c r="AA14" i="17"/>
  <c r="Z14" i="17"/>
  <c r="Y14" i="17"/>
  <c r="X14" i="17"/>
  <c r="W14" i="17"/>
  <c r="U14" i="17"/>
  <c r="T14" i="17"/>
  <c r="S14" i="17"/>
  <c r="R14" i="17"/>
  <c r="Q14" i="17"/>
  <c r="P14" i="17"/>
  <c r="N14" i="17"/>
  <c r="M14" i="17"/>
  <c r="L14" i="17"/>
  <c r="K14" i="17"/>
  <c r="J14" i="17"/>
  <c r="I14" i="17"/>
  <c r="G14" i="17"/>
  <c r="F14" i="17"/>
  <c r="E14" i="17"/>
  <c r="D14" i="17"/>
  <c r="C14" i="17"/>
  <c r="B14" i="17"/>
  <c r="CF13" i="17"/>
  <c r="CE13" i="17"/>
  <c r="CD13" i="17"/>
  <c r="CC13" i="17"/>
  <c r="CB13" i="17"/>
  <c r="CA13" i="17"/>
  <c r="BY13" i="17"/>
  <c r="BX13" i="17"/>
  <c r="BW13" i="17"/>
  <c r="BV13" i="17"/>
  <c r="BU13" i="17"/>
  <c r="BT13" i="17"/>
  <c r="BR13" i="17"/>
  <c r="BQ13" i="17"/>
  <c r="BP13" i="17"/>
  <c r="BO13" i="17"/>
  <c r="BN13" i="17"/>
  <c r="BM13" i="17"/>
  <c r="BK13" i="17"/>
  <c r="BJ13" i="17"/>
  <c r="BI13" i="17"/>
  <c r="BH13" i="17"/>
  <c r="BG13" i="17"/>
  <c r="BF13" i="17"/>
  <c r="BD13" i="17"/>
  <c r="BC13" i="17"/>
  <c r="BB13" i="17"/>
  <c r="BA13" i="17"/>
  <c r="AZ13" i="17"/>
  <c r="AY13" i="17"/>
  <c r="AW13" i="17"/>
  <c r="AV13" i="17"/>
  <c r="AU13" i="17"/>
  <c r="AT13" i="17"/>
  <c r="AS13" i="17"/>
  <c r="AR13" i="17"/>
  <c r="AP13" i="17"/>
  <c r="AO13" i="17"/>
  <c r="AN13" i="17"/>
  <c r="AM13" i="17"/>
  <c r="AL13" i="17"/>
  <c r="AK13" i="17"/>
  <c r="AI13" i="17"/>
  <c r="AH13" i="17"/>
  <c r="AG13" i="17"/>
  <c r="AF13" i="17"/>
  <c r="AE13" i="17"/>
  <c r="AD13" i="17"/>
  <c r="AB13" i="17"/>
  <c r="AA13" i="17"/>
  <c r="Z13" i="17"/>
  <c r="Y13" i="17"/>
  <c r="X13" i="17"/>
  <c r="W13" i="17"/>
  <c r="U13" i="17"/>
  <c r="T13" i="17"/>
  <c r="S13" i="17"/>
  <c r="R13" i="17"/>
  <c r="Q13" i="17"/>
  <c r="P13" i="17"/>
  <c r="N13" i="17"/>
  <c r="M13" i="17"/>
  <c r="L13" i="17"/>
  <c r="K13" i="17"/>
  <c r="J13" i="17"/>
  <c r="I13" i="17"/>
  <c r="G13" i="17"/>
  <c r="F13" i="17"/>
  <c r="E13" i="17"/>
  <c r="D13" i="17"/>
  <c r="C13" i="17"/>
  <c r="B13" i="17"/>
  <c r="CF12" i="17"/>
  <c r="CE12" i="17"/>
  <c r="CD12" i="17"/>
  <c r="CC12" i="17"/>
  <c r="CB12" i="17"/>
  <c r="CA12" i="17"/>
  <c r="BY12" i="17"/>
  <c r="BX12" i="17"/>
  <c r="BW12" i="17"/>
  <c r="BV12" i="17"/>
  <c r="BU12" i="17"/>
  <c r="BT12" i="17"/>
  <c r="BR12" i="17"/>
  <c r="BQ12" i="17"/>
  <c r="BP12" i="17"/>
  <c r="BO12" i="17"/>
  <c r="BN12" i="17"/>
  <c r="BM12" i="17"/>
  <c r="BK12" i="17"/>
  <c r="BJ12" i="17"/>
  <c r="BI12" i="17"/>
  <c r="BH12" i="17"/>
  <c r="BG12" i="17"/>
  <c r="BF12" i="17"/>
  <c r="BD12" i="17"/>
  <c r="BC12" i="17"/>
  <c r="BB12" i="17"/>
  <c r="BA12" i="17"/>
  <c r="AZ12" i="17"/>
  <c r="AY12" i="17"/>
  <c r="AW12" i="17"/>
  <c r="AV12" i="17"/>
  <c r="AU12" i="17"/>
  <c r="AT12" i="17"/>
  <c r="AS12" i="17"/>
  <c r="AR12" i="17"/>
  <c r="AP12" i="17"/>
  <c r="AO12" i="17"/>
  <c r="AN12" i="17"/>
  <c r="AM12" i="17"/>
  <c r="AL12" i="17"/>
  <c r="AK12" i="17"/>
  <c r="AI12" i="17"/>
  <c r="AH12" i="17"/>
  <c r="AG12" i="17"/>
  <c r="AF12" i="17"/>
  <c r="AE12" i="17"/>
  <c r="AD12" i="17"/>
  <c r="AB12" i="17"/>
  <c r="AA12" i="17"/>
  <c r="Z12" i="17"/>
  <c r="Y12" i="17"/>
  <c r="X12" i="17"/>
  <c r="W12" i="17"/>
  <c r="U12" i="17"/>
  <c r="T12" i="17"/>
  <c r="S12" i="17"/>
  <c r="R12" i="17"/>
  <c r="Q12" i="17"/>
  <c r="P12" i="17"/>
  <c r="N12" i="17"/>
  <c r="M12" i="17"/>
  <c r="L12" i="17"/>
  <c r="K12" i="17"/>
  <c r="J12" i="17"/>
  <c r="I12" i="17"/>
  <c r="G12" i="17"/>
  <c r="F12" i="17"/>
  <c r="E12" i="17"/>
  <c r="D12" i="17"/>
  <c r="C12" i="17"/>
  <c r="B12" i="17"/>
  <c r="CF11" i="17"/>
  <c r="CE11" i="17"/>
  <c r="CD11" i="17"/>
  <c r="CC11" i="17"/>
  <c r="CB11" i="17"/>
  <c r="CA11" i="17"/>
  <c r="BY11" i="17"/>
  <c r="BX11" i="17"/>
  <c r="BW11" i="17"/>
  <c r="BV11" i="17"/>
  <c r="BU11" i="17"/>
  <c r="BT11" i="17"/>
  <c r="BR11" i="17"/>
  <c r="BQ11" i="17"/>
  <c r="BP11" i="17"/>
  <c r="BO11" i="17"/>
  <c r="BN11" i="17"/>
  <c r="BM11" i="17"/>
  <c r="BK11" i="17"/>
  <c r="BJ11" i="17"/>
  <c r="BI11" i="17"/>
  <c r="BH11" i="17"/>
  <c r="BG11" i="17"/>
  <c r="BF11" i="17"/>
  <c r="BD11" i="17"/>
  <c r="BC11" i="17"/>
  <c r="BB11" i="17"/>
  <c r="BA11" i="17"/>
  <c r="AZ11" i="17"/>
  <c r="AY11" i="17"/>
  <c r="AW11" i="17"/>
  <c r="AV11" i="17"/>
  <c r="AU11" i="17"/>
  <c r="AT11" i="17"/>
  <c r="AS11" i="17"/>
  <c r="AR11" i="17"/>
  <c r="AP11" i="17"/>
  <c r="AO11" i="17"/>
  <c r="AN11" i="17"/>
  <c r="AM11" i="17"/>
  <c r="AL11" i="17"/>
  <c r="AK11" i="17"/>
  <c r="AI11" i="17"/>
  <c r="AH11" i="17"/>
  <c r="AG11" i="17"/>
  <c r="AF11" i="17"/>
  <c r="AE11" i="17"/>
  <c r="AD11" i="17"/>
  <c r="AB11" i="17"/>
  <c r="AA11" i="17"/>
  <c r="Z11" i="17"/>
  <c r="Y11" i="17"/>
  <c r="X11" i="17"/>
  <c r="W11" i="17"/>
  <c r="U11" i="17"/>
  <c r="T11" i="17"/>
  <c r="S11" i="17"/>
  <c r="R11" i="17"/>
  <c r="Q11" i="17"/>
  <c r="P11" i="17"/>
  <c r="N11" i="17"/>
  <c r="M11" i="17"/>
  <c r="L11" i="17"/>
  <c r="K11" i="17"/>
  <c r="J11" i="17"/>
  <c r="I11" i="17"/>
  <c r="G11" i="17"/>
  <c r="F11" i="17"/>
  <c r="E11" i="17"/>
  <c r="D11" i="17"/>
  <c r="C11" i="17"/>
  <c r="B11" i="17"/>
  <c r="CF10" i="17"/>
  <c r="CE10" i="17"/>
  <c r="CD10" i="17"/>
  <c r="CC10" i="17"/>
  <c r="CB10" i="17"/>
  <c r="CA10" i="17"/>
  <c r="BY10" i="17"/>
  <c r="BX10" i="17"/>
  <c r="BW10" i="17"/>
  <c r="BV10" i="17"/>
  <c r="BU10" i="17"/>
  <c r="BT10" i="17"/>
  <c r="BR10" i="17"/>
  <c r="BQ10" i="17"/>
  <c r="BP10" i="17"/>
  <c r="BO10" i="17"/>
  <c r="BN10" i="17"/>
  <c r="BM10" i="17"/>
  <c r="BK10" i="17"/>
  <c r="BJ10" i="17"/>
  <c r="BI10" i="17"/>
  <c r="BH10" i="17"/>
  <c r="BG10" i="17"/>
  <c r="BF10" i="17"/>
  <c r="BD10" i="17"/>
  <c r="BC10" i="17"/>
  <c r="BB10" i="17"/>
  <c r="BA10" i="17"/>
  <c r="AZ10" i="17"/>
  <c r="AY10" i="17"/>
  <c r="AW10" i="17"/>
  <c r="AV10" i="17"/>
  <c r="AU10" i="17"/>
  <c r="AT10" i="17"/>
  <c r="AS10" i="17"/>
  <c r="AR10" i="17"/>
  <c r="AP10" i="17"/>
  <c r="AO10" i="17"/>
  <c r="AN10" i="17"/>
  <c r="AM10" i="17"/>
  <c r="AL10" i="17"/>
  <c r="AK10" i="17"/>
  <c r="AI10" i="17"/>
  <c r="AH10" i="17"/>
  <c r="AG10" i="17"/>
  <c r="AF10" i="17"/>
  <c r="AE10" i="17"/>
  <c r="AD10" i="17"/>
  <c r="AB10" i="17"/>
  <c r="AA10" i="17"/>
  <c r="Z10" i="17"/>
  <c r="Y10" i="17"/>
  <c r="X10" i="17"/>
  <c r="W10" i="17"/>
  <c r="U10" i="17"/>
  <c r="T10" i="17"/>
  <c r="S10" i="17"/>
  <c r="R10" i="17"/>
  <c r="Q10" i="17"/>
  <c r="P10" i="17"/>
  <c r="N10" i="17"/>
  <c r="M10" i="17"/>
  <c r="L10" i="17"/>
  <c r="K10" i="17"/>
  <c r="J10" i="17"/>
  <c r="I10" i="17"/>
  <c r="G10" i="17"/>
  <c r="F10" i="17"/>
  <c r="E10" i="17"/>
  <c r="D10" i="17"/>
  <c r="C10" i="17"/>
  <c r="B10" i="17"/>
  <c r="CF9" i="17"/>
  <c r="CE9" i="17"/>
  <c r="CD9" i="17"/>
  <c r="CC9" i="17"/>
  <c r="CB9" i="17"/>
  <c r="CA9" i="17"/>
  <c r="BY9" i="17"/>
  <c r="BX9" i="17"/>
  <c r="BW9" i="17"/>
  <c r="BV9" i="17"/>
  <c r="BU9" i="17"/>
  <c r="BT9" i="17"/>
  <c r="BR9" i="17"/>
  <c r="BQ9" i="17"/>
  <c r="BP9" i="17"/>
  <c r="BO9" i="17"/>
  <c r="BN9" i="17"/>
  <c r="BM9" i="17"/>
  <c r="BK9" i="17"/>
  <c r="BJ9" i="17"/>
  <c r="BI9" i="17"/>
  <c r="BH9" i="17"/>
  <c r="BG9" i="17"/>
  <c r="BF9" i="17"/>
  <c r="BD9" i="17"/>
  <c r="BC9" i="17"/>
  <c r="BB9" i="17"/>
  <c r="BA9" i="17"/>
  <c r="AZ9" i="17"/>
  <c r="AY9" i="17"/>
  <c r="AW9" i="17"/>
  <c r="AV9" i="17"/>
  <c r="AU9" i="17"/>
  <c r="AT9" i="17"/>
  <c r="AS9" i="17"/>
  <c r="AR9" i="17"/>
  <c r="AP9" i="17"/>
  <c r="AO9" i="17"/>
  <c r="AN9" i="17"/>
  <c r="AM9" i="17"/>
  <c r="AL9" i="17"/>
  <c r="AK9" i="17"/>
  <c r="AI9" i="17"/>
  <c r="AH9" i="17"/>
  <c r="AG9" i="17"/>
  <c r="AF9" i="17"/>
  <c r="AE9" i="17"/>
  <c r="AD9" i="17"/>
  <c r="AB9" i="17"/>
  <c r="AA9" i="17"/>
  <c r="Z9" i="17"/>
  <c r="Y9" i="17"/>
  <c r="X9" i="17"/>
  <c r="W9" i="17"/>
  <c r="U9" i="17"/>
  <c r="T9" i="17"/>
  <c r="S9" i="17"/>
  <c r="R9" i="17"/>
  <c r="Q9" i="17"/>
  <c r="P9" i="17"/>
  <c r="N9" i="17"/>
  <c r="M9" i="17"/>
  <c r="L9" i="17"/>
  <c r="K9" i="17"/>
  <c r="J9" i="17"/>
  <c r="I9" i="17"/>
  <c r="G9" i="17"/>
  <c r="F9" i="17"/>
  <c r="E9" i="17"/>
  <c r="D9" i="17"/>
  <c r="C9" i="17"/>
  <c r="B9" i="17"/>
  <c r="CF8" i="17"/>
  <c r="CE8" i="17"/>
  <c r="CD8" i="17"/>
  <c r="CC8" i="17"/>
  <c r="CB8" i="17"/>
  <c r="CA8" i="17"/>
  <c r="BY8" i="17"/>
  <c r="BX8" i="17"/>
  <c r="BW8" i="17"/>
  <c r="BV8" i="17"/>
  <c r="BU8" i="17"/>
  <c r="BT8" i="17"/>
  <c r="BR8" i="17"/>
  <c r="BQ8" i="17"/>
  <c r="BP8" i="17"/>
  <c r="BO8" i="17"/>
  <c r="BN8" i="17"/>
  <c r="BM8" i="17"/>
  <c r="BK8" i="17"/>
  <c r="BJ8" i="17"/>
  <c r="BI8" i="17"/>
  <c r="BH8" i="17"/>
  <c r="BG8" i="17"/>
  <c r="BF8" i="17"/>
  <c r="BD8" i="17"/>
  <c r="BC8" i="17"/>
  <c r="BB8" i="17"/>
  <c r="BA8" i="17"/>
  <c r="AZ8" i="17"/>
  <c r="AY8" i="17"/>
  <c r="AW8" i="17"/>
  <c r="AV8" i="17"/>
  <c r="AU8" i="17"/>
  <c r="AT8" i="17"/>
  <c r="AS8" i="17"/>
  <c r="AR8" i="17"/>
  <c r="AP8" i="17"/>
  <c r="AO8" i="17"/>
  <c r="AN8" i="17"/>
  <c r="AM8" i="17"/>
  <c r="AL8" i="17"/>
  <c r="AK8" i="17"/>
  <c r="AI8" i="17"/>
  <c r="AH8" i="17"/>
  <c r="AG8" i="17"/>
  <c r="AF8" i="17"/>
  <c r="AE8" i="17"/>
  <c r="AD8" i="17"/>
  <c r="AB8" i="17"/>
  <c r="AA8" i="17"/>
  <c r="Z8" i="17"/>
  <c r="Y8" i="17"/>
  <c r="X8" i="17"/>
  <c r="W8" i="17"/>
  <c r="U8" i="17"/>
  <c r="T8" i="17"/>
  <c r="S8" i="17"/>
  <c r="R8" i="17"/>
  <c r="Q8" i="17"/>
  <c r="P8" i="17"/>
  <c r="N8" i="17"/>
  <c r="M8" i="17"/>
  <c r="L8" i="17"/>
  <c r="K8" i="17"/>
  <c r="J8" i="17"/>
  <c r="I8" i="17"/>
  <c r="G8" i="17"/>
  <c r="F8" i="17"/>
  <c r="E8" i="17"/>
  <c r="D8" i="17"/>
  <c r="C8" i="17"/>
  <c r="B8" i="17"/>
  <c r="CF7" i="17"/>
  <c r="CE7" i="17"/>
  <c r="CD7" i="17"/>
  <c r="CC7" i="17"/>
  <c r="CB7" i="17"/>
  <c r="CA7" i="17"/>
  <c r="BY7" i="17"/>
  <c r="BX7" i="17"/>
  <c r="BW7" i="17"/>
  <c r="BV7" i="17"/>
  <c r="BU7" i="17"/>
  <c r="BT7" i="17"/>
  <c r="BR7" i="17"/>
  <c r="BQ7" i="17"/>
  <c r="BP7" i="17"/>
  <c r="BO7" i="17"/>
  <c r="BN7" i="17"/>
  <c r="BM7" i="17"/>
  <c r="BK7" i="17"/>
  <c r="BJ7" i="17"/>
  <c r="BI7" i="17"/>
  <c r="BH7" i="17"/>
  <c r="BG7" i="17"/>
  <c r="BF7" i="17"/>
  <c r="BD7" i="17"/>
  <c r="BC7" i="17"/>
  <c r="BB7" i="17"/>
  <c r="BA7" i="17"/>
  <c r="AZ7" i="17"/>
  <c r="AY7" i="17"/>
  <c r="AW7" i="17"/>
  <c r="AV7" i="17"/>
  <c r="AU7" i="17"/>
  <c r="AT7" i="17"/>
  <c r="AS7" i="17"/>
  <c r="AR7" i="17"/>
  <c r="AP7" i="17"/>
  <c r="AO7" i="17"/>
  <c r="AN7" i="17"/>
  <c r="AM7" i="17"/>
  <c r="AL7" i="17"/>
  <c r="AK7" i="17"/>
  <c r="AI7" i="17"/>
  <c r="AH7" i="17"/>
  <c r="AG7" i="17"/>
  <c r="AF7" i="17"/>
  <c r="AE7" i="17"/>
  <c r="AD7" i="17"/>
  <c r="AB7" i="17"/>
  <c r="AA7" i="17"/>
  <c r="Z7" i="17"/>
  <c r="Y7" i="17"/>
  <c r="X7" i="17"/>
  <c r="W7" i="17"/>
  <c r="U7" i="17"/>
  <c r="T7" i="17"/>
  <c r="S7" i="17"/>
  <c r="R7" i="17"/>
  <c r="Q7" i="17"/>
  <c r="P7" i="17"/>
  <c r="N7" i="17"/>
  <c r="M7" i="17"/>
  <c r="L7" i="17"/>
  <c r="K7" i="17"/>
  <c r="J7" i="17"/>
  <c r="I7" i="17"/>
  <c r="G7" i="17"/>
  <c r="F7" i="17"/>
  <c r="E7" i="17"/>
  <c r="D7" i="17"/>
  <c r="C7" i="17"/>
  <c r="B7" i="17"/>
  <c r="CF6" i="17"/>
  <c r="CE6" i="17"/>
  <c r="CD6" i="17"/>
  <c r="CC6" i="17"/>
  <c r="CB6" i="17"/>
  <c r="CA6" i="17"/>
  <c r="BY6" i="17"/>
  <c r="BX6" i="17"/>
  <c r="BW6" i="17"/>
  <c r="BV6" i="17"/>
  <c r="BU6" i="17"/>
  <c r="BT6" i="17"/>
  <c r="BR6" i="17"/>
  <c r="BQ6" i="17"/>
  <c r="BP6" i="17"/>
  <c r="BO6" i="17"/>
  <c r="BN6" i="17"/>
  <c r="BM6" i="17"/>
  <c r="BK6" i="17"/>
  <c r="BJ6" i="17"/>
  <c r="BI6" i="17"/>
  <c r="BH6" i="17"/>
  <c r="BG6" i="17"/>
  <c r="BF6" i="17"/>
  <c r="BD6" i="17"/>
  <c r="BC6" i="17"/>
  <c r="BB6" i="17"/>
  <c r="BA6" i="17"/>
  <c r="AZ6" i="17"/>
  <c r="AY6" i="17"/>
  <c r="AW6" i="17"/>
  <c r="AV6" i="17"/>
  <c r="AU6" i="17"/>
  <c r="AT6" i="17"/>
  <c r="AS6" i="17"/>
  <c r="AR6" i="17"/>
  <c r="AP6" i="17"/>
  <c r="AO6" i="17"/>
  <c r="AN6" i="17"/>
  <c r="AM6" i="17"/>
  <c r="AL6" i="17"/>
  <c r="AK6" i="17"/>
  <c r="AI6" i="17"/>
  <c r="AH6" i="17"/>
  <c r="AG6" i="17"/>
  <c r="AF6" i="17"/>
  <c r="AE6" i="17"/>
  <c r="AD6" i="17"/>
  <c r="AB6" i="17"/>
  <c r="AA6" i="17"/>
  <c r="Z6" i="17"/>
  <c r="Y6" i="17"/>
  <c r="X6" i="17"/>
  <c r="W6" i="17"/>
  <c r="U6" i="17"/>
  <c r="T6" i="17"/>
  <c r="S6" i="17"/>
  <c r="R6" i="17"/>
  <c r="Q6" i="17"/>
  <c r="P6" i="17"/>
  <c r="N6" i="17"/>
  <c r="M6" i="17"/>
  <c r="L6" i="17"/>
  <c r="K6" i="17"/>
  <c r="J6" i="17"/>
  <c r="I6" i="17"/>
  <c r="G6" i="17"/>
  <c r="F6" i="17"/>
  <c r="E6" i="17"/>
  <c r="D6" i="17"/>
  <c r="C6" i="17"/>
  <c r="B6" i="17"/>
  <c r="CF5" i="17"/>
  <c r="CE5" i="17"/>
  <c r="CD5" i="17"/>
  <c r="CC5" i="17"/>
  <c r="CB5" i="17"/>
  <c r="CA5" i="17"/>
  <c r="BY5" i="17"/>
  <c r="BX5" i="17"/>
  <c r="BW5" i="17"/>
  <c r="BV5" i="17"/>
  <c r="BU5" i="17"/>
  <c r="BT5" i="17"/>
  <c r="BR5" i="17"/>
  <c r="BQ5" i="17"/>
  <c r="BP5" i="17"/>
  <c r="BO5" i="17"/>
  <c r="BN5" i="17"/>
  <c r="BM5" i="17"/>
  <c r="BK5" i="17"/>
  <c r="BJ5" i="17"/>
  <c r="BI5" i="17"/>
  <c r="BH5" i="17"/>
  <c r="BG5" i="17"/>
  <c r="BF5" i="17"/>
  <c r="BD5" i="17"/>
  <c r="BC5" i="17"/>
  <c r="BB5" i="17"/>
  <c r="BA5" i="17"/>
  <c r="AZ5" i="17"/>
  <c r="AY5" i="17"/>
  <c r="AW5" i="17"/>
  <c r="AV5" i="17"/>
  <c r="AU5" i="17"/>
  <c r="AT5" i="17"/>
  <c r="AS5" i="17"/>
  <c r="AR5" i="17"/>
  <c r="AP5" i="17"/>
  <c r="AO5" i="17"/>
  <c r="AN5" i="17"/>
  <c r="AM5" i="17"/>
  <c r="AL5" i="17"/>
  <c r="AK5" i="17"/>
  <c r="AI5" i="17"/>
  <c r="AH5" i="17"/>
  <c r="AG5" i="17"/>
  <c r="AF5" i="17"/>
  <c r="AE5" i="17"/>
  <c r="AD5" i="17"/>
  <c r="AB5" i="17"/>
  <c r="AA5" i="17"/>
  <c r="Z5" i="17"/>
  <c r="Y5" i="17"/>
  <c r="X5" i="17"/>
  <c r="W5" i="17"/>
  <c r="U5" i="17"/>
  <c r="T5" i="17"/>
  <c r="S5" i="17"/>
  <c r="R5" i="17"/>
  <c r="Q5" i="17"/>
  <c r="P5" i="17"/>
  <c r="N5" i="17"/>
  <c r="M5" i="17"/>
  <c r="L5" i="17"/>
  <c r="K5" i="17"/>
  <c r="J5" i="17"/>
  <c r="I5" i="17"/>
  <c r="G5" i="17"/>
  <c r="F5" i="17"/>
  <c r="E5" i="17"/>
  <c r="D5" i="17"/>
  <c r="C5" i="17"/>
  <c r="B5" i="17"/>
  <c r="CF4" i="17"/>
  <c r="CF16" i="17" s="1"/>
  <c r="CE4" i="17"/>
  <c r="CE16" i="17" s="1"/>
  <c r="CD4" i="17"/>
  <c r="CD16" i="17" s="1"/>
  <c r="CC4" i="17"/>
  <c r="CC16" i="17" s="1"/>
  <c r="CB4" i="17"/>
  <c r="CB16" i="17" s="1"/>
  <c r="CA4" i="17"/>
  <c r="CA16" i="17" s="1"/>
  <c r="BY4" i="17"/>
  <c r="BY16" i="17" s="1"/>
  <c r="BX4" i="17"/>
  <c r="BX16" i="17" s="1"/>
  <c r="BW4" i="17"/>
  <c r="BW16" i="17" s="1"/>
  <c r="BV4" i="17"/>
  <c r="BV16" i="17" s="1"/>
  <c r="BU4" i="17"/>
  <c r="BU16" i="17" s="1"/>
  <c r="BT4" i="17"/>
  <c r="BT16" i="17" s="1"/>
  <c r="BR4" i="17"/>
  <c r="BR16" i="17" s="1"/>
  <c r="BQ4" i="17"/>
  <c r="BQ16" i="17" s="1"/>
  <c r="BP4" i="17"/>
  <c r="BP16" i="17" s="1"/>
  <c r="BO4" i="17"/>
  <c r="BO16" i="17" s="1"/>
  <c r="BN4" i="17"/>
  <c r="BN16" i="17" s="1"/>
  <c r="BM4" i="17"/>
  <c r="BM16" i="17" s="1"/>
  <c r="BK4" i="17"/>
  <c r="BK16" i="17" s="1"/>
  <c r="BJ4" i="17"/>
  <c r="BJ16" i="17" s="1"/>
  <c r="BI4" i="17"/>
  <c r="BI16" i="17" s="1"/>
  <c r="BH4" i="17"/>
  <c r="BH16" i="17" s="1"/>
  <c r="BG4" i="17"/>
  <c r="BG16" i="17" s="1"/>
  <c r="BF4" i="17"/>
  <c r="BF16" i="17" s="1"/>
  <c r="BD4" i="17"/>
  <c r="BD16" i="17" s="1"/>
  <c r="BC4" i="17"/>
  <c r="BC16" i="17" s="1"/>
  <c r="BB4" i="17"/>
  <c r="BB16" i="17" s="1"/>
  <c r="BA4" i="17"/>
  <c r="BA16" i="17" s="1"/>
  <c r="AZ4" i="17"/>
  <c r="AZ16" i="17" s="1"/>
  <c r="AY4" i="17"/>
  <c r="AY16" i="17" s="1"/>
  <c r="AW4" i="17"/>
  <c r="AW16" i="17" s="1"/>
  <c r="AV4" i="17"/>
  <c r="AV16" i="17" s="1"/>
  <c r="AU4" i="17"/>
  <c r="AU16" i="17" s="1"/>
  <c r="AT4" i="17"/>
  <c r="AT16" i="17" s="1"/>
  <c r="AS4" i="17"/>
  <c r="AS16" i="17" s="1"/>
  <c r="AR4" i="17"/>
  <c r="AR16" i="17" s="1"/>
  <c r="AP4" i="17"/>
  <c r="AP16" i="17" s="1"/>
  <c r="AO4" i="17"/>
  <c r="AO16" i="17" s="1"/>
  <c r="AN4" i="17"/>
  <c r="AN16" i="17" s="1"/>
  <c r="AM4" i="17"/>
  <c r="AM16" i="17" s="1"/>
  <c r="AL4" i="17"/>
  <c r="AK4" i="17"/>
  <c r="AK16" i="17" s="1"/>
  <c r="AI4" i="17"/>
  <c r="AI16" i="17" s="1"/>
  <c r="AH4" i="17"/>
  <c r="AH16" i="17" s="1"/>
  <c r="AG4" i="17"/>
  <c r="AG16" i="17" s="1"/>
  <c r="AF4" i="17"/>
  <c r="AF16" i="17" s="1"/>
  <c r="AE4" i="17"/>
  <c r="AE16" i="17" s="1"/>
  <c r="AD4" i="17"/>
  <c r="AD16" i="17" s="1"/>
  <c r="AB4" i="17"/>
  <c r="AB16" i="17" s="1"/>
  <c r="AA4" i="17"/>
  <c r="AA16" i="17" s="1"/>
  <c r="Z4" i="17"/>
  <c r="Z16" i="17" s="1"/>
  <c r="Y4" i="17"/>
  <c r="Y16" i="17" s="1"/>
  <c r="X4" i="17"/>
  <c r="X16" i="17" s="1"/>
  <c r="W4" i="17"/>
  <c r="W16" i="17" s="1"/>
  <c r="U4" i="17"/>
  <c r="U16" i="17" s="1"/>
  <c r="T4" i="17"/>
  <c r="T16" i="17" s="1"/>
  <c r="S4" i="17"/>
  <c r="S16" i="17" s="1"/>
  <c r="R4" i="17"/>
  <c r="R16" i="17" s="1"/>
  <c r="Q4" i="17"/>
  <c r="Q16" i="17" s="1"/>
  <c r="P4" i="17"/>
  <c r="P16" i="17" s="1"/>
  <c r="N4" i="17"/>
  <c r="N16" i="17" s="1"/>
  <c r="M4" i="17"/>
  <c r="M16" i="17" s="1"/>
  <c r="L4" i="17"/>
  <c r="L16" i="17" s="1"/>
  <c r="K4" i="17"/>
  <c r="K16" i="17" s="1"/>
  <c r="J4" i="17"/>
  <c r="J16" i="17" s="1"/>
  <c r="I4" i="17"/>
  <c r="I16" i="17" s="1"/>
  <c r="G4" i="17"/>
  <c r="G16" i="17" s="1"/>
  <c r="F4" i="17"/>
  <c r="F16" i="17" s="1"/>
  <c r="E4" i="17"/>
  <c r="E16" i="17" s="1"/>
  <c r="D4" i="17"/>
  <c r="D16" i="17" s="1"/>
  <c r="C4" i="17"/>
  <c r="C16" i="17" s="1"/>
  <c r="B4" i="17"/>
  <c r="B16" i="17" s="1"/>
  <c r="B189" i="16"/>
  <c r="J188" i="16"/>
  <c r="I188" i="16"/>
  <c r="H188" i="16"/>
  <c r="O188" i="16" s="1"/>
  <c r="G188" i="16"/>
  <c r="F188" i="16"/>
  <c r="E188" i="16"/>
  <c r="D188" i="16"/>
  <c r="C188" i="16"/>
  <c r="B188" i="16"/>
  <c r="J187" i="16"/>
  <c r="I187" i="16"/>
  <c r="H187" i="16"/>
  <c r="G187" i="16"/>
  <c r="F187" i="16"/>
  <c r="E187" i="16"/>
  <c r="D187" i="16"/>
  <c r="C187" i="16"/>
  <c r="B187" i="16"/>
  <c r="J186" i="16"/>
  <c r="I186" i="16"/>
  <c r="H186" i="16"/>
  <c r="G186" i="16"/>
  <c r="F186" i="16"/>
  <c r="E186" i="16"/>
  <c r="D186" i="16"/>
  <c r="C186" i="16"/>
  <c r="M186" i="16" s="1"/>
  <c r="B186" i="16"/>
  <c r="J185" i="16"/>
  <c r="I185" i="16"/>
  <c r="H185" i="16"/>
  <c r="K185" i="16" s="1"/>
  <c r="G185" i="16"/>
  <c r="F185" i="16"/>
  <c r="E185" i="16"/>
  <c r="D185" i="16"/>
  <c r="P185" i="16" s="1"/>
  <c r="C185" i="16"/>
  <c r="B185" i="16"/>
  <c r="K184" i="16"/>
  <c r="J184" i="16"/>
  <c r="I184" i="16"/>
  <c r="H184" i="16"/>
  <c r="G184" i="16"/>
  <c r="F184" i="16"/>
  <c r="E184" i="16"/>
  <c r="D184" i="16"/>
  <c r="C184" i="16"/>
  <c r="O184" i="16" s="1"/>
  <c r="B184" i="16"/>
  <c r="J183" i="16"/>
  <c r="I183" i="16"/>
  <c r="H183" i="16"/>
  <c r="G183" i="16"/>
  <c r="F183" i="16"/>
  <c r="E183" i="16"/>
  <c r="D183" i="16"/>
  <c r="C183" i="16"/>
  <c r="B183" i="16"/>
  <c r="K182" i="16"/>
  <c r="J182" i="16"/>
  <c r="I182" i="16"/>
  <c r="H182" i="16"/>
  <c r="G182" i="16"/>
  <c r="F182" i="16"/>
  <c r="P182" i="16" s="1"/>
  <c r="E182" i="16"/>
  <c r="D182" i="16"/>
  <c r="C182" i="16"/>
  <c r="M182" i="16" s="1"/>
  <c r="B182" i="16"/>
  <c r="J181" i="16"/>
  <c r="I181" i="16"/>
  <c r="H181" i="16"/>
  <c r="G181" i="16"/>
  <c r="F181" i="16"/>
  <c r="E181" i="16"/>
  <c r="D181" i="16"/>
  <c r="C181" i="16"/>
  <c r="O181" i="16" s="1"/>
  <c r="B181" i="16"/>
  <c r="J180" i="16"/>
  <c r="I180" i="16"/>
  <c r="H180" i="16"/>
  <c r="O180" i="16" s="1"/>
  <c r="G180" i="16"/>
  <c r="F180" i="16"/>
  <c r="E180" i="16"/>
  <c r="D180" i="16"/>
  <c r="C180" i="16"/>
  <c r="B180" i="16"/>
  <c r="B173" i="16"/>
  <c r="J172" i="16"/>
  <c r="I172" i="16"/>
  <c r="I175" i="16" s="1"/>
  <c r="H172" i="16"/>
  <c r="K172" i="16" s="1"/>
  <c r="G172" i="16"/>
  <c r="F172" i="16"/>
  <c r="P172" i="16" s="1"/>
  <c r="E172" i="16"/>
  <c r="D172" i="16"/>
  <c r="C172" i="16"/>
  <c r="B172" i="16"/>
  <c r="J171" i="16"/>
  <c r="I171" i="16"/>
  <c r="H171" i="16"/>
  <c r="K171" i="16" s="1"/>
  <c r="G171" i="16"/>
  <c r="F171" i="16"/>
  <c r="E171" i="16"/>
  <c r="E175" i="16" s="1"/>
  <c r="D171" i="16"/>
  <c r="D175" i="16" s="1"/>
  <c r="C171" i="16"/>
  <c r="B171" i="16"/>
  <c r="K170" i="16"/>
  <c r="J170" i="16"/>
  <c r="I170" i="16"/>
  <c r="H170" i="16"/>
  <c r="O170" i="16" s="1"/>
  <c r="G170" i="16"/>
  <c r="F170" i="16"/>
  <c r="E170" i="16"/>
  <c r="D170" i="16"/>
  <c r="C170" i="16"/>
  <c r="B170" i="16"/>
  <c r="P169" i="16"/>
  <c r="J169" i="16"/>
  <c r="I169" i="16"/>
  <c r="H169" i="16"/>
  <c r="G169" i="16"/>
  <c r="F169" i="16"/>
  <c r="E169" i="16"/>
  <c r="N169" i="16" s="1"/>
  <c r="D169" i="16"/>
  <c r="C169" i="16"/>
  <c r="B169" i="16"/>
  <c r="J168" i="16"/>
  <c r="I168" i="16"/>
  <c r="H168" i="16"/>
  <c r="K168" i="16" s="1"/>
  <c r="G168" i="16"/>
  <c r="F168" i="16"/>
  <c r="E168" i="16"/>
  <c r="D168" i="16"/>
  <c r="C168" i="16"/>
  <c r="O168" i="16" s="1"/>
  <c r="B168" i="16"/>
  <c r="K167" i="16"/>
  <c r="J167" i="16"/>
  <c r="I167" i="16"/>
  <c r="H167" i="16"/>
  <c r="G167" i="16"/>
  <c r="F167" i="16"/>
  <c r="E167" i="16"/>
  <c r="D167" i="16"/>
  <c r="C167" i="16"/>
  <c r="B167" i="16"/>
  <c r="K166" i="16"/>
  <c r="J166" i="16"/>
  <c r="I166" i="16"/>
  <c r="H166" i="16"/>
  <c r="G166" i="16"/>
  <c r="F166" i="16"/>
  <c r="E166" i="16"/>
  <c r="D166" i="16"/>
  <c r="C166" i="16"/>
  <c r="B166" i="16"/>
  <c r="J165" i="16"/>
  <c r="I165" i="16"/>
  <c r="H165" i="16"/>
  <c r="G165" i="16"/>
  <c r="F165" i="16"/>
  <c r="E165" i="16"/>
  <c r="D165" i="16"/>
  <c r="C165" i="16"/>
  <c r="B165" i="16"/>
  <c r="J164" i="16"/>
  <c r="I164" i="16"/>
  <c r="H164" i="16"/>
  <c r="G164" i="16"/>
  <c r="F164" i="16"/>
  <c r="E164" i="16"/>
  <c r="D164" i="16"/>
  <c r="C164" i="16"/>
  <c r="B164" i="16"/>
  <c r="G159" i="16"/>
  <c r="B157" i="16"/>
  <c r="J156" i="16"/>
  <c r="I156" i="16"/>
  <c r="H156" i="16"/>
  <c r="K156" i="16" s="1"/>
  <c r="G156" i="16"/>
  <c r="F156" i="16"/>
  <c r="E156" i="16"/>
  <c r="D156" i="16"/>
  <c r="C156" i="16"/>
  <c r="B156" i="16"/>
  <c r="J155" i="16"/>
  <c r="I155" i="16"/>
  <c r="H155" i="16"/>
  <c r="H159" i="16" s="1"/>
  <c r="G155" i="16"/>
  <c r="F155" i="16"/>
  <c r="P155" i="16" s="1"/>
  <c r="E155" i="16"/>
  <c r="D155" i="16"/>
  <c r="D159" i="16" s="1"/>
  <c r="C155" i="16"/>
  <c r="B155" i="16"/>
  <c r="J154" i="16"/>
  <c r="I154" i="16"/>
  <c r="H154" i="16"/>
  <c r="O154" i="16" s="1"/>
  <c r="G154" i="16"/>
  <c r="F154" i="16"/>
  <c r="E154" i="16"/>
  <c r="D154" i="16"/>
  <c r="C154" i="16"/>
  <c r="B154" i="16"/>
  <c r="K153" i="16"/>
  <c r="J153" i="16"/>
  <c r="I153" i="16"/>
  <c r="H153" i="16"/>
  <c r="G153" i="16"/>
  <c r="F153" i="16"/>
  <c r="E153" i="16"/>
  <c r="N153" i="16" s="1"/>
  <c r="D153" i="16"/>
  <c r="C153" i="16"/>
  <c r="O153" i="16" s="1"/>
  <c r="B153" i="16"/>
  <c r="J152" i="16"/>
  <c r="I152" i="16"/>
  <c r="H152" i="16"/>
  <c r="G152" i="16"/>
  <c r="F152" i="16"/>
  <c r="E152" i="16"/>
  <c r="D152" i="16"/>
  <c r="C152" i="16"/>
  <c r="N152" i="16" s="1"/>
  <c r="B152" i="16"/>
  <c r="P151" i="16"/>
  <c r="K151" i="16"/>
  <c r="J151" i="16"/>
  <c r="I151" i="16"/>
  <c r="H151" i="16"/>
  <c r="G151" i="16"/>
  <c r="G158" i="16" s="1"/>
  <c r="F151" i="16"/>
  <c r="E151" i="16"/>
  <c r="D151" i="16"/>
  <c r="C151" i="16"/>
  <c r="M151" i="16" s="1"/>
  <c r="B151" i="16"/>
  <c r="J150" i="16"/>
  <c r="I150" i="16"/>
  <c r="H150" i="16"/>
  <c r="L150" i="16" s="1"/>
  <c r="G150" i="16"/>
  <c r="F150" i="16"/>
  <c r="E150" i="16"/>
  <c r="D150" i="16"/>
  <c r="C150" i="16"/>
  <c r="B150" i="16"/>
  <c r="K149" i="16"/>
  <c r="J149" i="16"/>
  <c r="I149" i="16"/>
  <c r="H149" i="16"/>
  <c r="O149" i="16" s="1"/>
  <c r="G149" i="16"/>
  <c r="F149" i="16"/>
  <c r="E149" i="16"/>
  <c r="D149" i="16"/>
  <c r="C149" i="16"/>
  <c r="B149" i="16"/>
  <c r="J148" i="16"/>
  <c r="I148" i="16"/>
  <c r="H148" i="16"/>
  <c r="G148" i="16"/>
  <c r="F148" i="16"/>
  <c r="E148" i="16"/>
  <c r="D148" i="16"/>
  <c r="C148" i="16"/>
  <c r="B148" i="16"/>
  <c r="B141" i="16"/>
  <c r="J140" i="16"/>
  <c r="I140" i="16"/>
  <c r="H140" i="16"/>
  <c r="G140" i="16"/>
  <c r="F140" i="16"/>
  <c r="E140" i="16"/>
  <c r="D140" i="16"/>
  <c r="C140" i="16"/>
  <c r="N140" i="16" s="1"/>
  <c r="B140" i="16"/>
  <c r="K139" i="16"/>
  <c r="J139" i="16"/>
  <c r="J143" i="16" s="1"/>
  <c r="I139" i="16"/>
  <c r="I143" i="16" s="1"/>
  <c r="H139" i="16"/>
  <c r="G139" i="16"/>
  <c r="G143" i="16" s="1"/>
  <c r="F139" i="16"/>
  <c r="E139" i="16"/>
  <c r="E143" i="16" s="1"/>
  <c r="D139" i="16"/>
  <c r="C139" i="16"/>
  <c r="C143" i="16" s="1"/>
  <c r="B139" i="16"/>
  <c r="B143" i="16" s="1"/>
  <c r="J138" i="16"/>
  <c r="I138" i="16"/>
  <c r="H138" i="16"/>
  <c r="L138" i="16" s="1"/>
  <c r="G138" i="16"/>
  <c r="F138" i="16"/>
  <c r="P138" i="16" s="1"/>
  <c r="E138" i="16"/>
  <c r="D138" i="16"/>
  <c r="C138" i="16"/>
  <c r="B138" i="16"/>
  <c r="J137" i="16"/>
  <c r="I137" i="16"/>
  <c r="H137" i="16"/>
  <c r="L137" i="16" s="1"/>
  <c r="G137" i="16"/>
  <c r="F137" i="16"/>
  <c r="E137" i="16"/>
  <c r="D137" i="16"/>
  <c r="P137" i="16" s="1"/>
  <c r="C137" i="16"/>
  <c r="B137" i="16"/>
  <c r="J136" i="16"/>
  <c r="I136" i="16"/>
  <c r="H136" i="16"/>
  <c r="K136" i="16" s="1"/>
  <c r="G136" i="16"/>
  <c r="F136" i="16"/>
  <c r="E136" i="16"/>
  <c r="D136" i="16"/>
  <c r="C136" i="16"/>
  <c r="B136" i="16"/>
  <c r="J135" i="16"/>
  <c r="I135" i="16"/>
  <c r="H135" i="16"/>
  <c r="L135" i="16" s="1"/>
  <c r="G135" i="16"/>
  <c r="F135" i="16"/>
  <c r="E135" i="16"/>
  <c r="D135" i="16"/>
  <c r="C135" i="16"/>
  <c r="B135" i="16"/>
  <c r="J134" i="16"/>
  <c r="I134" i="16"/>
  <c r="H134" i="16"/>
  <c r="G134" i="16"/>
  <c r="F134" i="16"/>
  <c r="P134" i="16" s="1"/>
  <c r="E134" i="16"/>
  <c r="D134" i="16"/>
  <c r="C134" i="16"/>
  <c r="B134" i="16"/>
  <c r="K133" i="16"/>
  <c r="J133" i="16"/>
  <c r="I133" i="16"/>
  <c r="H133" i="16"/>
  <c r="G133" i="16"/>
  <c r="F133" i="16"/>
  <c r="E133" i="16"/>
  <c r="D133" i="16"/>
  <c r="P133" i="16" s="1"/>
  <c r="C133" i="16"/>
  <c r="B133" i="16"/>
  <c r="L132" i="16"/>
  <c r="J132" i="16"/>
  <c r="I132" i="16"/>
  <c r="H132" i="16"/>
  <c r="G132" i="16"/>
  <c r="F132" i="16"/>
  <c r="E132" i="16"/>
  <c r="D132" i="16"/>
  <c r="C132" i="16"/>
  <c r="B132" i="16"/>
  <c r="J127" i="16"/>
  <c r="C127" i="16"/>
  <c r="B125" i="16"/>
  <c r="J124" i="16"/>
  <c r="I124" i="16"/>
  <c r="H124" i="16"/>
  <c r="G124" i="16"/>
  <c r="F124" i="16"/>
  <c r="E124" i="16"/>
  <c r="N124" i="16" s="1"/>
  <c r="D124" i="16"/>
  <c r="P124" i="16" s="1"/>
  <c r="C124" i="16"/>
  <c r="B124" i="16"/>
  <c r="P123" i="16"/>
  <c r="J123" i="16"/>
  <c r="I123" i="16"/>
  <c r="H123" i="16"/>
  <c r="K123" i="16" s="1"/>
  <c r="G123" i="16"/>
  <c r="G127" i="16" s="1"/>
  <c r="F123" i="16"/>
  <c r="E123" i="16"/>
  <c r="E127" i="16" s="1"/>
  <c r="D123" i="16"/>
  <c r="C123" i="16"/>
  <c r="B123" i="16"/>
  <c r="J122" i="16"/>
  <c r="I122" i="16"/>
  <c r="H122" i="16"/>
  <c r="K122" i="16" s="1"/>
  <c r="G122" i="16"/>
  <c r="F122" i="16"/>
  <c r="E122" i="16"/>
  <c r="D122" i="16"/>
  <c r="C122" i="16"/>
  <c r="O122" i="16" s="1"/>
  <c r="B122" i="16"/>
  <c r="J121" i="16"/>
  <c r="I121" i="16"/>
  <c r="H121" i="16"/>
  <c r="O121" i="16" s="1"/>
  <c r="G121" i="16"/>
  <c r="F121" i="16"/>
  <c r="E121" i="16"/>
  <c r="D121" i="16"/>
  <c r="C121" i="16"/>
  <c r="B121" i="16"/>
  <c r="J120" i="16"/>
  <c r="I120" i="16"/>
  <c r="H120" i="16"/>
  <c r="L120" i="16" s="1"/>
  <c r="G120" i="16"/>
  <c r="F120" i="16"/>
  <c r="E120" i="16"/>
  <c r="D120" i="16"/>
  <c r="P120" i="16" s="1"/>
  <c r="C120" i="16"/>
  <c r="B120" i="16"/>
  <c r="L119" i="16"/>
  <c r="J119" i="16"/>
  <c r="I119" i="16"/>
  <c r="H119" i="16"/>
  <c r="G119" i="16"/>
  <c r="F119" i="16"/>
  <c r="E119" i="16"/>
  <c r="D119" i="16"/>
  <c r="C119" i="16"/>
  <c r="B119" i="16"/>
  <c r="J118" i="16"/>
  <c r="I118" i="16"/>
  <c r="H118" i="16"/>
  <c r="K118" i="16" s="1"/>
  <c r="G118" i="16"/>
  <c r="F118" i="16"/>
  <c r="E118" i="16"/>
  <c r="D118" i="16"/>
  <c r="C118" i="16"/>
  <c r="B118" i="16"/>
  <c r="J117" i="16"/>
  <c r="I117" i="16"/>
  <c r="H117" i="16"/>
  <c r="L117" i="16" s="1"/>
  <c r="G117" i="16"/>
  <c r="F117" i="16"/>
  <c r="E117" i="16"/>
  <c r="D117" i="16"/>
  <c r="C117" i="16"/>
  <c r="B117" i="16"/>
  <c r="J116" i="16"/>
  <c r="I116" i="16"/>
  <c r="I126" i="16" s="1"/>
  <c r="H116" i="16"/>
  <c r="G116" i="16"/>
  <c r="F116" i="16"/>
  <c r="E116" i="16"/>
  <c r="E126" i="16" s="1"/>
  <c r="D116" i="16"/>
  <c r="C116" i="16"/>
  <c r="B116" i="16"/>
  <c r="I111" i="16"/>
  <c r="E111" i="16"/>
  <c r="B109" i="16"/>
  <c r="J108" i="16"/>
  <c r="I108" i="16"/>
  <c r="H108" i="16"/>
  <c r="H111" i="16" s="1"/>
  <c r="G108" i="16"/>
  <c r="F108" i="16"/>
  <c r="E108" i="16"/>
  <c r="D108" i="16"/>
  <c r="C108" i="16"/>
  <c r="B108" i="16"/>
  <c r="K107" i="16"/>
  <c r="J107" i="16"/>
  <c r="I107" i="16"/>
  <c r="H107" i="16"/>
  <c r="G107" i="16"/>
  <c r="G111" i="16" s="1"/>
  <c r="F107" i="16"/>
  <c r="E107" i="16"/>
  <c r="D107" i="16"/>
  <c r="D111" i="16" s="1"/>
  <c r="C107" i="16"/>
  <c r="M107" i="16" s="1"/>
  <c r="B107" i="16"/>
  <c r="J106" i="16"/>
  <c r="I106" i="16"/>
  <c r="H106" i="16"/>
  <c r="G106" i="16"/>
  <c r="F106" i="16"/>
  <c r="E106" i="16"/>
  <c r="N106" i="16" s="1"/>
  <c r="D106" i="16"/>
  <c r="C106" i="16"/>
  <c r="B106" i="16"/>
  <c r="P105" i="16"/>
  <c r="J105" i="16"/>
  <c r="I105" i="16"/>
  <c r="H105" i="16"/>
  <c r="G105" i="16"/>
  <c r="F105" i="16"/>
  <c r="E105" i="16"/>
  <c r="D105" i="16"/>
  <c r="C105" i="16"/>
  <c r="B105" i="16"/>
  <c r="N104" i="16"/>
  <c r="J104" i="16"/>
  <c r="I104" i="16"/>
  <c r="H104" i="16"/>
  <c r="L104" i="16" s="1"/>
  <c r="G104" i="16"/>
  <c r="F104" i="16"/>
  <c r="E104" i="16"/>
  <c r="D104" i="16"/>
  <c r="C104" i="16"/>
  <c r="B104" i="16"/>
  <c r="K103" i="16"/>
  <c r="J103" i="16"/>
  <c r="I103" i="16"/>
  <c r="H103" i="16"/>
  <c r="O103" i="16" s="1"/>
  <c r="G103" i="16"/>
  <c r="F103" i="16"/>
  <c r="E103" i="16"/>
  <c r="D103" i="16"/>
  <c r="C103" i="16"/>
  <c r="M103" i="16" s="1"/>
  <c r="B103" i="16"/>
  <c r="J102" i="16"/>
  <c r="I102" i="16"/>
  <c r="H102" i="16"/>
  <c r="G102" i="16"/>
  <c r="F102" i="16"/>
  <c r="E102" i="16"/>
  <c r="D102" i="16"/>
  <c r="C102" i="16"/>
  <c r="B102" i="16"/>
  <c r="J101" i="16"/>
  <c r="I101" i="16"/>
  <c r="H101" i="16"/>
  <c r="G101" i="16"/>
  <c r="F101" i="16"/>
  <c r="E101" i="16"/>
  <c r="N101" i="16" s="1"/>
  <c r="D101" i="16"/>
  <c r="P101" i="16" s="1"/>
  <c r="C101" i="16"/>
  <c r="B101" i="16"/>
  <c r="P100" i="16"/>
  <c r="J100" i="16"/>
  <c r="I100" i="16"/>
  <c r="H100" i="16"/>
  <c r="G100" i="16"/>
  <c r="F100" i="16"/>
  <c r="E100" i="16"/>
  <c r="D100" i="16"/>
  <c r="C100" i="16"/>
  <c r="B100" i="16"/>
  <c r="B93" i="16"/>
  <c r="J92" i="16"/>
  <c r="I92" i="16"/>
  <c r="H92" i="16"/>
  <c r="L92" i="16" s="1"/>
  <c r="G92" i="16"/>
  <c r="F92" i="16"/>
  <c r="P92" i="16" s="1"/>
  <c r="E92" i="16"/>
  <c r="D92" i="16"/>
  <c r="C92" i="16"/>
  <c r="B92" i="16"/>
  <c r="L91" i="16"/>
  <c r="J91" i="16"/>
  <c r="I91" i="16"/>
  <c r="H91" i="16"/>
  <c r="G91" i="16"/>
  <c r="G95" i="16" s="1"/>
  <c r="F91" i="16"/>
  <c r="E91" i="16"/>
  <c r="D91" i="16"/>
  <c r="C91" i="16"/>
  <c r="C95" i="16" s="1"/>
  <c r="B91" i="16"/>
  <c r="B95" i="16" s="1"/>
  <c r="J90" i="16"/>
  <c r="I90" i="16"/>
  <c r="H90" i="16"/>
  <c r="K90" i="16" s="1"/>
  <c r="G90" i="16"/>
  <c r="F90" i="16"/>
  <c r="E90" i="16"/>
  <c r="D90" i="16"/>
  <c r="C90" i="16"/>
  <c r="B90" i="16"/>
  <c r="J89" i="16"/>
  <c r="I89" i="16"/>
  <c r="H89" i="16"/>
  <c r="L89" i="16" s="1"/>
  <c r="G89" i="16"/>
  <c r="F89" i="16"/>
  <c r="E89" i="16"/>
  <c r="N89" i="16" s="1"/>
  <c r="D89" i="16"/>
  <c r="C89" i="16"/>
  <c r="B89" i="16"/>
  <c r="J88" i="16"/>
  <c r="I88" i="16"/>
  <c r="H88" i="16"/>
  <c r="G88" i="16"/>
  <c r="F88" i="16"/>
  <c r="E88" i="16"/>
  <c r="N88" i="16" s="1"/>
  <c r="D88" i="16"/>
  <c r="C88" i="16"/>
  <c r="B88" i="16"/>
  <c r="J87" i="16"/>
  <c r="I87" i="16"/>
  <c r="H87" i="16"/>
  <c r="G87" i="16"/>
  <c r="F87" i="16"/>
  <c r="E87" i="16"/>
  <c r="D87" i="16"/>
  <c r="C87" i="16"/>
  <c r="B87" i="16"/>
  <c r="P87" i="16" s="1"/>
  <c r="J86" i="16"/>
  <c r="I86" i="16"/>
  <c r="H86" i="16"/>
  <c r="G86" i="16"/>
  <c r="F86" i="16"/>
  <c r="E86" i="16"/>
  <c r="D86" i="16"/>
  <c r="C86" i="16"/>
  <c r="N86" i="16" s="1"/>
  <c r="B86" i="16"/>
  <c r="N85" i="16"/>
  <c r="J85" i="16"/>
  <c r="I85" i="16"/>
  <c r="H85" i="16"/>
  <c r="O85" i="16" s="1"/>
  <c r="G85" i="16"/>
  <c r="F85" i="16"/>
  <c r="E85" i="16"/>
  <c r="D85" i="16"/>
  <c r="C85" i="16"/>
  <c r="B85" i="16"/>
  <c r="J84" i="16"/>
  <c r="J94" i="16" s="1"/>
  <c r="I84" i="16"/>
  <c r="H84" i="16"/>
  <c r="L84" i="16" s="1"/>
  <c r="G84" i="16"/>
  <c r="F84" i="16"/>
  <c r="F94" i="16" s="1"/>
  <c r="E84" i="16"/>
  <c r="D84" i="16"/>
  <c r="C84" i="16"/>
  <c r="B84" i="16"/>
  <c r="B94" i="16" s="1"/>
  <c r="B77" i="16"/>
  <c r="J76" i="16"/>
  <c r="I76" i="16"/>
  <c r="H76" i="16"/>
  <c r="L76" i="16" s="1"/>
  <c r="G76" i="16"/>
  <c r="F76" i="16"/>
  <c r="E76" i="16"/>
  <c r="D76" i="16"/>
  <c r="D79" i="16" s="1"/>
  <c r="C76" i="16"/>
  <c r="B76" i="16"/>
  <c r="K75" i="16"/>
  <c r="J75" i="16"/>
  <c r="I75" i="16"/>
  <c r="I79" i="16" s="1"/>
  <c r="H75" i="16"/>
  <c r="O75" i="16" s="1"/>
  <c r="G75" i="16"/>
  <c r="G79" i="16" s="1"/>
  <c r="F75" i="16"/>
  <c r="E75" i="16"/>
  <c r="E79" i="16" s="1"/>
  <c r="D75" i="16"/>
  <c r="C75" i="16"/>
  <c r="C79" i="16" s="1"/>
  <c r="B75" i="16"/>
  <c r="J74" i="16"/>
  <c r="I74" i="16"/>
  <c r="H74" i="16"/>
  <c r="L74" i="16" s="1"/>
  <c r="G74" i="16"/>
  <c r="F74" i="16"/>
  <c r="P74" i="16" s="1"/>
  <c r="E74" i="16"/>
  <c r="D74" i="16"/>
  <c r="C74" i="16"/>
  <c r="B74" i="16"/>
  <c r="J73" i="16"/>
  <c r="I73" i="16"/>
  <c r="H73" i="16"/>
  <c r="G73" i="16"/>
  <c r="F73" i="16"/>
  <c r="E73" i="16"/>
  <c r="D73" i="16"/>
  <c r="C73" i="16"/>
  <c r="B73" i="16"/>
  <c r="J72" i="16"/>
  <c r="I72" i="16"/>
  <c r="H72" i="16"/>
  <c r="G72" i="16"/>
  <c r="F72" i="16"/>
  <c r="E72" i="16"/>
  <c r="D72" i="16"/>
  <c r="C72" i="16"/>
  <c r="B72" i="16"/>
  <c r="J71" i="16"/>
  <c r="I71" i="16"/>
  <c r="H71" i="16"/>
  <c r="L71" i="16" s="1"/>
  <c r="G71" i="16"/>
  <c r="F71" i="16"/>
  <c r="E71" i="16"/>
  <c r="D71" i="16"/>
  <c r="C71" i="16"/>
  <c r="B71" i="16"/>
  <c r="J70" i="16"/>
  <c r="I70" i="16"/>
  <c r="H70" i="16"/>
  <c r="G70" i="16"/>
  <c r="F70" i="16"/>
  <c r="E70" i="16"/>
  <c r="N70" i="16" s="1"/>
  <c r="D70" i="16"/>
  <c r="C70" i="16"/>
  <c r="B70" i="16"/>
  <c r="P69" i="16"/>
  <c r="K69" i="16"/>
  <c r="J69" i="16"/>
  <c r="I69" i="16"/>
  <c r="H69" i="16"/>
  <c r="G69" i="16"/>
  <c r="G78" i="16" s="1"/>
  <c r="F69" i="16"/>
  <c r="E69" i="16"/>
  <c r="D69" i="16"/>
  <c r="C69" i="16"/>
  <c r="B69" i="16"/>
  <c r="J68" i="16"/>
  <c r="I68" i="16"/>
  <c r="H68" i="16"/>
  <c r="G68" i="16"/>
  <c r="F68" i="16"/>
  <c r="E68" i="16"/>
  <c r="D68" i="16"/>
  <c r="C68" i="16"/>
  <c r="B68" i="16"/>
  <c r="B61" i="16"/>
  <c r="K60" i="16"/>
  <c r="J60" i="16"/>
  <c r="I60" i="16"/>
  <c r="H60" i="16"/>
  <c r="H63" i="16" s="1"/>
  <c r="G60" i="16"/>
  <c r="F60" i="16"/>
  <c r="E60" i="16"/>
  <c r="D60" i="16"/>
  <c r="C60" i="16"/>
  <c r="B60" i="16"/>
  <c r="K59" i="16"/>
  <c r="J59" i="16"/>
  <c r="J63" i="16" s="1"/>
  <c r="I59" i="16"/>
  <c r="H59" i="16"/>
  <c r="G59" i="16"/>
  <c r="G63" i="16" s="1"/>
  <c r="F59" i="16"/>
  <c r="E59" i="16"/>
  <c r="D59" i="16"/>
  <c r="D63" i="16" s="1"/>
  <c r="C59" i="16"/>
  <c r="O59" i="16" s="1"/>
  <c r="B59" i="16"/>
  <c r="B63" i="16" s="1"/>
  <c r="J58" i="16"/>
  <c r="I58" i="16"/>
  <c r="H58" i="16"/>
  <c r="G58" i="16"/>
  <c r="F58" i="16"/>
  <c r="E58" i="16"/>
  <c r="N58" i="16" s="1"/>
  <c r="D58" i="16"/>
  <c r="P58" i="16" s="1"/>
  <c r="C58" i="16"/>
  <c r="B58" i="16"/>
  <c r="J57" i="16"/>
  <c r="I57" i="16"/>
  <c r="H57" i="16"/>
  <c r="L57" i="16" s="1"/>
  <c r="G57" i="16"/>
  <c r="F57" i="16"/>
  <c r="E57" i="16"/>
  <c r="D57" i="16"/>
  <c r="P57" i="16" s="1"/>
  <c r="C57" i="16"/>
  <c r="B57" i="16"/>
  <c r="J56" i="16"/>
  <c r="I56" i="16"/>
  <c r="H56" i="16"/>
  <c r="K56" i="16" s="1"/>
  <c r="G56" i="16"/>
  <c r="F56" i="16"/>
  <c r="N56" i="16" s="1"/>
  <c r="E56" i="16"/>
  <c r="D56" i="16"/>
  <c r="C56" i="16"/>
  <c r="B56" i="16"/>
  <c r="J55" i="16"/>
  <c r="I55" i="16"/>
  <c r="H55" i="16"/>
  <c r="K55" i="16" s="1"/>
  <c r="G55" i="16"/>
  <c r="F55" i="16"/>
  <c r="E55" i="16"/>
  <c r="D55" i="16"/>
  <c r="C55" i="16"/>
  <c r="B55" i="16"/>
  <c r="L54" i="16"/>
  <c r="J54" i="16"/>
  <c r="I54" i="16"/>
  <c r="H54" i="16"/>
  <c r="G54" i="16"/>
  <c r="F54" i="16"/>
  <c r="P54" i="16" s="1"/>
  <c r="E54" i="16"/>
  <c r="D54" i="16"/>
  <c r="C54" i="16"/>
  <c r="B54" i="16"/>
  <c r="J53" i="16"/>
  <c r="I53" i="16"/>
  <c r="H53" i="16"/>
  <c r="K53" i="16" s="1"/>
  <c r="G53" i="16"/>
  <c r="F53" i="16"/>
  <c r="E53" i="16"/>
  <c r="D53" i="16"/>
  <c r="P53" i="16" s="1"/>
  <c r="C53" i="16"/>
  <c r="B53" i="16"/>
  <c r="K52" i="16"/>
  <c r="J52" i="16"/>
  <c r="I52" i="16"/>
  <c r="H52" i="16"/>
  <c r="G52" i="16"/>
  <c r="F52" i="16"/>
  <c r="E52" i="16"/>
  <c r="N52" i="16" s="1"/>
  <c r="D52" i="16"/>
  <c r="C52" i="16"/>
  <c r="M52" i="16" s="1"/>
  <c r="B52" i="16"/>
  <c r="B45" i="16"/>
  <c r="J44" i="16"/>
  <c r="J47" i="16" s="1"/>
  <c r="I44" i="16"/>
  <c r="H44" i="16"/>
  <c r="G44" i="16"/>
  <c r="F44" i="16"/>
  <c r="F47" i="16" s="1"/>
  <c r="E44" i="16"/>
  <c r="D44" i="16"/>
  <c r="C44" i="16"/>
  <c r="B44" i="16"/>
  <c r="B47" i="16" s="1"/>
  <c r="J43" i="16"/>
  <c r="I43" i="16"/>
  <c r="H43" i="16"/>
  <c r="G43" i="16"/>
  <c r="G47" i="16" s="1"/>
  <c r="F43" i="16"/>
  <c r="E43" i="16"/>
  <c r="E47" i="16" s="1"/>
  <c r="D43" i="16"/>
  <c r="C43" i="16"/>
  <c r="C47" i="16" s="1"/>
  <c r="B43" i="16"/>
  <c r="J42" i="16"/>
  <c r="I42" i="16"/>
  <c r="H42" i="16"/>
  <c r="G42" i="16"/>
  <c r="F42" i="16"/>
  <c r="E42" i="16"/>
  <c r="D42" i="16"/>
  <c r="C42" i="16"/>
  <c r="O42" i="16" s="1"/>
  <c r="B42" i="16"/>
  <c r="K41" i="16"/>
  <c r="J41" i="16"/>
  <c r="I41" i="16"/>
  <c r="H41" i="16"/>
  <c r="G41" i="16"/>
  <c r="F41" i="16"/>
  <c r="E41" i="16"/>
  <c r="D41" i="16"/>
  <c r="C41" i="16"/>
  <c r="O41" i="16" s="1"/>
  <c r="B41" i="16"/>
  <c r="J40" i="16"/>
  <c r="I40" i="16"/>
  <c r="H40" i="16"/>
  <c r="G40" i="16"/>
  <c r="F40" i="16"/>
  <c r="E40" i="16"/>
  <c r="D40" i="16"/>
  <c r="C40" i="16"/>
  <c r="B40" i="16"/>
  <c r="J39" i="16"/>
  <c r="I39" i="16"/>
  <c r="H39" i="16"/>
  <c r="G39" i="16"/>
  <c r="F39" i="16"/>
  <c r="E39" i="16"/>
  <c r="D39" i="16"/>
  <c r="C39" i="16"/>
  <c r="B39" i="16"/>
  <c r="J38" i="16"/>
  <c r="I38" i="16"/>
  <c r="H38" i="16"/>
  <c r="K38" i="16" s="1"/>
  <c r="G38" i="16"/>
  <c r="F38" i="16"/>
  <c r="E38" i="16"/>
  <c r="D38" i="16"/>
  <c r="C38" i="16"/>
  <c r="B38" i="16"/>
  <c r="J37" i="16"/>
  <c r="I37" i="16"/>
  <c r="H37" i="16"/>
  <c r="K37" i="16" s="1"/>
  <c r="G37" i="16"/>
  <c r="F37" i="16"/>
  <c r="E37" i="16"/>
  <c r="D37" i="16"/>
  <c r="C37" i="16"/>
  <c r="O37" i="16" s="1"/>
  <c r="B37" i="16"/>
  <c r="J36" i="16"/>
  <c r="J46" i="16" s="1"/>
  <c r="I36" i="16"/>
  <c r="I46" i="16" s="1"/>
  <c r="H36" i="16"/>
  <c r="G36" i="16"/>
  <c r="F36" i="16"/>
  <c r="F46" i="16" s="1"/>
  <c r="E36" i="16"/>
  <c r="D36" i="16"/>
  <c r="C36" i="16"/>
  <c r="B36" i="16"/>
  <c r="B46" i="16" s="1"/>
  <c r="B29" i="16"/>
  <c r="J28" i="16"/>
  <c r="I28" i="16"/>
  <c r="H28" i="16"/>
  <c r="G28" i="16"/>
  <c r="F28" i="16"/>
  <c r="E28" i="16"/>
  <c r="D28" i="16"/>
  <c r="C28" i="16"/>
  <c r="B28" i="16"/>
  <c r="K27" i="16"/>
  <c r="J27" i="16"/>
  <c r="I27" i="16"/>
  <c r="H27" i="16"/>
  <c r="G27" i="16"/>
  <c r="G31" i="16" s="1"/>
  <c r="F27" i="16"/>
  <c r="E27" i="16"/>
  <c r="D27" i="16"/>
  <c r="C27" i="16"/>
  <c r="C31" i="16" s="1"/>
  <c r="B27" i="16"/>
  <c r="J26" i="16"/>
  <c r="I26" i="16"/>
  <c r="H26" i="16"/>
  <c r="G26" i="16"/>
  <c r="F26" i="16"/>
  <c r="E26" i="16"/>
  <c r="N26" i="16" s="1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O24" i="16" s="1"/>
  <c r="B24" i="16"/>
  <c r="J23" i="16"/>
  <c r="I23" i="16"/>
  <c r="H23" i="16"/>
  <c r="G23" i="16"/>
  <c r="F23" i="16"/>
  <c r="E23" i="16"/>
  <c r="N23" i="16" s="1"/>
  <c r="D23" i="16"/>
  <c r="P23" i="16" s="1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L21" i="16" s="1"/>
  <c r="G21" i="16"/>
  <c r="F21" i="16"/>
  <c r="E21" i="16"/>
  <c r="D21" i="16"/>
  <c r="C21" i="16"/>
  <c r="M21" i="16" s="1"/>
  <c r="B21" i="16"/>
  <c r="J20" i="16"/>
  <c r="I20" i="16"/>
  <c r="H20" i="16"/>
  <c r="H30" i="16" s="1"/>
  <c r="G20" i="16"/>
  <c r="F20" i="16"/>
  <c r="F30" i="16" s="1"/>
  <c r="E20" i="16"/>
  <c r="D20" i="16"/>
  <c r="C20" i="16"/>
  <c r="B20" i="16"/>
  <c r="B13" i="16"/>
  <c r="J12" i="16"/>
  <c r="I12" i="16"/>
  <c r="H12" i="16"/>
  <c r="H15" i="16" s="1"/>
  <c r="G12" i="16"/>
  <c r="F12" i="16"/>
  <c r="P12" i="16" s="1"/>
  <c r="E12" i="16"/>
  <c r="D12" i="16"/>
  <c r="D15" i="16" s="1"/>
  <c r="C12" i="16"/>
  <c r="B12" i="16"/>
  <c r="K11" i="16"/>
  <c r="J11" i="16"/>
  <c r="J15" i="16" s="1"/>
  <c r="I11" i="16"/>
  <c r="I15" i="16" s="1"/>
  <c r="H11" i="16"/>
  <c r="O11" i="16" s="1"/>
  <c r="G11" i="16"/>
  <c r="G15" i="16" s="1"/>
  <c r="F11" i="16"/>
  <c r="E11" i="16"/>
  <c r="E15" i="16" s="1"/>
  <c r="D11" i="16"/>
  <c r="C11" i="16"/>
  <c r="B11" i="16"/>
  <c r="B15" i="16" s="1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P9" i="16" s="1"/>
  <c r="E9" i="16"/>
  <c r="D9" i="16"/>
  <c r="C9" i="16"/>
  <c r="B9" i="16"/>
  <c r="J8" i="16"/>
  <c r="I8" i="16"/>
  <c r="H8" i="16"/>
  <c r="G8" i="16"/>
  <c r="F8" i="16"/>
  <c r="E8" i="16"/>
  <c r="D8" i="16"/>
  <c r="P8" i="16" s="1"/>
  <c r="C8" i="16"/>
  <c r="B8" i="16"/>
  <c r="K7" i="16"/>
  <c r="J7" i="16"/>
  <c r="I7" i="16"/>
  <c r="H7" i="16"/>
  <c r="G7" i="16"/>
  <c r="F7" i="16"/>
  <c r="E7" i="16"/>
  <c r="D7" i="16"/>
  <c r="C7" i="16"/>
  <c r="O7" i="16" s="1"/>
  <c r="B7" i="16"/>
  <c r="J6" i="16"/>
  <c r="I6" i="16"/>
  <c r="H6" i="16"/>
  <c r="G6" i="16"/>
  <c r="F6" i="16"/>
  <c r="E6" i="16"/>
  <c r="D6" i="16"/>
  <c r="C6" i="16"/>
  <c r="B6" i="16"/>
  <c r="J5" i="16"/>
  <c r="I5" i="16"/>
  <c r="H5" i="16"/>
  <c r="G5" i="16"/>
  <c r="F5" i="16"/>
  <c r="P5" i="16" s="1"/>
  <c r="E5" i="16"/>
  <c r="D5" i="16"/>
  <c r="C5" i="16"/>
  <c r="B5" i="16"/>
  <c r="J4" i="16"/>
  <c r="I4" i="16"/>
  <c r="H4" i="16"/>
  <c r="G4" i="16"/>
  <c r="G14" i="16" s="1"/>
  <c r="F4" i="16"/>
  <c r="E4" i="16"/>
  <c r="D4" i="16"/>
  <c r="D14" i="16" s="1"/>
  <c r="C4" i="16"/>
  <c r="B4" i="16"/>
  <c r="O479" i="15"/>
  <c r="N479" i="15"/>
  <c r="M479" i="15"/>
  <c r="L479" i="15"/>
  <c r="K479" i="15"/>
  <c r="J479" i="15"/>
  <c r="I479" i="15"/>
  <c r="H479" i="15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P478" i="15" s="1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P476" i="15" s="1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P474" i="15" s="1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P472" i="15" s="1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P470" i="15" s="1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P468" i="15" s="1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P466" i="15" s="1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P464" i="15" s="1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P462" i="15" s="1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P460" i="15" s="1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P456" i="15" s="1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P452" i="15" s="1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P450" i="15" s="1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P448" i="15" s="1"/>
  <c r="G448" i="15"/>
  <c r="F448" i="15"/>
  <c r="E448" i="15"/>
  <c r="D448" i="15"/>
  <c r="C448" i="15"/>
  <c r="B448" i="15"/>
  <c r="O445" i="15"/>
  <c r="I445" i="15"/>
  <c r="B445" i="15"/>
  <c r="I444" i="15"/>
  <c r="B444" i="15"/>
  <c r="O439" i="15"/>
  <c r="N439" i="15"/>
  <c r="M439" i="15"/>
  <c r="L439" i="15"/>
  <c r="K439" i="15"/>
  <c r="J439" i="15"/>
  <c r="I439" i="15"/>
  <c r="H439" i="15"/>
  <c r="P439" i="15" s="1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P437" i="15" s="1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P436" i="15" s="1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P435" i="15" s="1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P434" i="15" s="1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P433" i="15" s="1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P431" i="15" s="1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P430" i="15" s="1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P429" i="15" s="1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P427" i="15" s="1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P426" i="15" s="1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P425" i="15" s="1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P424" i="15" s="1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P423" i="15" s="1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P422" i="15" s="1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P421" i="15" s="1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P420" i="15" s="1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P419" i="15" s="1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P418" i="15" s="1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P417" i="15" s="1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P415" i="15" s="1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P414" i="15" s="1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P413" i="15" s="1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P411" i="15" s="1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P410" i="15" s="1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P409" i="15" s="1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P408" i="15" s="1"/>
  <c r="G408" i="15"/>
  <c r="F408" i="15"/>
  <c r="E408" i="15"/>
  <c r="D408" i="15"/>
  <c r="C408" i="15"/>
  <c r="B408" i="15"/>
  <c r="I405" i="15"/>
  <c r="B405" i="15"/>
  <c r="O405" i="15" s="1"/>
  <c r="I404" i="15"/>
  <c r="B404" i="15"/>
  <c r="O399" i="15"/>
  <c r="N399" i="15"/>
  <c r="M399" i="15"/>
  <c r="L399" i="15"/>
  <c r="K399" i="15"/>
  <c r="J399" i="15"/>
  <c r="I399" i="15"/>
  <c r="H399" i="15"/>
  <c r="P399" i="15" s="1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P398" i="15" s="1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P397" i="15" s="1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P396" i="15" s="1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P394" i="15" s="1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P393" i="15" s="1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P392" i="15" s="1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P391" i="15" s="1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P390" i="15" s="1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P389" i="15" s="1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P388" i="15" s="1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P387" i="15" s="1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P386" i="15" s="1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P385" i="15" s="1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P384" i="15" s="1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P383" i="15" s="1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P382" i="15" s="1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P381" i="15" s="1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P380" i="15" s="1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P377" i="15" s="1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P373" i="15" s="1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P371" i="15" s="1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P369" i="15" s="1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G368" i="15"/>
  <c r="F368" i="15"/>
  <c r="E368" i="15"/>
  <c r="D368" i="15"/>
  <c r="C368" i="15"/>
  <c r="B368" i="15"/>
  <c r="I365" i="15"/>
  <c r="O365" i="15" s="1"/>
  <c r="B365" i="15"/>
  <c r="I364" i="15"/>
  <c r="B364" i="15"/>
  <c r="O359" i="15"/>
  <c r="N359" i="15"/>
  <c r="M359" i="15"/>
  <c r="L359" i="15"/>
  <c r="K359" i="15"/>
  <c r="J359" i="15"/>
  <c r="I359" i="15"/>
  <c r="H359" i="15"/>
  <c r="P359" i="15" s="1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P356" i="15" s="1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P354" i="15" s="1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P352" i="15" s="1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P350" i="15" s="1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P348" i="15" s="1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P346" i="15" s="1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P344" i="15" s="1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P342" i="15" s="1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P340" i="15" s="1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P338" i="15" s="1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P336" i="15" s="1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P334" i="15" s="1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P332" i="15" s="1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P330" i="15" s="1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P328" i="15" s="1"/>
  <c r="G328" i="15"/>
  <c r="F328" i="15"/>
  <c r="E328" i="15"/>
  <c r="D328" i="15"/>
  <c r="C328" i="15"/>
  <c r="B328" i="15"/>
  <c r="I325" i="15"/>
  <c r="B325" i="15"/>
  <c r="O325" i="15" s="1"/>
  <c r="I324" i="15"/>
  <c r="B324" i="15"/>
  <c r="O319" i="15"/>
  <c r="N319" i="15"/>
  <c r="M319" i="15"/>
  <c r="L319" i="15"/>
  <c r="K319" i="15"/>
  <c r="J319" i="15"/>
  <c r="I319" i="15"/>
  <c r="H319" i="15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P318" i="15" s="1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P314" i="15" s="1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P312" i="15" s="1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P310" i="15" s="1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P308" i="15" s="1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P306" i="15" s="1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P304" i="15" s="1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P302" i="15" s="1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P298" i="15" s="1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P296" i="15" s="1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P294" i="15" s="1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P292" i="15" s="1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P290" i="15" s="1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P288" i="15" s="1"/>
  <c r="G288" i="15"/>
  <c r="F288" i="15"/>
  <c r="E288" i="15"/>
  <c r="D288" i="15"/>
  <c r="C288" i="15"/>
  <c r="B288" i="15"/>
  <c r="I285" i="15"/>
  <c r="B285" i="15"/>
  <c r="O285" i="15" s="1"/>
  <c r="I284" i="15"/>
  <c r="B284" i="15"/>
  <c r="O279" i="15"/>
  <c r="N279" i="15"/>
  <c r="M279" i="15"/>
  <c r="L279" i="15"/>
  <c r="K279" i="15"/>
  <c r="J279" i="15"/>
  <c r="I279" i="15"/>
  <c r="H279" i="15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P278" i="15" s="1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P276" i="15" s="1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P274" i="15" s="1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P272" i="15" s="1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P270" i="15" s="1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P268" i="15" s="1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P266" i="15" s="1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P264" i="15" s="1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P262" i="15" s="1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P260" i="15" s="1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P258" i="15" s="1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P256" i="15" s="1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P254" i="15" s="1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P252" i="15" s="1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P250" i="15" s="1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P248" i="15" s="1"/>
  <c r="G248" i="15"/>
  <c r="F248" i="15"/>
  <c r="E248" i="15"/>
  <c r="D248" i="15"/>
  <c r="C248" i="15"/>
  <c r="B248" i="15"/>
  <c r="I245" i="15"/>
  <c r="O245" i="15" s="1"/>
  <c r="B245" i="15"/>
  <c r="I244" i="15"/>
  <c r="B244" i="15"/>
  <c r="O239" i="15"/>
  <c r="N239" i="15"/>
  <c r="M239" i="15"/>
  <c r="L239" i="15"/>
  <c r="K239" i="15"/>
  <c r="J239" i="15"/>
  <c r="I239" i="15"/>
  <c r="H239" i="15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P235" i="15" s="1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P233" i="15" s="1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P231" i="15" s="1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P229" i="15" s="1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P228" i="15" s="1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P227" i="15" s="1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P226" i="15" s="1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P224" i="15" s="1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P223" i="15" s="1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P222" i="15" s="1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P220" i="15" s="1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P219" i="15" s="1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P218" i="15" s="1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P217" i="15" s="1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P216" i="15" s="1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P215" i="15" s="1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P214" i="15" s="1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P213" i="15" s="1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P212" i="15" s="1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P211" i="15" s="1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P210" i="15" s="1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P208" i="15" s="1"/>
  <c r="G208" i="15"/>
  <c r="F208" i="15"/>
  <c r="E208" i="15"/>
  <c r="D208" i="15"/>
  <c r="C208" i="15"/>
  <c r="B208" i="15"/>
  <c r="I205" i="15"/>
  <c r="B205" i="15"/>
  <c r="O205" i="15" s="1"/>
  <c r="I204" i="15"/>
  <c r="B204" i="15"/>
  <c r="O199" i="15"/>
  <c r="N199" i="15"/>
  <c r="M199" i="15"/>
  <c r="L199" i="15"/>
  <c r="K199" i="15"/>
  <c r="J199" i="15"/>
  <c r="I199" i="15"/>
  <c r="H199" i="15"/>
  <c r="P199" i="15" s="1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P198" i="15" s="1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P197" i="15" s="1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P196" i="15" s="1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P195" i="15" s="1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P194" i="15" s="1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P193" i="15" s="1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P191" i="15" s="1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P190" i="15" s="1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P189" i="15" s="1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P187" i="15" s="1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P186" i="15" s="1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P185" i="15" s="1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P183" i="15" s="1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P182" i="15" s="1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P181" i="15" s="1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P180" i="15" s="1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P179" i="15" s="1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P178" i="15" s="1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P177" i="15" s="1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P175" i="15" s="1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P174" i="15" s="1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P173" i="15" s="1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P172" i="15" s="1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P171" i="15" s="1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P170" i="15" s="1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P169" i="15" s="1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P168" i="15" s="1"/>
  <c r="G168" i="15"/>
  <c r="F168" i="15"/>
  <c r="E168" i="15"/>
  <c r="D168" i="15"/>
  <c r="C168" i="15"/>
  <c r="B168" i="15"/>
  <c r="I165" i="15"/>
  <c r="B165" i="15"/>
  <c r="I164" i="15"/>
  <c r="B164" i="15"/>
  <c r="O159" i="15"/>
  <c r="N159" i="15"/>
  <c r="M159" i="15"/>
  <c r="L159" i="15"/>
  <c r="K159" i="15"/>
  <c r="J159" i="15"/>
  <c r="I159" i="15"/>
  <c r="H159" i="15"/>
  <c r="P159" i="15" s="1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P156" i="15" s="1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P155" i="15" s="1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P154" i="15" s="1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P153" i="15" s="1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P152" i="15" s="1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P151" i="15" s="1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P150" i="15" s="1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P148" i="15" s="1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P147" i="15" s="1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P146" i="15" s="1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P145" i="15" s="1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P144" i="15" s="1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P143" i="15" s="1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P142" i="15" s="1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P141" i="15" s="1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P139" i="15" s="1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P138" i="15" s="1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P137" i="15" s="1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P136" i="15" s="1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P135" i="15" s="1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P134" i="15" s="1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P133" i="15" s="1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P132" i="15" s="1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P131" i="15" s="1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P130" i="15" s="1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P129" i="15" s="1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P128" i="15" s="1"/>
  <c r="G128" i="15"/>
  <c r="F128" i="15"/>
  <c r="E128" i="15"/>
  <c r="D128" i="15"/>
  <c r="C128" i="15"/>
  <c r="B128" i="15"/>
  <c r="I125" i="15"/>
  <c r="B125" i="15"/>
  <c r="O125" i="15" s="1"/>
  <c r="I124" i="15"/>
  <c r="B124" i="15"/>
  <c r="O119" i="15"/>
  <c r="N119" i="15"/>
  <c r="M119" i="15"/>
  <c r="L119" i="15"/>
  <c r="K119" i="15"/>
  <c r="J119" i="15"/>
  <c r="I119" i="15"/>
  <c r="H119" i="15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P118" i="15" s="1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P117" i="15" s="1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P116" i="15" s="1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P115" i="15" s="1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P114" i="15" s="1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P113" i="15" s="1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P112" i="15" s="1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P111" i="15" s="1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P110" i="15" s="1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P109" i="15" s="1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P108" i="15" s="1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P107" i="15" s="1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P106" i="15" s="1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P105" i="15" s="1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P104" i="15" s="1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P103" i="15" s="1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P102" i="15" s="1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P101" i="15" s="1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P100" i="15" s="1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P99" i="15" s="1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P98" i="15" s="1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P97" i="15" s="1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P96" i="15" s="1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P95" i="15" s="1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P94" i="15" s="1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P93" i="15" s="1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P92" i="15" s="1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P91" i="15" s="1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P90" i="15" s="1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P89" i="15" s="1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P88" i="15" s="1"/>
  <c r="G88" i="15"/>
  <c r="F88" i="15"/>
  <c r="E88" i="15"/>
  <c r="D88" i="15"/>
  <c r="C88" i="15"/>
  <c r="B88" i="15"/>
  <c r="O85" i="15"/>
  <c r="I85" i="15"/>
  <c r="B85" i="15"/>
  <c r="I84" i="15"/>
  <c r="B84" i="15"/>
  <c r="O79" i="15"/>
  <c r="N79" i="15"/>
  <c r="M79" i="15"/>
  <c r="L79" i="15"/>
  <c r="K79" i="15"/>
  <c r="J79" i="15"/>
  <c r="I79" i="15"/>
  <c r="H79" i="15"/>
  <c r="P79" i="15" s="1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P74" i="15" s="1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P72" i="15" s="1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P70" i="15" s="1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P68" i="15" s="1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P66" i="15" s="1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P64" i="15" s="1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P62" i="15" s="1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P60" i="15" s="1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P58" i="15" s="1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P56" i="15" s="1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P54" i="15" s="1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P52" i="15" s="1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P50" i="15" s="1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P48" i="15" s="1"/>
  <c r="G48" i="15"/>
  <c r="F48" i="15"/>
  <c r="E48" i="15"/>
  <c r="D48" i="15"/>
  <c r="C48" i="15"/>
  <c r="B48" i="15"/>
  <c r="O45" i="15"/>
  <c r="I45" i="15"/>
  <c r="B45" i="15"/>
  <c r="I44" i="15"/>
  <c r="B44" i="15"/>
  <c r="O39" i="15"/>
  <c r="N39" i="15"/>
  <c r="M39" i="15"/>
  <c r="L39" i="15"/>
  <c r="K39" i="15"/>
  <c r="J39" i="15"/>
  <c r="I39" i="15"/>
  <c r="H39" i="15"/>
  <c r="P39" i="15" s="1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P38" i="15" s="1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P37" i="15" s="1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P36" i="15" s="1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P35" i="15" s="1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P34" i="15" s="1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P33" i="15" s="1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P32" i="15" s="1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P31" i="15" s="1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P30" i="15" s="1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P29" i="15" s="1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P28" i="15" s="1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P27" i="15" s="1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P26" i="15" s="1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P25" i="15" s="1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P24" i="15" s="1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P23" i="15" s="1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P22" i="15" s="1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P21" i="15" s="1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P20" i="15" s="1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P19" i="15" s="1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P18" i="15" s="1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P17" i="15" s="1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P16" i="15" s="1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P15" i="15" s="1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P14" i="15" s="1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P13" i="15" s="1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P12" i="15" s="1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P11" i="15" s="1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P10" i="15" s="1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P9" i="15" s="1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P8" i="15" s="1"/>
  <c r="G8" i="15"/>
  <c r="F8" i="15"/>
  <c r="E8" i="15"/>
  <c r="D8" i="15"/>
  <c r="C8" i="15"/>
  <c r="B8" i="15"/>
  <c r="I5" i="15"/>
  <c r="B5" i="15"/>
  <c r="O5" i="15" s="1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L4" i="16" l="1"/>
  <c r="P4" i="16"/>
  <c r="N5" i="16"/>
  <c r="L8" i="16"/>
  <c r="N9" i="16"/>
  <c r="M12" i="16"/>
  <c r="K12" i="16"/>
  <c r="K21" i="16"/>
  <c r="L23" i="16"/>
  <c r="P230" i="15"/>
  <c r="P232" i="15"/>
  <c r="P234" i="15"/>
  <c r="P236" i="15"/>
  <c r="P239" i="15"/>
  <c r="P249" i="15"/>
  <c r="P253" i="15"/>
  <c r="P257" i="15"/>
  <c r="P259" i="15"/>
  <c r="P261" i="15"/>
  <c r="P265" i="15"/>
  <c r="P269" i="15"/>
  <c r="P273" i="15"/>
  <c r="P275" i="15"/>
  <c r="P277" i="15"/>
  <c r="P289" i="15"/>
  <c r="P291" i="15"/>
  <c r="P293" i="15"/>
  <c r="P295" i="15"/>
  <c r="P297" i="15"/>
  <c r="P299" i="15"/>
  <c r="P301" i="15"/>
  <c r="P303" i="15"/>
  <c r="P305" i="15"/>
  <c r="P307" i="15"/>
  <c r="P309" i="15"/>
  <c r="P311" i="15"/>
  <c r="P313" i="15"/>
  <c r="P315" i="15"/>
  <c r="P317" i="15"/>
  <c r="P319" i="15"/>
  <c r="P329" i="15"/>
  <c r="P331" i="15"/>
  <c r="P335" i="15"/>
  <c r="P339" i="15"/>
  <c r="P341" i="15"/>
  <c r="P343" i="15"/>
  <c r="P347" i="15"/>
  <c r="P351" i="15"/>
  <c r="P355" i="15"/>
  <c r="P357" i="15"/>
  <c r="P368" i="15"/>
  <c r="P370" i="15"/>
  <c r="P372" i="15"/>
  <c r="P374" i="15"/>
  <c r="P376" i="15"/>
  <c r="P378" i="15"/>
  <c r="O12" i="16"/>
  <c r="N22" i="16"/>
  <c r="N28" i="16"/>
  <c r="P49" i="15"/>
  <c r="P51" i="15"/>
  <c r="P53" i="15"/>
  <c r="P55" i="15"/>
  <c r="P57" i="15"/>
  <c r="P59" i="15"/>
  <c r="P61" i="15"/>
  <c r="P63" i="15"/>
  <c r="P65" i="15"/>
  <c r="P67" i="15"/>
  <c r="P69" i="15"/>
  <c r="P71" i="15"/>
  <c r="P73" i="15"/>
  <c r="P75" i="15"/>
  <c r="P449" i="15"/>
  <c r="P451" i="15"/>
  <c r="P453" i="15"/>
  <c r="P455" i="15"/>
  <c r="P457" i="15"/>
  <c r="P459" i="15"/>
  <c r="P461" i="15"/>
  <c r="P463" i="15"/>
  <c r="P465" i="15"/>
  <c r="P467" i="15"/>
  <c r="P469" i="15"/>
  <c r="P471" i="15"/>
  <c r="P473" i="15"/>
  <c r="P475" i="15"/>
  <c r="P477" i="15"/>
  <c r="P479" i="15"/>
  <c r="B14" i="16"/>
  <c r="F14" i="16"/>
  <c r="P14" i="16" s="1"/>
  <c r="J14" i="16"/>
  <c r="M6" i="16"/>
  <c r="N8" i="16"/>
  <c r="M10" i="16"/>
  <c r="M22" i="16"/>
  <c r="P26" i="16"/>
  <c r="M4" i="16"/>
  <c r="K4" i="16"/>
  <c r="M8" i="16"/>
  <c r="K8" i="16"/>
  <c r="N12" i="16"/>
  <c r="D30" i="16"/>
  <c r="L22" i="16"/>
  <c r="L28" i="16"/>
  <c r="P39" i="16"/>
  <c r="L39" i="16"/>
  <c r="P40" i="16"/>
  <c r="N41" i="16"/>
  <c r="L44" i="16"/>
  <c r="N54" i="16"/>
  <c r="E63" i="16"/>
  <c r="I63" i="16"/>
  <c r="L68" i="16"/>
  <c r="L72" i="16"/>
  <c r="O72" i="16"/>
  <c r="N73" i="16"/>
  <c r="P76" i="16"/>
  <c r="L87" i="16"/>
  <c r="O87" i="16"/>
  <c r="M88" i="16"/>
  <c r="O89" i="16"/>
  <c r="K89" i="16"/>
  <c r="L100" i="16"/>
  <c r="O100" i="16"/>
  <c r="L101" i="16"/>
  <c r="L105" i="16"/>
  <c r="O105" i="16"/>
  <c r="K108" i="16"/>
  <c r="D126" i="16"/>
  <c r="M116" i="16"/>
  <c r="O117" i="16"/>
  <c r="K117" i="16"/>
  <c r="N121" i="16"/>
  <c r="J126" i="16"/>
  <c r="O123" i="16"/>
  <c r="L133" i="16"/>
  <c r="O135" i="16"/>
  <c r="K135" i="16"/>
  <c r="L153" i="16"/>
  <c r="M153" i="16"/>
  <c r="N156" i="16"/>
  <c r="L164" i="16"/>
  <c r="O171" i="16"/>
  <c r="G190" i="16"/>
  <c r="K180" i="16"/>
  <c r="L181" i="16"/>
  <c r="M185" i="16"/>
  <c r="N186" i="16"/>
  <c r="N188" i="16"/>
  <c r="N4" i="20"/>
  <c r="L5" i="20"/>
  <c r="M6" i="20"/>
  <c r="P8" i="20"/>
  <c r="L8" i="20"/>
  <c r="N10" i="20"/>
  <c r="M12" i="20"/>
  <c r="N38" i="16"/>
  <c r="N39" i="16"/>
  <c r="L42" i="16"/>
  <c r="N44" i="16"/>
  <c r="I47" i="16"/>
  <c r="B62" i="16"/>
  <c r="J62" i="16"/>
  <c r="O55" i="16"/>
  <c r="M57" i="16"/>
  <c r="K57" i="16"/>
  <c r="L58" i="16"/>
  <c r="O60" i="16"/>
  <c r="E78" i="16"/>
  <c r="I78" i="16"/>
  <c r="L69" i="16"/>
  <c r="O69" i="16"/>
  <c r="M70" i="16"/>
  <c r="O71" i="16"/>
  <c r="K71" i="16"/>
  <c r="N74" i="16"/>
  <c r="B79" i="16"/>
  <c r="J79" i="16"/>
  <c r="N76" i="16"/>
  <c r="H79" i="16"/>
  <c r="M85" i="16"/>
  <c r="K85" i="16"/>
  <c r="M89" i="16"/>
  <c r="O108" i="16"/>
  <c r="M117" i="16"/>
  <c r="I127" i="16"/>
  <c r="P150" i="16"/>
  <c r="L6" i="20"/>
  <c r="L9" i="20"/>
  <c r="M10" i="20"/>
  <c r="L12" i="20"/>
  <c r="F78" i="16"/>
  <c r="P90" i="16"/>
  <c r="F95" i="16"/>
  <c r="J95" i="16"/>
  <c r="L107" i="16"/>
  <c r="N117" i="16"/>
  <c r="P118" i="16"/>
  <c r="P119" i="16"/>
  <c r="K121" i="16"/>
  <c r="B127" i="16"/>
  <c r="F127" i="16"/>
  <c r="N127" i="16" s="1"/>
  <c r="N135" i="16"/>
  <c r="N137" i="16"/>
  <c r="N139" i="16"/>
  <c r="D143" i="16"/>
  <c r="L151" i="16"/>
  <c r="O151" i="16"/>
  <c r="M152" i="16"/>
  <c r="K154" i="16"/>
  <c r="O156" i="16"/>
  <c r="I174" i="16"/>
  <c r="P168" i="16"/>
  <c r="L169" i="16"/>
  <c r="M172" i="16"/>
  <c r="N183" i="16"/>
  <c r="L184" i="16"/>
  <c r="M184" i="16"/>
  <c r="D191" i="16"/>
  <c r="L187" i="16"/>
  <c r="G191" i="16"/>
  <c r="K188" i="16"/>
  <c r="P5" i="20"/>
  <c r="M7" i="20"/>
  <c r="M9" i="20"/>
  <c r="L10" i="20"/>
  <c r="O11" i="20"/>
  <c r="P25" i="16"/>
  <c r="N27" i="16"/>
  <c r="I31" i="16"/>
  <c r="D46" i="16"/>
  <c r="O39" i="16"/>
  <c r="N40" i="16"/>
  <c r="N42" i="16"/>
  <c r="D47" i="16"/>
  <c r="H47" i="16"/>
  <c r="D62" i="16"/>
  <c r="H62" i="16"/>
  <c r="N55" i="16"/>
  <c r="M56" i="16"/>
  <c r="G62" i="16"/>
  <c r="P70" i="16"/>
  <c r="M72" i="16"/>
  <c r="K72" i="16"/>
  <c r="P73" i="16"/>
  <c r="C94" i="16"/>
  <c r="G94" i="16"/>
  <c r="E94" i="16"/>
  <c r="N94" i="16" s="1"/>
  <c r="M87" i="16"/>
  <c r="K87" i="16"/>
  <c r="M90" i="16"/>
  <c r="I95" i="16"/>
  <c r="M100" i="16"/>
  <c r="K100" i="16"/>
  <c r="P102" i="16"/>
  <c r="J110" i="16"/>
  <c r="N103" i="16"/>
  <c r="P104" i="16"/>
  <c r="M105" i="16"/>
  <c r="K105" i="16"/>
  <c r="N107" i="16"/>
  <c r="N108" i="16"/>
  <c r="M118" i="16"/>
  <c r="N119" i="16"/>
  <c r="M123" i="16"/>
  <c r="G142" i="16"/>
  <c r="O139" i="16"/>
  <c r="C158" i="16"/>
  <c r="N150" i="16"/>
  <c r="B159" i="16"/>
  <c r="F159" i="16"/>
  <c r="J159" i="16"/>
  <c r="G174" i="16"/>
  <c r="E174" i="16"/>
  <c r="B175" i="16"/>
  <c r="J175" i="16"/>
  <c r="L172" i="16"/>
  <c r="O172" i="16"/>
  <c r="F190" i="16"/>
  <c r="N184" i="16"/>
  <c r="P186" i="16"/>
  <c r="L186" i="16"/>
  <c r="O186" i="16"/>
  <c r="L4" i="20"/>
  <c r="P9" i="20"/>
  <c r="L11" i="20"/>
  <c r="P12" i="20"/>
  <c r="AL16" i="17"/>
  <c r="P184" i="15"/>
  <c r="P263" i="15"/>
  <c r="P279" i="15"/>
  <c r="P345" i="15"/>
  <c r="P375" i="15"/>
  <c r="P454" i="15"/>
  <c r="P119" i="15"/>
  <c r="P140" i="15"/>
  <c r="P149" i="15"/>
  <c r="P157" i="15"/>
  <c r="P188" i="15"/>
  <c r="P221" i="15"/>
  <c r="P237" i="15"/>
  <c r="P251" i="15"/>
  <c r="P267" i="15"/>
  <c r="P300" i="15"/>
  <c r="P316" i="15"/>
  <c r="P333" i="15"/>
  <c r="P349" i="15"/>
  <c r="P379" i="15"/>
  <c r="P395" i="15"/>
  <c r="P412" i="15"/>
  <c r="P428" i="15"/>
  <c r="P458" i="15"/>
  <c r="O165" i="15"/>
  <c r="P176" i="15"/>
  <c r="P192" i="15"/>
  <c r="P209" i="15"/>
  <c r="P225" i="15"/>
  <c r="P255" i="15"/>
  <c r="P271" i="15"/>
  <c r="P337" i="15"/>
  <c r="P353" i="15"/>
  <c r="P416" i="15"/>
  <c r="P432" i="15"/>
  <c r="E14" i="16"/>
  <c r="I14" i="16"/>
  <c r="O4" i="16"/>
  <c r="O5" i="16"/>
  <c r="K5" i="16"/>
  <c r="M5" i="16"/>
  <c r="L6" i="16"/>
  <c r="N6" i="16"/>
  <c r="O8" i="16"/>
  <c r="O9" i="16"/>
  <c r="K9" i="16"/>
  <c r="M9" i="16"/>
  <c r="L10" i="16"/>
  <c r="N10" i="16"/>
  <c r="N21" i="16"/>
  <c r="P24" i="16"/>
  <c r="K25" i="16"/>
  <c r="O25" i="16"/>
  <c r="N36" i="16"/>
  <c r="N47" i="16"/>
  <c r="P7" i="16"/>
  <c r="F15" i="16"/>
  <c r="P15" i="16" s="1"/>
  <c r="P11" i="16"/>
  <c r="O22" i="16"/>
  <c r="K22" i="16"/>
  <c r="P22" i="16"/>
  <c r="E31" i="16"/>
  <c r="M27" i="16"/>
  <c r="K30" i="16"/>
  <c r="P46" i="16"/>
  <c r="P6" i="16"/>
  <c r="M7" i="16"/>
  <c r="P10" i="16"/>
  <c r="C15" i="16"/>
  <c r="M15" i="16" s="1"/>
  <c r="M11" i="16"/>
  <c r="H14" i="16"/>
  <c r="B30" i="16"/>
  <c r="P30" i="16" s="1"/>
  <c r="P20" i="16"/>
  <c r="J30" i="16"/>
  <c r="O21" i="16"/>
  <c r="L24" i="16"/>
  <c r="L26" i="16"/>
  <c r="P36" i="16"/>
  <c r="M37" i="16"/>
  <c r="E46" i="16"/>
  <c r="N37" i="16"/>
  <c r="P47" i="16"/>
  <c r="L5" i="16"/>
  <c r="L7" i="16"/>
  <c r="N7" i="16"/>
  <c r="L9" i="16"/>
  <c r="L11" i="16"/>
  <c r="N11" i="16"/>
  <c r="L15" i="16"/>
  <c r="O15" i="16"/>
  <c r="K15" i="16"/>
  <c r="L12" i="16"/>
  <c r="C14" i="16"/>
  <c r="M14" i="16" s="1"/>
  <c r="N15" i="16"/>
  <c r="C30" i="16"/>
  <c r="G30" i="16"/>
  <c r="N20" i="16"/>
  <c r="M23" i="16"/>
  <c r="N24" i="16"/>
  <c r="M25" i="16"/>
  <c r="L25" i="16"/>
  <c r="P28" i="16"/>
  <c r="D31" i="16"/>
  <c r="K28" i="16"/>
  <c r="O28" i="16"/>
  <c r="H31" i="16"/>
  <c r="L36" i="16"/>
  <c r="L38" i="16"/>
  <c r="O40" i="16"/>
  <c r="K40" i="16"/>
  <c r="M40" i="16"/>
  <c r="L47" i="16"/>
  <c r="O47" i="16"/>
  <c r="K47" i="16"/>
  <c r="L43" i="16"/>
  <c r="P44" i="16"/>
  <c r="M47" i="16"/>
  <c r="L53" i="16"/>
  <c r="F63" i="16"/>
  <c r="P63" i="16" s="1"/>
  <c r="P59" i="16"/>
  <c r="P60" i="16"/>
  <c r="K73" i="16"/>
  <c r="O73" i="16"/>
  <c r="M73" i="16"/>
  <c r="F79" i="16"/>
  <c r="P79" i="16" s="1"/>
  <c r="P75" i="16"/>
  <c r="B78" i="16"/>
  <c r="K79" i="16"/>
  <c r="O79" i="16"/>
  <c r="K86" i="16"/>
  <c r="O86" i="16"/>
  <c r="O106" i="16"/>
  <c r="K106" i="16"/>
  <c r="L106" i="16"/>
  <c r="P122" i="16"/>
  <c r="N122" i="16"/>
  <c r="L122" i="16"/>
  <c r="O124" i="16"/>
  <c r="K124" i="16"/>
  <c r="L124" i="16"/>
  <c r="M124" i="16"/>
  <c r="M136" i="16"/>
  <c r="O136" i="16"/>
  <c r="K140" i="16"/>
  <c r="O140" i="16"/>
  <c r="L140" i="16"/>
  <c r="H143" i="16"/>
  <c r="P170" i="16"/>
  <c r="K6" i="16"/>
  <c r="O6" i="16"/>
  <c r="K10" i="16"/>
  <c r="O10" i="16"/>
  <c r="K20" i="16"/>
  <c r="O20" i="16"/>
  <c r="P21" i="16"/>
  <c r="M24" i="16"/>
  <c r="K24" i="16"/>
  <c r="N25" i="16"/>
  <c r="B31" i="16"/>
  <c r="F31" i="16"/>
  <c r="P31" i="16" s="1"/>
  <c r="P27" i="16"/>
  <c r="J31" i="16"/>
  <c r="O27" i="16"/>
  <c r="C46" i="16"/>
  <c r="G46" i="16"/>
  <c r="P37" i="16"/>
  <c r="K39" i="16"/>
  <c r="L41" i="16"/>
  <c r="M41" i="16"/>
  <c r="M42" i="16"/>
  <c r="K42" i="16"/>
  <c r="P42" i="16"/>
  <c r="N43" i="16"/>
  <c r="M43" i="16"/>
  <c r="E62" i="16"/>
  <c r="I62" i="16"/>
  <c r="O52" i="16"/>
  <c r="N53" i="16"/>
  <c r="O53" i="16"/>
  <c r="O54" i="16"/>
  <c r="K54" i="16"/>
  <c r="M54" i="16"/>
  <c r="L55" i="16"/>
  <c r="M55" i="16"/>
  <c r="L56" i="16"/>
  <c r="M60" i="16"/>
  <c r="C63" i="16"/>
  <c r="M63" i="16" s="1"/>
  <c r="K63" i="16"/>
  <c r="P68" i="16"/>
  <c r="J78" i="16"/>
  <c r="M69" i="16"/>
  <c r="C78" i="16"/>
  <c r="N78" i="16" s="1"/>
  <c r="M71" i="16"/>
  <c r="P72" i="16"/>
  <c r="M75" i="16"/>
  <c r="L79" i="16"/>
  <c r="D94" i="16"/>
  <c r="P94" i="16" s="1"/>
  <c r="P84" i="16"/>
  <c r="P88" i="16"/>
  <c r="L90" i="16"/>
  <c r="O90" i="16"/>
  <c r="D95" i="16"/>
  <c r="P95" i="16" s="1"/>
  <c r="P91" i="16"/>
  <c r="H95" i="16"/>
  <c r="K91" i="16"/>
  <c r="O91" i="16"/>
  <c r="M91" i="16"/>
  <c r="N92" i="16"/>
  <c r="B110" i="16"/>
  <c r="N100" i="16"/>
  <c r="F110" i="16"/>
  <c r="L102" i="16"/>
  <c r="K104" i="16"/>
  <c r="O104" i="16"/>
  <c r="M108" i="16"/>
  <c r="C110" i="16"/>
  <c r="B126" i="16"/>
  <c r="L118" i="16"/>
  <c r="O118" i="16"/>
  <c r="K119" i="16"/>
  <c r="O119" i="16"/>
  <c r="M119" i="16"/>
  <c r="N120" i="16"/>
  <c r="P121" i="16"/>
  <c r="M133" i="16"/>
  <c r="O133" i="16"/>
  <c r="I158" i="16"/>
  <c r="P159" i="16"/>
  <c r="O166" i="16"/>
  <c r="M166" i="16"/>
  <c r="N4" i="16"/>
  <c r="L20" i="16"/>
  <c r="K23" i="16"/>
  <c r="O23" i="16"/>
  <c r="O26" i="16"/>
  <c r="K26" i="16"/>
  <c r="M26" i="16"/>
  <c r="O36" i="16"/>
  <c r="K36" i="16"/>
  <c r="M36" i="16"/>
  <c r="O38" i="16"/>
  <c r="O43" i="16"/>
  <c r="O44" i="16"/>
  <c r="K44" i="16"/>
  <c r="M44" i="16"/>
  <c r="H46" i="16"/>
  <c r="P52" i="16"/>
  <c r="O56" i="16"/>
  <c r="N57" i="16"/>
  <c r="O57" i="16"/>
  <c r="O58" i="16"/>
  <c r="K58" i="16"/>
  <c r="M58" i="16"/>
  <c r="L59" i="16"/>
  <c r="M59" i="16"/>
  <c r="L60" i="16"/>
  <c r="N60" i="16"/>
  <c r="C62" i="16"/>
  <c r="K62" i="16"/>
  <c r="L63" i="16"/>
  <c r="O70" i="16"/>
  <c r="K70" i="16"/>
  <c r="L70" i="16"/>
  <c r="N71" i="16"/>
  <c r="N72" i="16"/>
  <c r="N75" i="16"/>
  <c r="K76" i="16"/>
  <c r="O76" i="16"/>
  <c r="N84" i="16"/>
  <c r="I94" i="16"/>
  <c r="P85" i="16"/>
  <c r="P86" i="16"/>
  <c r="N91" i="16"/>
  <c r="E95" i="16"/>
  <c r="N95" i="16" s="1"/>
  <c r="G110" i="16"/>
  <c r="P106" i="16"/>
  <c r="C111" i="16"/>
  <c r="O107" i="16"/>
  <c r="D110" i="16"/>
  <c r="K111" i="16"/>
  <c r="B142" i="16"/>
  <c r="P132" i="16"/>
  <c r="F142" i="16"/>
  <c r="N132" i="16"/>
  <c r="J142" i="16"/>
  <c r="N134" i="16"/>
  <c r="M134" i="16"/>
  <c r="B158" i="16"/>
  <c r="P148" i="16"/>
  <c r="F158" i="16"/>
  <c r="L148" i="16"/>
  <c r="J158" i="16"/>
  <c r="N149" i="16"/>
  <c r="N165" i="16"/>
  <c r="N167" i="16"/>
  <c r="P167" i="16"/>
  <c r="O187" i="16"/>
  <c r="K187" i="16"/>
  <c r="H191" i="16"/>
  <c r="M187" i="16"/>
  <c r="E30" i="16"/>
  <c r="N30" i="16" s="1"/>
  <c r="I30" i="16"/>
  <c r="M20" i="16"/>
  <c r="L27" i="16"/>
  <c r="M28" i="16"/>
  <c r="L37" i="16"/>
  <c r="M38" i="16"/>
  <c r="P38" i="16"/>
  <c r="M39" i="16"/>
  <c r="L40" i="16"/>
  <c r="P41" i="16"/>
  <c r="K43" i="16"/>
  <c r="P43" i="16"/>
  <c r="M53" i="16"/>
  <c r="P55" i="16"/>
  <c r="P56" i="16"/>
  <c r="N63" i="16"/>
  <c r="N59" i="16"/>
  <c r="F62" i="16"/>
  <c r="P62" i="16" s="1"/>
  <c r="D78" i="16"/>
  <c r="P78" i="16" s="1"/>
  <c r="K68" i="16"/>
  <c r="H78" i="16"/>
  <c r="O68" i="16"/>
  <c r="N68" i="16"/>
  <c r="L73" i="16"/>
  <c r="N79" i="16"/>
  <c r="L86" i="16"/>
  <c r="O88" i="16"/>
  <c r="K88" i="16"/>
  <c r="L88" i="16"/>
  <c r="N90" i="16"/>
  <c r="K101" i="16"/>
  <c r="O101" i="16"/>
  <c r="M101" i="16"/>
  <c r="N102" i="16"/>
  <c r="P103" i="16"/>
  <c r="M106" i="16"/>
  <c r="P108" i="16"/>
  <c r="H110" i="16"/>
  <c r="O116" i="16"/>
  <c r="K116" i="16"/>
  <c r="L116" i="16"/>
  <c r="H126" i="16"/>
  <c r="N116" i="16"/>
  <c r="N118" i="16"/>
  <c r="C142" i="16"/>
  <c r="N136" i="16"/>
  <c r="P136" i="16"/>
  <c r="P149" i="16"/>
  <c r="O152" i="16"/>
  <c r="K152" i="16"/>
  <c r="L152" i="16"/>
  <c r="P154" i="16"/>
  <c r="D174" i="16"/>
  <c r="P164" i="16"/>
  <c r="H174" i="16"/>
  <c r="O164" i="16"/>
  <c r="K164" i="16"/>
  <c r="P165" i="16"/>
  <c r="M165" i="16"/>
  <c r="L52" i="16"/>
  <c r="O74" i="16"/>
  <c r="K74" i="16"/>
  <c r="M74" i="16"/>
  <c r="O84" i="16"/>
  <c r="K84" i="16"/>
  <c r="M84" i="16"/>
  <c r="O92" i="16"/>
  <c r="K92" i="16"/>
  <c r="M92" i="16"/>
  <c r="H94" i="16"/>
  <c r="O102" i="16"/>
  <c r="K102" i="16"/>
  <c r="M102" i="16"/>
  <c r="L108" i="16"/>
  <c r="F126" i="16"/>
  <c r="P126" i="16" s="1"/>
  <c r="P116" i="16"/>
  <c r="O120" i="16"/>
  <c r="K120" i="16"/>
  <c r="M120" i="16"/>
  <c r="M121" i="16"/>
  <c r="D142" i="16"/>
  <c r="K132" i="16"/>
  <c r="H142" i="16"/>
  <c r="L136" i="16"/>
  <c r="K137" i="16"/>
  <c r="O137" i="16"/>
  <c r="M137" i="16"/>
  <c r="N138" i="16"/>
  <c r="F143" i="16"/>
  <c r="P143" i="16" s="1"/>
  <c r="P139" i="16"/>
  <c r="P140" i="16"/>
  <c r="K150" i="16"/>
  <c r="O150" i="16"/>
  <c r="M154" i="16"/>
  <c r="K159" i="16"/>
  <c r="N166" i="16"/>
  <c r="M167" i="16"/>
  <c r="O167" i="16"/>
  <c r="P183" i="16"/>
  <c r="N185" i="16"/>
  <c r="M68" i="16"/>
  <c r="N69" i="16"/>
  <c r="P71" i="16"/>
  <c r="L75" i="16"/>
  <c r="M76" i="16"/>
  <c r="L85" i="16"/>
  <c r="M86" i="16"/>
  <c r="N87" i="16"/>
  <c r="P89" i="16"/>
  <c r="E110" i="16"/>
  <c r="N110" i="16" s="1"/>
  <c r="I110" i="16"/>
  <c r="L103" i="16"/>
  <c r="M104" i="16"/>
  <c r="N105" i="16"/>
  <c r="B111" i="16"/>
  <c r="F111" i="16"/>
  <c r="P111" i="16" s="1"/>
  <c r="P107" i="16"/>
  <c r="J111" i="16"/>
  <c r="C126" i="16"/>
  <c r="M126" i="16" s="1"/>
  <c r="G126" i="16"/>
  <c r="P117" i="16"/>
  <c r="D127" i="16"/>
  <c r="P127" i="16" s="1"/>
  <c r="H127" i="16"/>
  <c r="L123" i="16"/>
  <c r="E142" i="16"/>
  <c r="N142" i="16" s="1"/>
  <c r="I142" i="16"/>
  <c r="O132" i="16"/>
  <c r="O134" i="16"/>
  <c r="K134" i="16"/>
  <c r="L134" i="16"/>
  <c r="M135" i="16"/>
  <c r="M139" i="16"/>
  <c r="P152" i="16"/>
  <c r="E159" i="16"/>
  <c r="N155" i="16"/>
  <c r="M155" i="16"/>
  <c r="I159" i="16"/>
  <c r="C174" i="16"/>
  <c r="M164" i="16"/>
  <c r="L167" i="16"/>
  <c r="N168" i="16"/>
  <c r="L168" i="16"/>
  <c r="N170" i="16"/>
  <c r="P171" i="16"/>
  <c r="N171" i="16"/>
  <c r="L171" i="16"/>
  <c r="F175" i="16"/>
  <c r="P175" i="16" s="1"/>
  <c r="C190" i="16"/>
  <c r="M180" i="16"/>
  <c r="O138" i="16"/>
  <c r="K138" i="16"/>
  <c r="M138" i="16"/>
  <c r="D158" i="16"/>
  <c r="H158" i="16"/>
  <c r="O148" i="16"/>
  <c r="K148" i="16"/>
  <c r="M148" i="16"/>
  <c r="L154" i="16"/>
  <c r="O165" i="16"/>
  <c r="K165" i="16"/>
  <c r="L165" i="16"/>
  <c r="L166" i="16"/>
  <c r="M170" i="16"/>
  <c r="H175" i="16"/>
  <c r="P181" i="16"/>
  <c r="O185" i="16"/>
  <c r="L185" i="16"/>
  <c r="P188" i="16"/>
  <c r="L121" i="16"/>
  <c r="M122" i="16"/>
  <c r="N123" i="16"/>
  <c r="M132" i="16"/>
  <c r="N133" i="16"/>
  <c r="P135" i="16"/>
  <c r="L139" i="16"/>
  <c r="M140" i="16"/>
  <c r="E158" i="16"/>
  <c r="N158" i="16" s="1"/>
  <c r="N148" i="16"/>
  <c r="L149" i="16"/>
  <c r="M149" i="16"/>
  <c r="M150" i="16"/>
  <c r="N151" i="16"/>
  <c r="P153" i="16"/>
  <c r="O155" i="16"/>
  <c r="K155" i="16"/>
  <c r="L155" i="16"/>
  <c r="L156" i="16"/>
  <c r="M156" i="16"/>
  <c r="C159" i="16"/>
  <c r="M159" i="16" s="1"/>
  <c r="B174" i="16"/>
  <c r="F174" i="16"/>
  <c r="P174" i="16" s="1"/>
  <c r="J174" i="16"/>
  <c r="M168" i="16"/>
  <c r="O169" i="16"/>
  <c r="K169" i="16"/>
  <c r="M169" i="16"/>
  <c r="B190" i="16"/>
  <c r="P180" i="16"/>
  <c r="J190" i="16"/>
  <c r="N181" i="16"/>
  <c r="O182" i="16"/>
  <c r="L182" i="16"/>
  <c r="L183" i="16"/>
  <c r="C191" i="16"/>
  <c r="M188" i="16"/>
  <c r="N154" i="16"/>
  <c r="P156" i="16"/>
  <c r="N164" i="16"/>
  <c r="P166" i="16"/>
  <c r="L170" i="16"/>
  <c r="C175" i="16"/>
  <c r="M175" i="16" s="1"/>
  <c r="M171" i="16"/>
  <c r="G175" i="16"/>
  <c r="N172" i="16"/>
  <c r="D190" i="16"/>
  <c r="P190" i="16" s="1"/>
  <c r="H190" i="16"/>
  <c r="M181" i="16"/>
  <c r="K181" i="16"/>
  <c r="N182" i="16"/>
  <c r="P184" i="16"/>
  <c r="K186" i="16"/>
  <c r="E191" i="16"/>
  <c r="I191" i="16"/>
  <c r="N187" i="16"/>
  <c r="L188" i="16"/>
  <c r="E190" i="16"/>
  <c r="N190" i="16" s="1"/>
  <c r="I190" i="16"/>
  <c r="N180" i="16"/>
  <c r="O183" i="16"/>
  <c r="K183" i="16"/>
  <c r="M183" i="16"/>
  <c r="B191" i="16"/>
  <c r="F191" i="16"/>
  <c r="P191" i="16" s="1"/>
  <c r="J191" i="16"/>
  <c r="P187" i="16"/>
  <c r="M4" i="20"/>
  <c r="N5" i="20"/>
  <c r="O6" i="20"/>
  <c r="L7" i="20"/>
  <c r="M8" i="20"/>
  <c r="N9" i="20"/>
  <c r="K10" i="20"/>
  <c r="O10" i="20"/>
  <c r="P11" i="20"/>
  <c r="L180" i="16"/>
  <c r="K5" i="20"/>
  <c r="O5" i="20"/>
  <c r="P6" i="20"/>
  <c r="K9" i="20"/>
  <c r="O9" i="20"/>
  <c r="P10" i="20"/>
  <c r="M11" i="20"/>
  <c r="K4" i="20"/>
  <c r="O4" i="20"/>
  <c r="K8" i="20"/>
  <c r="O8" i="20"/>
  <c r="K12" i="20"/>
  <c r="O12" i="20"/>
  <c r="K7" i="20"/>
  <c r="N191" i="16" l="1"/>
  <c r="L158" i="16"/>
  <c r="O158" i="16"/>
  <c r="K158" i="16"/>
  <c r="M174" i="16"/>
  <c r="L159" i="16"/>
  <c r="N159" i="16"/>
  <c r="O126" i="16"/>
  <c r="K126" i="16"/>
  <c r="L126" i="16"/>
  <c r="L110" i="16"/>
  <c r="K110" i="16"/>
  <c r="O110" i="16"/>
  <c r="L191" i="16"/>
  <c r="K191" i="16"/>
  <c r="O191" i="16"/>
  <c r="P142" i="16"/>
  <c r="M62" i="16"/>
  <c r="O46" i="16"/>
  <c r="K46" i="16"/>
  <c r="L46" i="16"/>
  <c r="N143" i="16"/>
  <c r="P110" i="16"/>
  <c r="N62" i="16"/>
  <c r="K143" i="16"/>
  <c r="O143" i="16"/>
  <c r="L143" i="16"/>
  <c r="K14" i="16"/>
  <c r="O14" i="16"/>
  <c r="L14" i="16"/>
  <c r="L30" i="16"/>
  <c r="N175" i="16"/>
  <c r="O159" i="16"/>
  <c r="M142" i="16"/>
  <c r="O78" i="16"/>
  <c r="K78" i="16"/>
  <c r="L78" i="16"/>
  <c r="P158" i="16"/>
  <c r="M111" i="16"/>
  <c r="O111" i="16"/>
  <c r="N111" i="16"/>
  <c r="O62" i="16"/>
  <c r="M158" i="16"/>
  <c r="K31" i="16"/>
  <c r="O31" i="16"/>
  <c r="L31" i="16"/>
  <c r="M30" i="16"/>
  <c r="O30" i="16"/>
  <c r="L190" i="16"/>
  <c r="K190" i="16"/>
  <c r="O190" i="16"/>
  <c r="M191" i="16"/>
  <c r="O175" i="16"/>
  <c r="K175" i="16"/>
  <c r="L175" i="16"/>
  <c r="M190" i="16"/>
  <c r="O142" i="16"/>
  <c r="L142" i="16"/>
  <c r="K142" i="16"/>
  <c r="N174" i="16"/>
  <c r="L62" i="16"/>
  <c r="M143" i="16"/>
  <c r="M31" i="16"/>
  <c r="N126" i="16"/>
  <c r="L127" i="16"/>
  <c r="O127" i="16"/>
  <c r="K127" i="16"/>
  <c r="O94" i="16"/>
  <c r="K94" i="16"/>
  <c r="L94" i="16"/>
  <c r="K174" i="16"/>
  <c r="O174" i="16"/>
  <c r="L174" i="16"/>
  <c r="M127" i="16"/>
  <c r="L111" i="16"/>
  <c r="M110" i="16"/>
  <c r="L95" i="16"/>
  <c r="O95" i="16"/>
  <c r="K95" i="16"/>
  <c r="M95" i="16"/>
  <c r="M78" i="16"/>
  <c r="M46" i="16"/>
  <c r="M94" i="16"/>
  <c r="M79" i="16"/>
  <c r="N46" i="16"/>
  <c r="O63" i="16"/>
  <c r="N31" i="16"/>
  <c r="N14" i="16"/>
</calcChain>
</file>

<file path=xl/sharedStrings.xml><?xml version="1.0" encoding="utf-8"?>
<sst xmlns="http://schemas.openxmlformats.org/spreadsheetml/2006/main" count="3677" uniqueCount="223">
  <si>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</si>
  <si>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</si>
  <si>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</si>
  <si>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</si>
  <si>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</si>
  <si>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</si>
  <si>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</si>
  <si>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</si>
  <si>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</si>
  <si>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</si>
  <si>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</si>
  <si>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</si>
  <si>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</si>
  <si>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</si>
  <si>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[ HOSPITAL PREFERENCES ]</t>
  </si>
  <si>
    <t>Configure hospital preferences with user-friendly form</t>
  </si>
  <si>
    <t>[ REBUILD WORKBOOK ]</t>
  </si>
  <si>
    <t>Automatically rebuild workbook with new preferences (creates backup)</t>
  </si>
  <si>
    <t>Import data from previous workbook format</t>
  </si>
  <si>
    <t>Recalculate all remaining values</t>
  </si>
  <si>
    <t>Verify calculation accuracy</t>
  </si>
  <si>
    <t>[ FIX DATE FORMATS ]</t>
  </si>
  <si>
    <t>Fix date formatting issues in all data tables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</si>
  <si>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</si>
  <si>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</si>
  <si>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</si>
  <si>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</si>
  <si>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</si>
  <si>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</si>
  <si>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</si>
  <si>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</si>
  <si>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</si>
  <si>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</si>
  <si>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</si>
  <si>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</si>
  <si>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</si>
  <si>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</si>
  <si>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</si>
  <si>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</si>
  <si>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</si>
  <si>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</si>
  <si>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</si>
  <si>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</si>
  <si>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</si>
  <si>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</si>
  <si>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</si>
  <si>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</si>
  <si>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</si>
  <si>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</si>
  <si>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</si>
  <si>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</si>
  <si>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</si>
  <si>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</si>
  <si>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</si>
  <si>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</si>
  <si>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</si>
  <si>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</si>
  <si>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</si>
  <si>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</si>
  <si>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</si>
  <si>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</si>
  <si>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</si>
  <si>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</si>
  <si>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</si>
  <si>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</si>
  <si>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</si>
  <si>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</si>
  <si>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</si>
  <si>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</si>
  <si>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</si>
  <si>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</si>
  <si>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</si>
  <si>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</si>
  <si>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</si>
  <si>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</si>
  <si>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</si>
  <si>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</si>
  <si>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</si>
  <si>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</si>
  <si>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</si>
  <si>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</si>
  <si>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</si>
  <si>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</si>
  <si>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</si>
  <si>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</si>
  <si>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</si>
  <si>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</si>
  <si>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</si>
  <si>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</si>
  <si>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</si>
  <si>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</si>
  <si>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</si>
  <si>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</si>
  <si>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</si>
  <si>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</si>
  <si>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</si>
  <si>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</si>
  <si>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</si>
  <si>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</si>
  <si>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</si>
  <si>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</si>
  <si>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</si>
  <si>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</si>
  <si>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</si>
  <si>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</si>
  <si>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</si>
  <si>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</si>
  <si>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</si>
  <si>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</si>
  <si>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</si>
  <si>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</si>
  <si>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</si>
  <si>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</si>
  <si>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</si>
  <si>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</si>
  <si>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</si>
  <si>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</si>
  <si>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</si>
  <si>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</si>
  <si>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</si>
  <si>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</si>
  <si>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</si>
  <si>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</si>
  <si>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</si>
  <si>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</si>
  <si>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</si>
  <si>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</si>
  <si>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</si>
  <si>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</si>
  <si>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</si>
  <si>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</si>
  <si>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</si>
  <si>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</si>
  <si>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</si>
  <si>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</si>
  <si>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</si>
  <si>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</si>
  <si>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</si>
  <si>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</si>
  <si>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</si>
  <si>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</si>
  <si>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</si>
  <si>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</si>
  <si>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</si>
  <si>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 TOTAL REMAINING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</si>
  <si>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</si>
  <si>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</si>
  <si>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</si>
  <si>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</si>
  <si>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</si>
  <si>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</si>
  <si>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</si>
  <si>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</si>
  <si>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</si>
  <si>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</si>
  <si>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</si>
  <si>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</si>
  <si>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</si>
  <si>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</si>
  <si>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</si>
  <si>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</si>
  <si>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</si>
  <si>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</si>
  <si>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</si>
  <si>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</si>
  <si>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</si>
  <si>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</si>
  <si>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</si>
  <si>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</si>
  <si>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</si>
  <si>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</si>
  <si>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</si>
  <si>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</si>
  <si>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</si>
  <si>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</si>
  <si>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</si>
  <si>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</si>
  <si>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</si>
  <si>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DEATHS FOR JANUARY</t>
  </si>
  <si>
    <t>S/N</t>
  </si>
  <si>
    <t>Folder Number</t>
  </si>
  <si>
    <t>Date of Death</t>
  </si>
  <si>
    <t>Name of Deceased</t>
  </si>
  <si>
    <t>Ward</t>
  </si>
  <si>
    <t>DEATHS FOR FEBRUARY</t>
  </si>
  <si>
    <t>DEATHS FOR MARCH</t>
  </si>
  <si>
    <t>DEATHS FOR APRIL</t>
  </si>
  <si>
    <t>DEATHS FOR MAY</t>
  </si>
  <si>
    <t>DEATHS FOR JUNE</t>
  </si>
  <si>
    <t>DEATHS FOR JULY</t>
  </si>
  <si>
    <t>DEATHS FOR AUGUST</t>
  </si>
  <si>
    <t>DEATHS FOR SEPTEMBER</t>
  </si>
  <si>
    <t>DEATHS FOR OCTOBER</t>
  </si>
  <si>
    <t>DEATHS FOR NOVEMBER</t>
  </si>
  <si>
    <t>DEATHS FOR DECEMBER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</si>
  <si>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</si>
  <si>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</si>
  <si>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</si>
  <si>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</si>
  <si>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</si>
  <si>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</si>
  <si>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Date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</si>
  <si>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</si>
  <si>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</si>
  <si>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</si>
  <si>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</si>
  <si>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</si>
  <si>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</si>
  <si>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</si>
  <si>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</si>
  <si>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</si>
  <si>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</si>
  <si>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</si>
  <si>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</si>
  <si>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</si>
  <si>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</si>
  <si>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</si>
  <si>
    <t>2026-00001</t>
  </si>
  <si>
    <t>-</t>
  </si>
  <si>
    <t>Age Entry</t>
  </si>
  <si>
    <t>Years</t>
  </si>
  <si>
    <t>M</t>
  </si>
  <si>
    <t>Insured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</si>
</sst>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5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FD966"/>
        <bgColor rgb="FFFFD966"/>
      </patternFill>
    </fill>
    <fill>
      <patternFill patternType="solid">
        <fgColor rgb="FFFCE4EC"/>
        <bgColor rgb="FFFCE4EC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7" borderId="1" xfId="0" applyFont="1" applyFill="1" applyBorder="1"/>
    <xf numFmtId="0" fontId="4" fillId="8" borderId="1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2" fontId="4" fillId="9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164" fontId="0" fillId="0" borderId="0" xfId="0" applyNumberFormat="1"/>
    <xf numFmtId="165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/>
    <xf numFmtId="0" fontId="9" fillId="4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8"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  <dxf>
      <numFmt numFmtId="165" formatCode="yyyy\-mm\-dd\ hh:mm"/>
    </dxf>
    <dxf>
      <numFmt numFmtId="164" formatCode="yyyy\-mm\-dd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605E2260-A06F-3FC8-E764-7D7FDA584EAC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8CE4C697-27C5-755C-4940-CAF572BA99D8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7CC59A7D-26CC-849A-DFB6-4EAA959BD450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E384CE74-A714-BDC8-E35A-88BF24923052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RefreshReports" textlink="">
      <xdr:nvSpPr>
        <xdr:cNvPr id="6" name="btnRefresh">
          <a:extLst>
            <a:ext uri="{FF2B5EF4-FFF2-40B4-BE49-F238E27FC236}">
              <a16:creationId xmlns:a16="http://schemas.microsoft.com/office/drawing/2014/main" id="{AF7D0C07-4FAB-9B94-41D3-A48648D510DC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WardManager" textlink="">
      <xdr:nvSpPr>
        <xdr:cNvPr id="7" name="btnManageWards">
          <a:extLst>
            <a:ext uri="{FF2B5EF4-FFF2-40B4-BE49-F238E27FC236}">
              <a16:creationId xmlns:a16="http://schemas.microsoft.com/office/drawing/2014/main" id="{CF7CEC2B-78FF-DDB8-A6FE-24D11EF4050D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ExportWardConfig" textlink="">
      <xdr:nvSpPr>
        <xdr:cNvPr id="8" name="btnExportConfig">
          <a:extLst>
            <a:ext uri="{FF2B5EF4-FFF2-40B4-BE49-F238E27FC236}">
              <a16:creationId xmlns:a16="http://schemas.microsoft.com/office/drawing/2014/main" id="{53F2EDF1-9C74-ECD7-1AE4-3D92EFA67694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CarryForward" textlink="">
      <xdr:nvSpPr>
        <xdr:cNvPr id="9" name="btnExportYearEnd">
          <a:extLst>
            <a:ext uri="{FF2B5EF4-FFF2-40B4-BE49-F238E27FC236}">
              <a16:creationId xmlns:a16="http://schemas.microsoft.com/office/drawing/2014/main" id="{86C09379-124C-431E-C13C-BB5CD46A1D94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ShowPreferencesInfo" textlink="">
      <xdr:nvSpPr>
        <xdr:cNvPr id="10" name="btnPreferences">
          <a:extLst>
            <a:ext uri="{FF2B5EF4-FFF2-40B4-BE49-F238E27FC236}">
              <a16:creationId xmlns:a16="http://schemas.microsoft.com/office/drawing/2014/main" id="{8E05E643-A8FD-837F-A63A-711542F0CC58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HOSPITAL PREFERENCES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RebuildWorkbookWithPreferences" textlink="">
      <xdr:nvSpPr>
        <xdr:cNvPr id="11" name="btnRebuild">
          <a:extLst>
            <a:ext uri="{FF2B5EF4-FFF2-40B4-BE49-F238E27FC236}">
              <a16:creationId xmlns:a16="http://schemas.microsoft.com/office/drawing/2014/main" id="{FDCACEE7-740E-2A3B-9E49-E5EA57ECB735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ImportFromOldWorkbook" textlink="">
      <xdr:nvSpPr>
        <xdr:cNvPr id="12" name="btnImport">
          <a:extLst>
            <a:ext uri="{FF2B5EF4-FFF2-40B4-BE49-F238E27FC236}">
              <a16:creationId xmlns:a16="http://schemas.microsoft.com/office/drawing/2014/main" id="{A274F522-0E7D-2BC5-3F70-C4ABA5CE0859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RecalculateAllRows" textlink="">
      <xdr:nvSpPr>
        <xdr:cNvPr id="13" name="btnRecalcAll">
          <a:extLst>
            <a:ext uri="{FF2B5EF4-FFF2-40B4-BE49-F238E27FC236}">
              <a16:creationId xmlns:a16="http://schemas.microsoft.com/office/drawing/2014/main" id="{F6511458-F43F-1F20-D8F5-02187B5BE10C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VerifyCalculations" textlink="">
      <xdr:nvSpPr>
        <xdr:cNvPr id="14" name="btnVerify">
          <a:extLst>
            <a:ext uri="{FF2B5EF4-FFF2-40B4-BE49-F238E27FC236}">
              <a16:creationId xmlns:a16="http://schemas.microsoft.com/office/drawing/2014/main" id="{9D542D4F-7C0B-F615-A539-3A54F5D8E768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38:F47">
  <autoFilter ref="A38:F47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0:C52">
  <autoFilter ref="A50:C52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5:C67">
  <autoFilter ref="A55:C67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304">
  <autoFilter ref="A1:L304" xr:uid="{00000000-0009-0000-0100-000004000000}"/>
  <tableColumns count="12">
    <tableColumn id="1" xr3:uid="{00000000-0010-0000-0300-000001000000}" name="EntryDate" dataDxfId="7"/>
    <tableColumn id="2" xr3:uid="{00000000-0010-0000-0300-000002000000}" name="Month"/>
    <tableColumn id="3" xr3:uid="{00000000-0010-0000-0300-000003000000}" name="WardCode"/>
    <tableColumn id="4" xr3:uid="{00000000-0010-0000-0300-000004000000}" name="Admissions"/>
    <tableColumn id="5" xr3:uid="{00000000-0010-0000-0300-000005000000}" name="Discharges"/>
    <tableColumn id="6" xr3:uid="{00000000-0010-0000-0300-000006000000}" name="Deaths"/>
    <tableColumn id="7" xr3:uid="{00000000-0010-0000-0300-000007000000}" name="DeathsUnder24Hrs"/>
    <tableColumn id="8" xr3:uid="{00000000-0010-0000-0300-000008000000}" name="TransfersIn"/>
    <tableColumn id="9" xr3:uid="{00000000-0010-0000-0300-000009000000}" name="TransfersOut"/>
    <tableColumn id="10" xr3:uid="{00000000-0010-0000-0300-00000A000000}" name="PrevRemaining"/>
    <tableColumn id="11" xr3:uid="{00000000-0010-0000-0300-00000B000000}" name="Remaining"/>
    <tableColumn id="12" xr3:uid="{00000000-0010-0000-0300-00000C000000}" name="EntryTimestamp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3">
  <autoFilter ref="A1:K3" xr:uid="{00000000-0009-0000-0100-000005000000}"/>
  <tableColumns count="11">
    <tableColumn id="1" xr3:uid="{00000000-0010-0000-0400-000001000000}" name="AdmissionID"/>
    <tableColumn id="2" xr3:uid="{00000000-0010-0000-0400-000002000000}" name="AdmissionDate" dataDxfId="5"/>
    <tableColumn id="3" xr3:uid="{00000000-0010-0000-0400-000003000000}" name="Month"/>
    <tableColumn id="4" xr3:uid="{00000000-0010-0000-0400-000004000000}" name="WardCode"/>
    <tableColumn id="5" xr3:uid="{00000000-0010-0000-0400-000005000000}" name="PatientID"/>
    <tableColumn id="6" xr3:uid="{00000000-0010-0000-0400-000006000000}" name="PatientName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EntryTimestamp" dataDxfId="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2">
  <autoFilter ref="A1:M2" xr:uid="{00000000-0009-0000-0100-000006000000}"/>
  <tableColumns count="13">
    <tableColumn id="1" xr3:uid="{00000000-0010-0000-0500-000001000000}" name="DeathID"/>
    <tableColumn id="2" xr3:uid="{00000000-0010-0000-0500-000002000000}" name="DateOfDeath" dataDxfId="3"/>
    <tableColumn id="3" xr3:uid="{00000000-0010-0000-0500-000003000000}" name="Month"/>
    <tableColumn id="4" xr3:uid="{00000000-0010-0000-0500-000004000000}" name="WardCode"/>
    <tableColumn id="5" xr3:uid="{00000000-0010-0000-0500-000005000000}" name="FolderNumber"/>
    <tableColumn id="6" xr3:uid="{00000000-0010-0000-0500-000006000000}" name="NameOfDeceased"/>
    <tableColumn id="7" xr3:uid="{00000000-0010-0000-0500-000007000000}" name="Age"/>
    <tableColumn id="8" xr3:uid="{00000000-0010-0000-0500-000008000000}" name="AgeUnit"/>
    <tableColumn id="9" xr3:uid="{00000000-0010-0000-0500-000009000000}" name="Sex"/>
    <tableColumn id="10" xr3:uid="{00000000-0010-0000-0500-00000A000000}" name="NHIS"/>
    <tableColumn id="11" xr3:uid="{00000000-0010-0000-0500-00000B000000}" name="CauseOfDeath"/>
    <tableColumn id="12" xr3:uid="{00000000-0010-0000-0500-00000C000000}" name="DeathWithin24Hrs"/>
    <tableColumn id="13" xr3:uid="{00000000-0010-0000-0500-00000D000000}" name="EntryTimestamp" dataDxfId="2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>
  <autoFilter ref="A1:H2" xr:uid="{00000000-0009-0000-0100-000007000000}"/>
  <tableColumns count="8">
    <tableColumn id="1" xr3:uid="{00000000-0010-0000-0600-000001000000}" name="TransferID"/>
    <tableColumn id="2" xr3:uid="{00000000-0010-0000-0600-000002000000}" name="TransferDate" dataDxfId="1"/>
    <tableColumn id="3" xr3:uid="{00000000-0010-0000-0600-000003000000}" name="Month"/>
    <tableColumn id="4" xr3:uid="{00000000-0010-0000-0600-000004000000}" name="FromWardCode"/>
    <tableColumn id="5" xr3:uid="{00000000-0010-0000-0600-000005000000}" name="ToWardCode"/>
    <tableColumn id="6" xr3:uid="{00000000-0010-0000-0600-000006000000}" name="PatientID"/>
    <tableColumn id="7" xr3:uid="{00000000-0010-0000-0600-000007000000}" name="PatientName"/>
    <tableColumn id="8" xr3:uid="{00000000-0010-0000-0600-000008000000}" name="EntryTimestamp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67"/>
  <sheetViews>
    <sheetView topLeftCell="A7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28" t="s">
        <v>0</v>
      </c>
      <c r="B1" s="29"/>
      <c r="C1" s="29"/>
      <c r="D1" s="29"/>
      <c r="E1" s="29"/>
      <c r="F1" s="29"/>
      <c r="G1" s="29"/>
      <c r="H1" s="29"/>
    </row>
    <row r="2" spans="1:10" ht="15.75" x14ac:dyDescent="0.25">
      <c r="A2" s="35" t="s">
        <v>1</v>
      </c>
      <c r="B2" s="29"/>
      <c r="C2" s="29"/>
      <c r="D2" s="29"/>
      <c r="E2" s="29"/>
      <c r="F2" s="29"/>
      <c r="G2" s="29"/>
      <c r="H2" s="29"/>
    </row>
    <row r="3" spans="1:10" x14ac:dyDescent="0.25">
      <c r="A3" s="34" t="s">
        <v>2</v>
      </c>
      <c r="B3" s="29"/>
      <c r="C3" s="29"/>
      <c r="D3" s="29"/>
      <c r="E3" s="29"/>
      <c r="F3" s="29"/>
      <c r="G3" s="29"/>
      <c r="H3" s="29"/>
    </row>
    <row r="5" spans="1:10" x14ac:dyDescent="0.25">
      <c r="A5" s="1" t="s">
        <v>3</v>
      </c>
      <c r="B5" s="1">
        <v>2026</v>
      </c>
      <c r="D5" s="1" t="s">
        <v>4</v>
      </c>
      <c r="E5" s="33" t="s">
        <v>2</v>
      </c>
      <c r="F5" s="29"/>
      <c r="G5" s="29"/>
      <c r="H5" s="29"/>
      <c r="J5" t="b">
        <v>1</v>
      </c>
    </row>
    <row r="6" spans="1:10" x14ac:dyDescent="0.25">
      <c r="J6" t="b">
        <v>1</v>
      </c>
    </row>
    <row r="7" spans="1:10" ht="15.75" x14ac:dyDescent="0.25">
      <c r="A7" s="31" t="s">
        <v>5</v>
      </c>
      <c r="B7" s="29"/>
      <c r="C7" s="29"/>
      <c r="D7" s="29"/>
      <c r="E7" s="29"/>
      <c r="F7" s="29"/>
      <c r="G7" s="29"/>
      <c r="H7" s="29"/>
    </row>
    <row r="9" spans="1:10" x14ac:dyDescent="0.25">
      <c r="A9" s="32" t="s">
        <v>206</v>
      </c>
      <c r="B9" s="29"/>
      <c r="C9" s="29"/>
      <c r="D9" s="2" t="s">
        <v>6</v>
      </c>
    </row>
    <row r="11" spans="1:10" x14ac:dyDescent="0.25">
      <c r="A11" s="32" t="s">
        <v>207</v>
      </c>
      <c r="B11" s="29"/>
      <c r="C11" s="29"/>
      <c r="D11" s="2" t="s">
        <v>7</v>
      </c>
    </row>
    <row r="13" spans="1:10" x14ac:dyDescent="0.25">
      <c r="A13" s="32" t="s">
        <v>208</v>
      </c>
      <c r="B13" s="29"/>
      <c r="C13" s="29"/>
      <c r="D13" s="2" t="s">
        <v>8</v>
      </c>
    </row>
    <row r="15" spans="1:10" x14ac:dyDescent="0.25">
      <c r="A15" s="32" t="s">
        <v>209</v>
      </c>
      <c r="B15" s="29"/>
      <c r="C15" s="29"/>
      <c r="D15" s="2" t="s">
        <v>9</v>
      </c>
    </row>
    <row r="17" spans="1:4" x14ac:dyDescent="0.25">
      <c r="A17" s="32" t="s">
        <v>210</v>
      </c>
      <c r="B17" s="29"/>
      <c r="C17" s="29"/>
      <c r="D17" s="2" t="s">
        <v>10</v>
      </c>
    </row>
    <row r="19" spans="1:4" x14ac:dyDescent="0.25">
      <c r="A19" s="32" t="s">
        <v>211</v>
      </c>
      <c r="B19" s="29"/>
      <c r="C19" s="29"/>
      <c r="D19" s="2" t="s">
        <v>11</v>
      </c>
    </row>
    <row r="21" spans="1:4" x14ac:dyDescent="0.25">
      <c r="A21" s="32" t="s">
        <v>212</v>
      </c>
      <c r="B21" s="29"/>
      <c r="C21" s="29"/>
      <c r="D21" s="2" t="s">
        <v>12</v>
      </c>
    </row>
    <row r="23" spans="1:4" x14ac:dyDescent="0.25">
      <c r="A23" s="32" t="s">
        <v>213</v>
      </c>
      <c r="B23" s="29"/>
      <c r="C23" s="29"/>
      <c r="D23" s="2" t="s">
        <v>13</v>
      </c>
    </row>
    <row r="25" spans="1:4" x14ac:dyDescent="0.25">
      <c r="A25" s="32" t="s">
        <v>14</v>
      </c>
      <c r="B25" s="29"/>
      <c r="C25" s="29"/>
      <c r="D25" s="2" t="s">
        <v>15</v>
      </c>
    </row>
    <row r="27" spans="1:4" x14ac:dyDescent="0.25">
      <c r="A27" s="37" t="s">
        <v>16</v>
      </c>
      <c r="B27" s="29"/>
      <c r="C27" s="29"/>
      <c r="D27" s="2" t="s">
        <v>17</v>
      </c>
    </row>
    <row r="29" spans="1:4" x14ac:dyDescent="0.25">
      <c r="A29" s="30" t="s">
        <v>214</v>
      </c>
      <c r="B29" s="29"/>
      <c r="C29" s="29"/>
      <c r="D29" s="2" t="s">
        <v>18</v>
      </c>
    </row>
    <row r="31" spans="1:4" x14ac:dyDescent="0.25">
      <c r="A31" s="30" t="s">
        <v>215</v>
      </c>
      <c r="B31" s="29"/>
      <c r="C31" s="29"/>
      <c r="D31" s="2" t="s">
        <v>19</v>
      </c>
    </row>
    <row r="33" spans="1:6" x14ac:dyDescent="0.25">
      <c r="A33" s="30" t="s">
        <v>216</v>
      </c>
      <c r="B33" s="29"/>
      <c r="C33" s="29"/>
      <c r="D33" s="2" t="s">
        <v>20</v>
      </c>
    </row>
    <row r="35" spans="1:6" x14ac:dyDescent="0.25">
      <c r="A35" s="30" t="s">
        <v>21</v>
      </c>
      <c r="B35" s="29"/>
      <c r="C35" s="29"/>
      <c r="D35" s="2" t="s">
        <v>22</v>
      </c>
    </row>
    <row r="37" spans="1:6" ht="15.75" x14ac:dyDescent="0.25">
      <c r="A37" s="36" t="s">
        <v>23</v>
      </c>
      <c r="B37" s="29"/>
      <c r="C37" s="29"/>
      <c r="D37" s="29"/>
      <c r="E37" s="29"/>
      <c r="F37" s="29"/>
    </row>
    <row r="38" spans="1:6" x14ac:dyDescent="0.25">
      <c r="A38" s="3" t="s">
        <v>24</v>
      </c>
      <c r="B38" s="3" t="s">
        <v>25</v>
      </c>
      <c r="C38" s="3" t="s">
        <v>26</v>
      </c>
      <c r="D38" s="3" t="s">
        <v>27</v>
      </c>
      <c r="E38" s="3" t="s">
        <v>28</v>
      </c>
      <c r="F38" s="3" t="s">
        <v>29</v>
      </c>
    </row>
    <row r="39" spans="1:6" x14ac:dyDescent="0.25">
      <c r="A39" s="4" t="s">
        <v>30</v>
      </c>
      <c r="B39" s="4" t="s">
        <v>31</v>
      </c>
      <c r="C39" s="4">
        <v>32</v>
      </c>
      <c r="D39" s="4">
        <v>25</v>
      </c>
      <c r="E39" s="4" t="b">
        <v>0</v>
      </c>
      <c r="F39" s="4">
        <v>1</v>
      </c>
    </row>
    <row r="40" spans="1:6" x14ac:dyDescent="0.25">
      <c r="A40" s="4" t="s">
        <v>32</v>
      </c>
      <c r="B40" s="4" t="s">
        <v>33</v>
      </c>
      <c r="C40" s="4">
        <v>28</v>
      </c>
      <c r="D40" s="4">
        <v>16</v>
      </c>
      <c r="E40" s="4" t="b">
        <v>0</v>
      </c>
      <c r="F40" s="4">
        <v>2</v>
      </c>
    </row>
    <row r="41" spans="1:6" x14ac:dyDescent="0.25">
      <c r="A41" s="4" t="s">
        <v>34</v>
      </c>
      <c r="B41" s="4" t="s">
        <v>35</v>
      </c>
      <c r="C41" s="4">
        <v>27</v>
      </c>
      <c r="D41" s="4">
        <v>7</v>
      </c>
      <c r="E41" s="4" t="b">
        <v>0</v>
      </c>
      <c r="F41" s="4">
        <v>3</v>
      </c>
    </row>
    <row r="42" spans="1:6" x14ac:dyDescent="0.25">
      <c r="A42" s="4" t="s">
        <v>36</v>
      </c>
      <c r="B42" s="4" t="s">
        <v>37</v>
      </c>
      <c r="C42" s="4">
        <v>20</v>
      </c>
      <c r="D42" s="4">
        <v>9</v>
      </c>
      <c r="E42" s="4" t="b">
        <v>0</v>
      </c>
      <c r="F42" s="4">
        <v>4</v>
      </c>
    </row>
    <row r="43" spans="1:6" x14ac:dyDescent="0.25">
      <c r="A43" s="4" t="s">
        <v>38</v>
      </c>
      <c r="B43" s="4" t="s">
        <v>39</v>
      </c>
      <c r="C43" s="4">
        <v>14</v>
      </c>
      <c r="D43" s="4">
        <v>9</v>
      </c>
      <c r="E43" s="4" t="b">
        <v>0</v>
      </c>
      <c r="F43" s="4">
        <v>5</v>
      </c>
    </row>
    <row r="44" spans="1:6" x14ac:dyDescent="0.25">
      <c r="A44" s="4" t="s">
        <v>40</v>
      </c>
      <c r="B44" s="4" t="s">
        <v>41</v>
      </c>
      <c r="C44" s="4">
        <v>22</v>
      </c>
      <c r="D44" s="4">
        <v>12</v>
      </c>
      <c r="E44" s="4" t="b">
        <v>0</v>
      </c>
      <c r="F44" s="4">
        <v>6</v>
      </c>
    </row>
    <row r="45" spans="1:6" x14ac:dyDescent="0.25">
      <c r="A45" s="4" t="s">
        <v>42</v>
      </c>
      <c r="B45" s="4" t="s">
        <v>43</v>
      </c>
      <c r="C45" s="4">
        <v>15</v>
      </c>
      <c r="D45" s="4">
        <v>14</v>
      </c>
      <c r="E45" s="4" t="b">
        <v>0</v>
      </c>
      <c r="F45" s="4">
        <v>7</v>
      </c>
    </row>
    <row r="46" spans="1:6" x14ac:dyDescent="0.25">
      <c r="A46" s="4" t="s">
        <v>44</v>
      </c>
      <c r="B46" s="4" t="s">
        <v>45</v>
      </c>
      <c r="C46" s="4">
        <v>10</v>
      </c>
      <c r="D46" s="4">
        <v>9</v>
      </c>
      <c r="E46" s="4" t="b">
        <v>1</v>
      </c>
      <c r="F46" s="4">
        <v>8</v>
      </c>
    </row>
    <row r="47" spans="1:6" x14ac:dyDescent="0.25">
      <c r="A47" s="4" t="s">
        <v>46</v>
      </c>
      <c r="B47" s="4" t="s">
        <v>47</v>
      </c>
      <c r="C47" s="4">
        <v>10</v>
      </c>
      <c r="D47" s="4">
        <v>1</v>
      </c>
      <c r="E47" s="4" t="b">
        <v>1</v>
      </c>
      <c r="F47" s="4">
        <v>9</v>
      </c>
    </row>
    <row r="49" spans="1:6" ht="15.75" x14ac:dyDescent="0.25">
      <c r="A49" s="36" t="s">
        <v>48</v>
      </c>
      <c r="B49" s="29"/>
      <c r="C49" s="29"/>
      <c r="D49" s="29"/>
      <c r="E49" s="29"/>
      <c r="F49" s="29"/>
    </row>
    <row r="50" spans="1:6" x14ac:dyDescent="0.25">
      <c r="A50" s="3" t="s">
        <v>49</v>
      </c>
      <c r="B50" s="3" t="s">
        <v>50</v>
      </c>
      <c r="C50" s="3" t="s">
        <v>51</v>
      </c>
    </row>
    <row r="51" spans="1:6" x14ac:dyDescent="0.25">
      <c r="A51" s="4" t="s">
        <v>52</v>
      </c>
      <c r="B51" s="4" t="b">
        <v>1</v>
      </c>
      <c r="C51" s="4" t="s">
        <v>53</v>
      </c>
    </row>
    <row r="52" spans="1:6" x14ac:dyDescent="0.25">
      <c r="A52" s="4" t="s">
        <v>54</v>
      </c>
      <c r="B52" s="4" t="b">
        <v>1</v>
      </c>
      <c r="C52" s="4" t="s">
        <v>55</v>
      </c>
    </row>
    <row r="54" spans="1:6" ht="15.75" x14ac:dyDescent="0.25">
      <c r="A54" s="5" t="s">
        <v>56</v>
      </c>
    </row>
    <row r="55" spans="1:6" x14ac:dyDescent="0.25">
      <c r="A55" s="3" t="s">
        <v>57</v>
      </c>
      <c r="B55" s="3" t="s">
        <v>58</v>
      </c>
      <c r="C55" s="3" t="s">
        <v>59</v>
      </c>
    </row>
    <row r="56" spans="1:6" x14ac:dyDescent="0.25">
      <c r="A56" s="4">
        <v>1</v>
      </c>
      <c r="B56" s="4" t="s">
        <v>60</v>
      </c>
      <c r="C56" s="4">
        <v>31</v>
      </c>
    </row>
    <row r="57" spans="1:6" x14ac:dyDescent="0.25">
      <c r="A57" s="4">
        <v>2</v>
      </c>
      <c r="B57" s="4" t="s">
        <v>61</v>
      </c>
      <c r="C57" s="4">
        <v>28</v>
      </c>
    </row>
    <row r="58" spans="1:6" x14ac:dyDescent="0.25">
      <c r="A58" s="4">
        <v>3</v>
      </c>
      <c r="B58" s="4" t="s">
        <v>62</v>
      </c>
      <c r="C58" s="4">
        <v>31</v>
      </c>
    </row>
    <row r="59" spans="1:6" x14ac:dyDescent="0.25">
      <c r="A59" s="4">
        <v>4</v>
      </c>
      <c r="B59" s="4" t="s">
        <v>63</v>
      </c>
      <c r="C59" s="4">
        <v>30</v>
      </c>
    </row>
    <row r="60" spans="1:6" x14ac:dyDescent="0.25">
      <c r="A60" s="4">
        <v>5</v>
      </c>
      <c r="B60" s="4" t="s">
        <v>64</v>
      </c>
      <c r="C60" s="4">
        <v>31</v>
      </c>
    </row>
    <row r="61" spans="1:6" x14ac:dyDescent="0.25">
      <c r="A61" s="4">
        <v>6</v>
      </c>
      <c r="B61" s="4" t="s">
        <v>65</v>
      </c>
      <c r="C61" s="4">
        <v>30</v>
      </c>
    </row>
    <row r="62" spans="1:6" x14ac:dyDescent="0.25">
      <c r="A62" s="4">
        <v>7</v>
      </c>
      <c r="B62" s="4" t="s">
        <v>66</v>
      </c>
      <c r="C62" s="4">
        <v>31</v>
      </c>
    </row>
    <row r="63" spans="1:6" x14ac:dyDescent="0.25">
      <c r="A63" s="4">
        <v>8</v>
      </c>
      <c r="B63" s="4" t="s">
        <v>67</v>
      </c>
      <c r="C63" s="4">
        <v>31</v>
      </c>
    </row>
    <row r="64" spans="1:6" x14ac:dyDescent="0.25">
      <c r="A64" s="4">
        <v>9</v>
      </c>
      <c r="B64" s="4" t="s">
        <v>68</v>
      </c>
      <c r="C64" s="4">
        <v>30</v>
      </c>
    </row>
    <row r="65" spans="1:3" x14ac:dyDescent="0.25">
      <c r="A65" s="4">
        <v>10</v>
      </c>
      <c r="B65" s="4" t="s">
        <v>69</v>
      </c>
      <c r="C65" s="4">
        <v>31</v>
      </c>
    </row>
    <row r="66" spans="1:3" x14ac:dyDescent="0.25">
      <c r="A66" s="4">
        <v>11</v>
      </c>
      <c r="B66" s="4" t="s">
        <v>70</v>
      </c>
      <c r="C66" s="4">
        <v>30</v>
      </c>
    </row>
    <row r="67" spans="1:3" x14ac:dyDescent="0.25">
      <c r="A67" s="4">
        <v>12</v>
      </c>
      <c r="B67" s="4" t="s">
        <v>71</v>
      </c>
      <c r="C67" s="4">
        <v>31</v>
      </c>
    </row>
  </sheetData>
  <mergeCells count="21">
    <mergeCell ref="A49:F49"/>
    <mergeCell ref="A11:C11"/>
    <mergeCell ref="A25:C25"/>
    <mergeCell ref="A37:F37"/>
    <mergeCell ref="A27:C27"/>
    <mergeCell ref="A21:C21"/>
    <mergeCell ref="A35:C35"/>
    <mergeCell ref="A1:H1"/>
    <mergeCell ref="A33:C33"/>
    <mergeCell ref="A7:H7"/>
    <mergeCell ref="A23:C23"/>
    <mergeCell ref="A17:C17"/>
    <mergeCell ref="A29:C29"/>
    <mergeCell ref="E5:H5"/>
    <mergeCell ref="A3:H3"/>
    <mergeCell ref="A13:C13"/>
    <mergeCell ref="A19:C19"/>
    <mergeCell ref="A2:H2"/>
    <mergeCell ref="A31:C31"/>
    <mergeCell ref="A9:C9"/>
    <mergeCell ref="A15:C15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304"/>
  <sheetViews>
    <sheetView workbookViewId="0">
      <selection activeCell="A2" sqref="A2:L304"/>
    </sheetView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72</v>
      </c>
      <c r="B1" t="s">
        <v>73</v>
      </c>
      <c r="C1" t="s">
        <v>24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82</v>
      </c>
    </row>
    <row r="2" spans="1:12" x14ac:dyDescent="0.25">
      <c r="A2" s="26">
        <v>46023</v>
      </c>
      <c r="B2">
        <v>1</v>
      </c>
      <c r="C2" t="s">
        <v>36</v>
      </c>
      <c r="D2">
        <v>2</v>
      </c>
      <c r="E2">
        <v>2</v>
      </c>
      <c r="F2">
        <v>0</v>
      </c>
      <c r="G2">
        <v>0</v>
      </c>
      <c r="H2">
        <v>0</v>
      </c>
      <c r="I2">
        <v>0</v>
      </c>
      <c r="J2">
        <v>9</v>
      </c>
      <c r="K2">
        <v>9</v>
      </c>
      <c r="L2" s="27">
        <v>46066.486122685186</v>
      </c>
    </row>
    <row r="3" spans="1:12" x14ac:dyDescent="0.25">
      <c r="A3" s="26">
        <v>46024</v>
      </c>
      <c r="B3">
        <v>1</v>
      </c>
      <c r="C3" t="s">
        <v>36</v>
      </c>
      <c r="D3">
        <v>4</v>
      </c>
      <c r="E3">
        <v>3</v>
      </c>
      <c r="F3">
        <v>0</v>
      </c>
      <c r="G3">
        <v>0</v>
      </c>
      <c r="H3">
        <v>0</v>
      </c>
      <c r="I3">
        <v>0</v>
      </c>
      <c r="J3">
        <v>9</v>
      </c>
      <c r="K3">
        <v>10</v>
      </c>
      <c r="L3" s="27">
        <v>46066.486134259256</v>
      </c>
    </row>
    <row r="4" spans="1:12" x14ac:dyDescent="0.25">
      <c r="A4" s="26">
        <v>46025</v>
      </c>
      <c r="B4">
        <v>1</v>
      </c>
      <c r="C4" t="s">
        <v>36</v>
      </c>
      <c r="D4">
        <v>2</v>
      </c>
      <c r="E4">
        <v>1</v>
      </c>
      <c r="F4">
        <v>0</v>
      </c>
      <c r="G4">
        <v>0</v>
      </c>
      <c r="H4">
        <v>0</v>
      </c>
      <c r="I4">
        <v>0</v>
      </c>
      <c r="J4">
        <v>10</v>
      </c>
      <c r="K4">
        <v>11</v>
      </c>
      <c r="L4" s="27">
        <v>46066.486134259256</v>
      </c>
    </row>
    <row r="5" spans="1:12" x14ac:dyDescent="0.25">
      <c r="A5" s="26">
        <v>46026</v>
      </c>
      <c r="B5">
        <v>1</v>
      </c>
      <c r="C5" t="s">
        <v>36</v>
      </c>
      <c r="D5">
        <v>3</v>
      </c>
      <c r="E5">
        <v>1</v>
      </c>
      <c r="F5">
        <v>0</v>
      </c>
      <c r="G5">
        <v>0</v>
      </c>
      <c r="H5">
        <v>0</v>
      </c>
      <c r="I5">
        <v>0</v>
      </c>
      <c r="J5">
        <v>11</v>
      </c>
      <c r="K5">
        <v>13</v>
      </c>
      <c r="L5" s="27">
        <v>46066.486145833333</v>
      </c>
    </row>
    <row r="6" spans="1:12" x14ac:dyDescent="0.25">
      <c r="A6" s="26">
        <v>46027</v>
      </c>
      <c r="B6">
        <v>1</v>
      </c>
      <c r="C6" t="s">
        <v>36</v>
      </c>
      <c r="D6">
        <v>2</v>
      </c>
      <c r="E6">
        <v>8</v>
      </c>
      <c r="F6">
        <v>0</v>
      </c>
      <c r="G6">
        <v>0</v>
      </c>
      <c r="H6">
        <v>1</v>
      </c>
      <c r="I6">
        <v>0</v>
      </c>
      <c r="J6">
        <v>13</v>
      </c>
      <c r="K6">
        <v>8</v>
      </c>
      <c r="L6" s="27">
        <v>46066.486157407409</v>
      </c>
    </row>
    <row r="7" spans="1:12" x14ac:dyDescent="0.25">
      <c r="A7" s="26">
        <v>46028</v>
      </c>
      <c r="B7">
        <v>1</v>
      </c>
      <c r="C7" t="s">
        <v>36</v>
      </c>
      <c r="D7">
        <v>3</v>
      </c>
      <c r="E7">
        <v>5</v>
      </c>
      <c r="F7">
        <v>0</v>
      </c>
      <c r="G7">
        <v>0</v>
      </c>
      <c r="H7">
        <v>0</v>
      </c>
      <c r="I7">
        <v>0</v>
      </c>
      <c r="J7">
        <v>8</v>
      </c>
      <c r="K7">
        <v>6</v>
      </c>
      <c r="L7" s="27">
        <v>46066.486157407409</v>
      </c>
    </row>
    <row r="8" spans="1:12" x14ac:dyDescent="0.25">
      <c r="A8" s="26">
        <v>46029</v>
      </c>
      <c r="B8">
        <v>1</v>
      </c>
      <c r="C8" t="s">
        <v>36</v>
      </c>
      <c r="D8">
        <v>2</v>
      </c>
      <c r="E8">
        <v>3</v>
      </c>
      <c r="F8">
        <v>0</v>
      </c>
      <c r="G8">
        <v>0</v>
      </c>
      <c r="H8">
        <v>0</v>
      </c>
      <c r="I8">
        <v>0</v>
      </c>
      <c r="J8">
        <v>6</v>
      </c>
      <c r="K8">
        <v>5</v>
      </c>
      <c r="L8" s="27">
        <v>46066.486168981479</v>
      </c>
    </row>
    <row r="9" spans="1:12" x14ac:dyDescent="0.25">
      <c r="A9" s="26">
        <v>46030</v>
      </c>
      <c r="B9">
        <v>1</v>
      </c>
      <c r="C9" t="s">
        <v>36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5</v>
      </c>
      <c r="K9">
        <v>6</v>
      </c>
      <c r="L9" s="27">
        <v>46066.486180555556</v>
      </c>
    </row>
    <row r="10" spans="1:12" x14ac:dyDescent="0.25">
      <c r="A10" s="26">
        <v>46031</v>
      </c>
      <c r="B10">
        <v>1</v>
      </c>
      <c r="C10" t="s">
        <v>36</v>
      </c>
      <c r="D10">
        <v>2</v>
      </c>
      <c r="E10">
        <v>3</v>
      </c>
      <c r="F10">
        <v>0</v>
      </c>
      <c r="G10">
        <v>0</v>
      </c>
      <c r="H10">
        <v>0</v>
      </c>
      <c r="I10">
        <v>1</v>
      </c>
      <c r="J10">
        <v>6</v>
      </c>
      <c r="K10">
        <v>4</v>
      </c>
      <c r="L10" s="27">
        <v>46066.486180555556</v>
      </c>
    </row>
    <row r="11" spans="1:12" x14ac:dyDescent="0.25">
      <c r="A11" s="26">
        <v>46032</v>
      </c>
      <c r="B11">
        <v>1</v>
      </c>
      <c r="C11" t="s">
        <v>36</v>
      </c>
      <c r="D11">
        <v>2</v>
      </c>
      <c r="E11">
        <v>0</v>
      </c>
      <c r="F11">
        <v>0</v>
      </c>
      <c r="G11">
        <v>0</v>
      </c>
      <c r="H11">
        <v>0</v>
      </c>
      <c r="I11">
        <v>0</v>
      </c>
      <c r="J11">
        <v>4</v>
      </c>
      <c r="K11">
        <v>6</v>
      </c>
      <c r="L11" s="27">
        <v>46066.486192129632</v>
      </c>
    </row>
    <row r="12" spans="1:12" x14ac:dyDescent="0.25">
      <c r="A12" s="26">
        <v>46033</v>
      </c>
      <c r="B12">
        <v>1</v>
      </c>
      <c r="C12" t="s">
        <v>36</v>
      </c>
      <c r="D12">
        <v>0</v>
      </c>
      <c r="E12">
        <v>2</v>
      </c>
      <c r="F12">
        <v>0</v>
      </c>
      <c r="G12">
        <v>0</v>
      </c>
      <c r="H12">
        <v>0</v>
      </c>
      <c r="I12">
        <v>0</v>
      </c>
      <c r="J12">
        <v>6</v>
      </c>
      <c r="K12">
        <v>4</v>
      </c>
      <c r="L12" s="27">
        <v>46066.486203703702</v>
      </c>
    </row>
    <row r="13" spans="1:12" x14ac:dyDescent="0.25">
      <c r="A13" s="26">
        <v>46034</v>
      </c>
      <c r="B13">
        <v>1</v>
      </c>
      <c r="C13" t="s">
        <v>36</v>
      </c>
      <c r="D13">
        <v>4</v>
      </c>
      <c r="E13">
        <v>2</v>
      </c>
      <c r="F13">
        <v>0</v>
      </c>
      <c r="G13">
        <v>0</v>
      </c>
      <c r="H13">
        <v>0</v>
      </c>
      <c r="I13">
        <v>0</v>
      </c>
      <c r="J13">
        <v>4</v>
      </c>
      <c r="K13">
        <v>6</v>
      </c>
      <c r="L13" s="27">
        <v>46066.486203703702</v>
      </c>
    </row>
    <row r="14" spans="1:12" x14ac:dyDescent="0.25">
      <c r="A14" s="26">
        <v>46035</v>
      </c>
      <c r="B14">
        <v>1</v>
      </c>
      <c r="C14" t="s">
        <v>36</v>
      </c>
      <c r="D14">
        <v>3</v>
      </c>
      <c r="E14">
        <v>0</v>
      </c>
      <c r="F14">
        <v>0</v>
      </c>
      <c r="G14">
        <v>0</v>
      </c>
      <c r="H14">
        <v>0</v>
      </c>
      <c r="I14">
        <v>0</v>
      </c>
      <c r="J14">
        <v>6</v>
      </c>
      <c r="K14">
        <v>9</v>
      </c>
      <c r="L14" s="27">
        <v>46066.486215277779</v>
      </c>
    </row>
    <row r="15" spans="1:12" x14ac:dyDescent="0.25">
      <c r="A15" s="26">
        <v>46036</v>
      </c>
      <c r="B15">
        <v>1</v>
      </c>
      <c r="C15" t="s">
        <v>36</v>
      </c>
      <c r="D15">
        <v>1</v>
      </c>
      <c r="E15">
        <v>3</v>
      </c>
      <c r="F15">
        <v>0</v>
      </c>
      <c r="G15">
        <v>0</v>
      </c>
      <c r="H15">
        <v>0</v>
      </c>
      <c r="I15">
        <v>0</v>
      </c>
      <c r="J15">
        <v>9</v>
      </c>
      <c r="K15">
        <v>7</v>
      </c>
      <c r="L15" s="27">
        <v>46066.486226851855</v>
      </c>
    </row>
    <row r="16" spans="1:12" x14ac:dyDescent="0.25">
      <c r="A16" s="26">
        <v>46037</v>
      </c>
      <c r="B16">
        <v>1</v>
      </c>
      <c r="C16" t="s">
        <v>36</v>
      </c>
      <c r="D16">
        <v>2</v>
      </c>
      <c r="E16">
        <v>2</v>
      </c>
      <c r="F16">
        <v>0</v>
      </c>
      <c r="G16">
        <v>0</v>
      </c>
      <c r="H16">
        <v>0</v>
      </c>
      <c r="I16">
        <v>0</v>
      </c>
      <c r="J16">
        <v>7</v>
      </c>
      <c r="K16">
        <v>7</v>
      </c>
      <c r="L16" s="27">
        <v>46066.486226851855</v>
      </c>
    </row>
    <row r="17" spans="1:12" x14ac:dyDescent="0.25">
      <c r="A17" s="26">
        <v>46038</v>
      </c>
      <c r="B17">
        <v>1</v>
      </c>
      <c r="C17" t="s">
        <v>36</v>
      </c>
      <c r="D17">
        <v>0</v>
      </c>
      <c r="E17">
        <v>3</v>
      </c>
      <c r="F17">
        <v>0</v>
      </c>
      <c r="G17">
        <v>0</v>
      </c>
      <c r="H17">
        <v>0</v>
      </c>
      <c r="I17">
        <v>0</v>
      </c>
      <c r="J17">
        <v>7</v>
      </c>
      <c r="K17">
        <v>4</v>
      </c>
      <c r="L17" s="27">
        <v>46066.486238425925</v>
      </c>
    </row>
    <row r="18" spans="1:12" x14ac:dyDescent="0.25">
      <c r="A18" s="26">
        <v>46039</v>
      </c>
      <c r="B18">
        <v>1</v>
      </c>
      <c r="C18" t="s">
        <v>36</v>
      </c>
      <c r="D18">
        <v>3</v>
      </c>
      <c r="E18">
        <v>1</v>
      </c>
      <c r="F18">
        <v>0</v>
      </c>
      <c r="G18">
        <v>0</v>
      </c>
      <c r="H18">
        <v>0</v>
      </c>
      <c r="I18">
        <v>0</v>
      </c>
      <c r="J18">
        <v>4</v>
      </c>
      <c r="K18">
        <v>6</v>
      </c>
      <c r="L18" s="27">
        <v>46066.486250000002</v>
      </c>
    </row>
    <row r="19" spans="1:12" x14ac:dyDescent="0.25">
      <c r="A19" s="26">
        <v>46040</v>
      </c>
      <c r="B19">
        <v>1</v>
      </c>
      <c r="C19" t="s">
        <v>36</v>
      </c>
      <c r="D19">
        <v>3</v>
      </c>
      <c r="E19">
        <v>2</v>
      </c>
      <c r="F19">
        <v>0</v>
      </c>
      <c r="G19">
        <v>0</v>
      </c>
      <c r="H19">
        <v>0</v>
      </c>
      <c r="I19">
        <v>0</v>
      </c>
      <c r="J19">
        <v>6</v>
      </c>
      <c r="K19">
        <v>7</v>
      </c>
      <c r="L19" s="27">
        <v>46066.486250000002</v>
      </c>
    </row>
    <row r="20" spans="1:12" x14ac:dyDescent="0.25">
      <c r="A20" s="26">
        <v>46041</v>
      </c>
      <c r="B20">
        <v>1</v>
      </c>
      <c r="C20" t="s">
        <v>36</v>
      </c>
      <c r="D20">
        <v>0</v>
      </c>
      <c r="E20">
        <v>2</v>
      </c>
      <c r="F20">
        <v>0</v>
      </c>
      <c r="G20">
        <v>0</v>
      </c>
      <c r="H20">
        <v>0</v>
      </c>
      <c r="I20">
        <v>0</v>
      </c>
      <c r="J20">
        <v>7</v>
      </c>
      <c r="K20">
        <v>5</v>
      </c>
      <c r="L20" s="27">
        <v>46066.486261574071</v>
      </c>
    </row>
    <row r="21" spans="1:12" x14ac:dyDescent="0.25">
      <c r="A21" s="26">
        <v>46042</v>
      </c>
      <c r="B21">
        <v>1</v>
      </c>
      <c r="C21" t="s">
        <v>36</v>
      </c>
      <c r="D21">
        <v>0</v>
      </c>
      <c r="E21">
        <v>2</v>
      </c>
      <c r="F21">
        <v>0</v>
      </c>
      <c r="G21">
        <v>0</v>
      </c>
      <c r="H21">
        <v>0</v>
      </c>
      <c r="I21">
        <v>0</v>
      </c>
      <c r="J21">
        <v>5</v>
      </c>
      <c r="K21">
        <v>3</v>
      </c>
      <c r="L21" s="27">
        <v>46066.486273148148</v>
      </c>
    </row>
    <row r="22" spans="1:12" x14ac:dyDescent="0.25">
      <c r="A22" s="26">
        <v>46043</v>
      </c>
      <c r="B22">
        <v>1</v>
      </c>
      <c r="C22" t="s">
        <v>36</v>
      </c>
      <c r="D22">
        <v>5</v>
      </c>
      <c r="E22">
        <v>1</v>
      </c>
      <c r="F22">
        <v>0</v>
      </c>
      <c r="G22">
        <v>0</v>
      </c>
      <c r="H22">
        <v>0</v>
      </c>
      <c r="I22">
        <v>0</v>
      </c>
      <c r="J22">
        <v>3</v>
      </c>
      <c r="K22">
        <v>7</v>
      </c>
      <c r="L22" s="27">
        <v>46066.486284722225</v>
      </c>
    </row>
    <row r="23" spans="1:12" x14ac:dyDescent="0.25">
      <c r="A23" s="26">
        <v>46044</v>
      </c>
      <c r="B23">
        <v>1</v>
      </c>
      <c r="C23" t="s">
        <v>36</v>
      </c>
      <c r="D23">
        <v>0</v>
      </c>
      <c r="E23">
        <v>3</v>
      </c>
      <c r="F23">
        <v>0</v>
      </c>
      <c r="G23">
        <v>0</v>
      </c>
      <c r="H23">
        <v>0</v>
      </c>
      <c r="I23">
        <v>0</v>
      </c>
      <c r="J23">
        <v>7</v>
      </c>
      <c r="K23">
        <v>4</v>
      </c>
      <c r="L23" s="27">
        <v>46066.486284722225</v>
      </c>
    </row>
    <row r="24" spans="1:12" x14ac:dyDescent="0.25">
      <c r="A24" s="26">
        <v>46045</v>
      </c>
      <c r="B24">
        <v>1</v>
      </c>
      <c r="C24" t="s">
        <v>36</v>
      </c>
      <c r="D24">
        <v>1</v>
      </c>
      <c r="E24">
        <v>3</v>
      </c>
      <c r="F24">
        <v>0</v>
      </c>
      <c r="G24">
        <v>0</v>
      </c>
      <c r="H24">
        <v>0</v>
      </c>
      <c r="I24">
        <v>0</v>
      </c>
      <c r="J24">
        <v>4</v>
      </c>
      <c r="K24">
        <v>2</v>
      </c>
      <c r="L24" s="27">
        <v>46066.486296296294</v>
      </c>
    </row>
    <row r="25" spans="1:12" x14ac:dyDescent="0.25">
      <c r="A25" s="26">
        <v>46046</v>
      </c>
      <c r="B25">
        <v>1</v>
      </c>
      <c r="C25" t="s">
        <v>36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2</v>
      </c>
      <c r="K25">
        <v>6</v>
      </c>
      <c r="L25" s="27">
        <v>46066.486296296294</v>
      </c>
    </row>
    <row r="26" spans="1:12" x14ac:dyDescent="0.25">
      <c r="A26" s="26">
        <v>46047</v>
      </c>
      <c r="B26">
        <v>1</v>
      </c>
      <c r="C26" t="s">
        <v>36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6</v>
      </c>
      <c r="K26">
        <v>6</v>
      </c>
      <c r="L26" s="27">
        <v>46066.486307870371</v>
      </c>
    </row>
    <row r="27" spans="1:12" x14ac:dyDescent="0.25">
      <c r="A27" s="26">
        <v>46048</v>
      </c>
      <c r="B27">
        <v>1</v>
      </c>
      <c r="C27" t="s">
        <v>36</v>
      </c>
      <c r="D27">
        <v>3</v>
      </c>
      <c r="E27">
        <v>1</v>
      </c>
      <c r="F27">
        <v>0</v>
      </c>
      <c r="G27">
        <v>0</v>
      </c>
      <c r="H27">
        <v>0</v>
      </c>
      <c r="I27">
        <v>0</v>
      </c>
      <c r="J27">
        <v>6</v>
      </c>
      <c r="K27">
        <v>8</v>
      </c>
      <c r="L27" s="27">
        <v>46066.486319444448</v>
      </c>
    </row>
    <row r="28" spans="1:12" x14ac:dyDescent="0.25">
      <c r="A28" s="26">
        <v>46049</v>
      </c>
      <c r="B28">
        <v>1</v>
      </c>
      <c r="C28" t="s">
        <v>36</v>
      </c>
      <c r="D28">
        <v>1</v>
      </c>
      <c r="E28">
        <v>1</v>
      </c>
      <c r="F28">
        <v>0</v>
      </c>
      <c r="G28">
        <v>0</v>
      </c>
      <c r="H28">
        <v>0</v>
      </c>
      <c r="I28">
        <v>0</v>
      </c>
      <c r="J28">
        <v>8</v>
      </c>
      <c r="K28">
        <v>8</v>
      </c>
      <c r="L28" s="27">
        <v>46066.486331018517</v>
      </c>
    </row>
    <row r="29" spans="1:12" x14ac:dyDescent="0.25">
      <c r="A29" s="26">
        <v>46050</v>
      </c>
      <c r="B29">
        <v>1</v>
      </c>
      <c r="C29" t="s">
        <v>36</v>
      </c>
      <c r="D29">
        <v>2</v>
      </c>
      <c r="E29">
        <v>2</v>
      </c>
      <c r="F29">
        <v>0</v>
      </c>
      <c r="G29">
        <v>0</v>
      </c>
      <c r="H29">
        <v>0</v>
      </c>
      <c r="I29">
        <v>0</v>
      </c>
      <c r="J29">
        <v>8</v>
      </c>
      <c r="K29">
        <v>8</v>
      </c>
      <c r="L29" s="27">
        <v>46066.486331018517</v>
      </c>
    </row>
    <row r="30" spans="1:12" x14ac:dyDescent="0.25">
      <c r="A30" s="26">
        <v>46051</v>
      </c>
      <c r="B30">
        <v>1</v>
      </c>
      <c r="C30" t="s">
        <v>36</v>
      </c>
      <c r="D30">
        <v>1</v>
      </c>
      <c r="E30">
        <v>4</v>
      </c>
      <c r="F30">
        <v>0</v>
      </c>
      <c r="G30">
        <v>0</v>
      </c>
      <c r="H30">
        <v>0</v>
      </c>
      <c r="I30">
        <v>0</v>
      </c>
      <c r="J30">
        <v>8</v>
      </c>
      <c r="K30">
        <v>5</v>
      </c>
      <c r="L30" s="27">
        <v>46066.486342592594</v>
      </c>
    </row>
    <row r="31" spans="1:12" x14ac:dyDescent="0.25">
      <c r="A31" s="26">
        <v>46052</v>
      </c>
      <c r="B31">
        <v>1</v>
      </c>
      <c r="C31" t="s">
        <v>36</v>
      </c>
      <c r="D31">
        <v>3</v>
      </c>
      <c r="E31">
        <v>3</v>
      </c>
      <c r="F31">
        <v>0</v>
      </c>
      <c r="G31">
        <v>0</v>
      </c>
      <c r="H31">
        <v>0</v>
      </c>
      <c r="I31">
        <v>0</v>
      </c>
      <c r="J31">
        <v>5</v>
      </c>
      <c r="K31">
        <v>5</v>
      </c>
      <c r="L31" s="27">
        <v>46066.486354166664</v>
      </c>
    </row>
    <row r="32" spans="1:12" x14ac:dyDescent="0.25">
      <c r="A32" s="26">
        <v>46053</v>
      </c>
      <c r="B32">
        <v>1</v>
      </c>
      <c r="C32" t="s">
        <v>36</v>
      </c>
      <c r="D32">
        <v>2</v>
      </c>
      <c r="E32">
        <v>1</v>
      </c>
      <c r="F32">
        <v>0</v>
      </c>
      <c r="G32">
        <v>0</v>
      </c>
      <c r="H32">
        <v>0</v>
      </c>
      <c r="I32">
        <v>0</v>
      </c>
      <c r="J32">
        <v>5</v>
      </c>
      <c r="K32">
        <v>6</v>
      </c>
      <c r="L32" s="27">
        <v>46066.486354166664</v>
      </c>
    </row>
    <row r="33" spans="1:12" x14ac:dyDescent="0.25">
      <c r="A33" s="26">
        <v>46056</v>
      </c>
      <c r="B33">
        <v>2</v>
      </c>
      <c r="C33" t="s">
        <v>36</v>
      </c>
      <c r="D33">
        <v>3</v>
      </c>
      <c r="E33">
        <v>1</v>
      </c>
      <c r="F33">
        <v>0</v>
      </c>
      <c r="G33">
        <v>0</v>
      </c>
      <c r="H33">
        <v>0</v>
      </c>
      <c r="I33">
        <v>0</v>
      </c>
      <c r="J33">
        <v>6</v>
      </c>
      <c r="K33">
        <v>8</v>
      </c>
      <c r="L33" s="27">
        <v>46066.48636574074</v>
      </c>
    </row>
    <row r="34" spans="1:12" x14ac:dyDescent="0.25">
      <c r="A34" s="26">
        <v>46023</v>
      </c>
      <c r="B34">
        <v>1</v>
      </c>
      <c r="C34" t="s">
        <v>38</v>
      </c>
      <c r="D34">
        <v>4</v>
      </c>
      <c r="E34">
        <v>6</v>
      </c>
      <c r="F34">
        <v>0</v>
      </c>
      <c r="G34">
        <v>0</v>
      </c>
      <c r="H34">
        <v>0</v>
      </c>
      <c r="I34">
        <v>1</v>
      </c>
      <c r="J34">
        <v>9</v>
      </c>
      <c r="K34">
        <v>6</v>
      </c>
      <c r="L34" s="27">
        <v>46066.486377314817</v>
      </c>
    </row>
    <row r="35" spans="1:12" x14ac:dyDescent="0.25">
      <c r="A35" s="26">
        <v>46024</v>
      </c>
      <c r="B35">
        <v>1</v>
      </c>
      <c r="C35" t="s">
        <v>38</v>
      </c>
      <c r="D35">
        <v>4</v>
      </c>
      <c r="E35">
        <v>3</v>
      </c>
      <c r="F35">
        <v>0</v>
      </c>
      <c r="G35">
        <v>0</v>
      </c>
      <c r="H35">
        <v>2</v>
      </c>
      <c r="I35">
        <v>0</v>
      </c>
      <c r="J35">
        <v>6</v>
      </c>
      <c r="K35">
        <v>9</v>
      </c>
      <c r="L35" s="27">
        <v>46066.486388888887</v>
      </c>
    </row>
    <row r="36" spans="1:12" x14ac:dyDescent="0.25">
      <c r="A36" s="26">
        <v>46025</v>
      </c>
      <c r="B36">
        <v>1</v>
      </c>
      <c r="C36" t="s">
        <v>38</v>
      </c>
      <c r="D36">
        <v>3</v>
      </c>
      <c r="E36">
        <v>4</v>
      </c>
      <c r="F36">
        <v>0</v>
      </c>
      <c r="G36">
        <v>0</v>
      </c>
      <c r="H36">
        <v>2</v>
      </c>
      <c r="I36">
        <v>1</v>
      </c>
      <c r="J36">
        <v>9</v>
      </c>
      <c r="K36">
        <v>9</v>
      </c>
      <c r="L36" s="27">
        <v>46066.486388888887</v>
      </c>
    </row>
    <row r="37" spans="1:12" x14ac:dyDescent="0.25">
      <c r="A37" s="26">
        <v>46026</v>
      </c>
      <c r="B37">
        <v>1</v>
      </c>
      <c r="C37" t="s">
        <v>38</v>
      </c>
      <c r="D37">
        <v>7</v>
      </c>
      <c r="E37">
        <v>2</v>
      </c>
      <c r="F37">
        <v>0</v>
      </c>
      <c r="G37">
        <v>0</v>
      </c>
      <c r="H37">
        <v>1</v>
      </c>
      <c r="I37">
        <v>0</v>
      </c>
      <c r="J37">
        <v>9</v>
      </c>
      <c r="K37">
        <v>15</v>
      </c>
      <c r="L37" s="27">
        <v>46066.486400462964</v>
      </c>
    </row>
    <row r="38" spans="1:12" x14ac:dyDescent="0.25">
      <c r="A38" s="26">
        <v>46027</v>
      </c>
      <c r="B38">
        <v>1</v>
      </c>
      <c r="C38" t="s">
        <v>38</v>
      </c>
      <c r="D38">
        <v>5</v>
      </c>
      <c r="E38">
        <v>7</v>
      </c>
      <c r="F38">
        <v>0</v>
      </c>
      <c r="G38">
        <v>0</v>
      </c>
      <c r="H38">
        <v>2</v>
      </c>
      <c r="I38">
        <v>1</v>
      </c>
      <c r="J38">
        <v>15</v>
      </c>
      <c r="K38">
        <v>14</v>
      </c>
      <c r="L38" s="27">
        <v>46066.48641203704</v>
      </c>
    </row>
    <row r="39" spans="1:12" x14ac:dyDescent="0.25">
      <c r="A39" s="26">
        <v>46028</v>
      </c>
      <c r="B39">
        <v>1</v>
      </c>
      <c r="C39" t="s">
        <v>38</v>
      </c>
      <c r="D39">
        <v>6</v>
      </c>
      <c r="E39">
        <v>6</v>
      </c>
      <c r="F39">
        <v>0</v>
      </c>
      <c r="G39">
        <v>0</v>
      </c>
      <c r="H39">
        <v>0</v>
      </c>
      <c r="I39">
        <v>2</v>
      </c>
      <c r="J39">
        <v>14</v>
      </c>
      <c r="K39">
        <v>12</v>
      </c>
      <c r="L39" s="27">
        <v>46066.48641203704</v>
      </c>
    </row>
    <row r="40" spans="1:12" x14ac:dyDescent="0.25">
      <c r="A40" s="26">
        <v>46029</v>
      </c>
      <c r="B40">
        <v>1</v>
      </c>
      <c r="C40" t="s">
        <v>38</v>
      </c>
      <c r="D40">
        <v>3</v>
      </c>
      <c r="E40">
        <v>7</v>
      </c>
      <c r="F40">
        <v>0</v>
      </c>
      <c r="G40">
        <v>0</v>
      </c>
      <c r="H40">
        <v>1</v>
      </c>
      <c r="I40">
        <v>1</v>
      </c>
      <c r="J40">
        <v>12</v>
      </c>
      <c r="K40">
        <v>8</v>
      </c>
      <c r="L40" s="27">
        <v>46066.48642361111</v>
      </c>
    </row>
    <row r="41" spans="1:12" x14ac:dyDescent="0.25">
      <c r="A41" s="26">
        <v>46030</v>
      </c>
      <c r="B41">
        <v>1</v>
      </c>
      <c r="C41" t="s">
        <v>38</v>
      </c>
      <c r="D41">
        <v>7</v>
      </c>
      <c r="E41">
        <v>2</v>
      </c>
      <c r="F41">
        <v>0</v>
      </c>
      <c r="G41">
        <v>0</v>
      </c>
      <c r="H41">
        <v>0</v>
      </c>
      <c r="I41">
        <v>1</v>
      </c>
      <c r="J41">
        <v>8</v>
      </c>
      <c r="K41">
        <v>12</v>
      </c>
      <c r="L41" s="27">
        <v>46066.486435185187</v>
      </c>
    </row>
    <row r="42" spans="1:12" x14ac:dyDescent="0.25">
      <c r="A42" s="26">
        <v>46031</v>
      </c>
      <c r="B42">
        <v>1</v>
      </c>
      <c r="C42" t="s">
        <v>38</v>
      </c>
      <c r="D42">
        <v>3</v>
      </c>
      <c r="E42">
        <v>6</v>
      </c>
      <c r="F42">
        <v>0</v>
      </c>
      <c r="G42">
        <v>0</v>
      </c>
      <c r="H42">
        <v>1</v>
      </c>
      <c r="I42">
        <v>1</v>
      </c>
      <c r="J42">
        <v>12</v>
      </c>
      <c r="K42">
        <v>9</v>
      </c>
      <c r="L42" s="27">
        <v>46066.486435185187</v>
      </c>
    </row>
    <row r="43" spans="1:12" x14ac:dyDescent="0.25">
      <c r="A43" s="26">
        <v>46032</v>
      </c>
      <c r="B43">
        <v>1</v>
      </c>
      <c r="C43" t="s">
        <v>38</v>
      </c>
      <c r="D43">
        <v>4</v>
      </c>
      <c r="E43">
        <v>2</v>
      </c>
      <c r="F43">
        <v>0</v>
      </c>
      <c r="G43">
        <v>0</v>
      </c>
      <c r="H43">
        <v>0</v>
      </c>
      <c r="I43">
        <v>1</v>
      </c>
      <c r="J43">
        <v>9</v>
      </c>
      <c r="K43">
        <v>10</v>
      </c>
      <c r="L43" s="27">
        <v>46066.486446759256</v>
      </c>
    </row>
    <row r="44" spans="1:12" x14ac:dyDescent="0.25">
      <c r="A44" s="26">
        <v>46033</v>
      </c>
      <c r="B44">
        <v>1</v>
      </c>
      <c r="C44" t="s">
        <v>38</v>
      </c>
      <c r="D44">
        <v>6</v>
      </c>
      <c r="E44">
        <v>7</v>
      </c>
      <c r="F44">
        <v>0</v>
      </c>
      <c r="G44">
        <v>0</v>
      </c>
      <c r="H44">
        <v>4</v>
      </c>
      <c r="I44">
        <v>1</v>
      </c>
      <c r="J44">
        <v>10</v>
      </c>
      <c r="K44">
        <v>12</v>
      </c>
      <c r="L44" s="27">
        <v>46066.486458333333</v>
      </c>
    </row>
    <row r="45" spans="1:12" x14ac:dyDescent="0.25">
      <c r="A45" s="26">
        <v>46034</v>
      </c>
      <c r="B45">
        <v>1</v>
      </c>
      <c r="C45" t="s">
        <v>38</v>
      </c>
      <c r="D45">
        <v>8</v>
      </c>
      <c r="E45">
        <v>4</v>
      </c>
      <c r="F45">
        <v>0</v>
      </c>
      <c r="G45">
        <v>0</v>
      </c>
      <c r="H45">
        <v>2</v>
      </c>
      <c r="I45">
        <v>3</v>
      </c>
      <c r="J45">
        <v>12</v>
      </c>
      <c r="K45">
        <v>15</v>
      </c>
      <c r="L45" s="27">
        <v>46066.486458333333</v>
      </c>
    </row>
    <row r="46" spans="1:12" x14ac:dyDescent="0.25">
      <c r="A46" s="26">
        <v>46035</v>
      </c>
      <c r="B46">
        <v>1</v>
      </c>
      <c r="C46" t="s">
        <v>38</v>
      </c>
      <c r="D46">
        <v>5</v>
      </c>
      <c r="E46">
        <v>6</v>
      </c>
      <c r="F46">
        <v>0</v>
      </c>
      <c r="G46">
        <v>0</v>
      </c>
      <c r="H46">
        <v>2</v>
      </c>
      <c r="I46">
        <v>0</v>
      </c>
      <c r="J46">
        <v>15</v>
      </c>
      <c r="K46">
        <v>16</v>
      </c>
      <c r="L46" s="27">
        <v>46066.48646990741</v>
      </c>
    </row>
    <row r="47" spans="1:12" x14ac:dyDescent="0.25">
      <c r="A47" s="26">
        <v>46036</v>
      </c>
      <c r="B47">
        <v>1</v>
      </c>
      <c r="C47" t="s">
        <v>38</v>
      </c>
      <c r="D47">
        <v>5</v>
      </c>
      <c r="E47">
        <v>3</v>
      </c>
      <c r="F47">
        <v>0</v>
      </c>
      <c r="G47">
        <v>0</v>
      </c>
      <c r="H47">
        <v>1</v>
      </c>
      <c r="I47">
        <v>2</v>
      </c>
      <c r="J47">
        <v>16</v>
      </c>
      <c r="K47">
        <v>17</v>
      </c>
      <c r="L47" s="27">
        <v>46066.486481481479</v>
      </c>
    </row>
    <row r="48" spans="1:12" x14ac:dyDescent="0.25">
      <c r="A48" s="26">
        <v>46037</v>
      </c>
      <c r="B48">
        <v>1</v>
      </c>
      <c r="C48" t="s">
        <v>38</v>
      </c>
      <c r="D48">
        <v>4</v>
      </c>
      <c r="E48">
        <v>11</v>
      </c>
      <c r="F48">
        <v>0</v>
      </c>
      <c r="G48">
        <v>0</v>
      </c>
      <c r="H48">
        <v>0</v>
      </c>
      <c r="I48">
        <v>1</v>
      </c>
      <c r="J48">
        <v>17</v>
      </c>
      <c r="K48">
        <v>9</v>
      </c>
      <c r="L48" s="27">
        <v>46066.486481481479</v>
      </c>
    </row>
    <row r="49" spans="1:12" x14ac:dyDescent="0.25">
      <c r="A49" s="26">
        <v>46038</v>
      </c>
      <c r="B49">
        <v>1</v>
      </c>
      <c r="C49" t="s">
        <v>38</v>
      </c>
      <c r="D49">
        <v>2</v>
      </c>
      <c r="E49">
        <v>1</v>
      </c>
      <c r="F49">
        <v>0</v>
      </c>
      <c r="G49">
        <v>0</v>
      </c>
      <c r="H49">
        <v>0</v>
      </c>
      <c r="I49">
        <v>0</v>
      </c>
      <c r="J49">
        <v>9</v>
      </c>
      <c r="K49">
        <v>10</v>
      </c>
      <c r="L49" s="27">
        <v>46066.486493055556</v>
      </c>
    </row>
    <row r="50" spans="1:12" x14ac:dyDescent="0.25">
      <c r="A50" s="26">
        <v>46039</v>
      </c>
      <c r="B50">
        <v>1</v>
      </c>
      <c r="C50" t="s">
        <v>38</v>
      </c>
      <c r="D50">
        <v>4</v>
      </c>
      <c r="E50">
        <v>2</v>
      </c>
      <c r="F50">
        <v>0</v>
      </c>
      <c r="G50">
        <v>0</v>
      </c>
      <c r="H50">
        <v>0</v>
      </c>
      <c r="I50">
        <v>1</v>
      </c>
      <c r="J50">
        <v>10</v>
      </c>
      <c r="K50">
        <v>11</v>
      </c>
      <c r="L50" s="27">
        <v>46066.486504629633</v>
      </c>
    </row>
    <row r="51" spans="1:12" x14ac:dyDescent="0.25">
      <c r="A51" s="26">
        <v>46040</v>
      </c>
      <c r="B51">
        <v>1</v>
      </c>
      <c r="C51" t="s">
        <v>38</v>
      </c>
      <c r="D51">
        <v>1</v>
      </c>
      <c r="E51">
        <v>3</v>
      </c>
      <c r="F51">
        <v>0</v>
      </c>
      <c r="G51">
        <v>0</v>
      </c>
      <c r="H51">
        <v>1</v>
      </c>
      <c r="I51">
        <v>0</v>
      </c>
      <c r="J51">
        <v>11</v>
      </c>
      <c r="K51">
        <v>10</v>
      </c>
      <c r="L51" s="27">
        <v>46066.486504629633</v>
      </c>
    </row>
    <row r="52" spans="1:12" x14ac:dyDescent="0.25">
      <c r="A52" s="26">
        <v>46041</v>
      </c>
      <c r="B52">
        <v>1</v>
      </c>
      <c r="C52" t="s">
        <v>38</v>
      </c>
      <c r="D52">
        <v>4</v>
      </c>
      <c r="E52">
        <v>1</v>
      </c>
      <c r="F52">
        <v>0</v>
      </c>
      <c r="G52">
        <v>0</v>
      </c>
      <c r="H52">
        <v>0</v>
      </c>
      <c r="I52">
        <v>0</v>
      </c>
      <c r="J52">
        <v>10</v>
      </c>
      <c r="K52">
        <v>13</v>
      </c>
      <c r="L52" s="27">
        <v>46066.486516203702</v>
      </c>
    </row>
    <row r="53" spans="1:12" x14ac:dyDescent="0.25">
      <c r="A53" s="26">
        <v>46042</v>
      </c>
      <c r="B53">
        <v>1</v>
      </c>
      <c r="C53" t="s">
        <v>38</v>
      </c>
      <c r="D53">
        <v>4</v>
      </c>
      <c r="E53">
        <v>2</v>
      </c>
      <c r="F53">
        <v>0</v>
      </c>
      <c r="G53">
        <v>0</v>
      </c>
      <c r="H53">
        <v>1</v>
      </c>
      <c r="I53">
        <v>0</v>
      </c>
      <c r="J53">
        <v>13</v>
      </c>
      <c r="K53">
        <v>16</v>
      </c>
      <c r="L53" s="27">
        <v>46066.486527777779</v>
      </c>
    </row>
    <row r="54" spans="1:12" x14ac:dyDescent="0.25">
      <c r="A54" s="26">
        <v>46043</v>
      </c>
      <c r="B54">
        <v>1</v>
      </c>
      <c r="C54" t="s">
        <v>38</v>
      </c>
      <c r="D54">
        <v>2</v>
      </c>
      <c r="E54">
        <v>6</v>
      </c>
      <c r="F54">
        <v>0</v>
      </c>
      <c r="G54">
        <v>0</v>
      </c>
      <c r="H54">
        <v>1</v>
      </c>
      <c r="I54">
        <v>0</v>
      </c>
      <c r="J54">
        <v>16</v>
      </c>
      <c r="K54">
        <v>13</v>
      </c>
      <c r="L54" s="27">
        <v>46066.486539351848</v>
      </c>
    </row>
    <row r="55" spans="1:12" x14ac:dyDescent="0.25">
      <c r="A55" s="26">
        <v>46044</v>
      </c>
      <c r="B55">
        <v>1</v>
      </c>
      <c r="C55" t="s">
        <v>38</v>
      </c>
      <c r="D55">
        <v>6</v>
      </c>
      <c r="E55">
        <v>3</v>
      </c>
      <c r="F55">
        <v>0</v>
      </c>
      <c r="G55">
        <v>0</v>
      </c>
      <c r="H55">
        <v>0</v>
      </c>
      <c r="I55">
        <v>3</v>
      </c>
      <c r="J55">
        <v>13</v>
      </c>
      <c r="K55">
        <v>13</v>
      </c>
      <c r="L55" s="27">
        <v>46066.486539351848</v>
      </c>
    </row>
    <row r="56" spans="1:12" x14ac:dyDescent="0.25">
      <c r="A56" s="26">
        <v>46045</v>
      </c>
      <c r="B56">
        <v>1</v>
      </c>
      <c r="C56" t="s">
        <v>38</v>
      </c>
      <c r="D56">
        <v>4</v>
      </c>
      <c r="E56">
        <v>7</v>
      </c>
      <c r="F56">
        <v>0</v>
      </c>
      <c r="G56">
        <v>0</v>
      </c>
      <c r="H56">
        <v>0</v>
      </c>
      <c r="I56">
        <v>1</v>
      </c>
      <c r="J56">
        <v>13</v>
      </c>
      <c r="K56">
        <v>9</v>
      </c>
      <c r="L56" s="27">
        <v>46066.486550925925</v>
      </c>
    </row>
    <row r="57" spans="1:12" x14ac:dyDescent="0.25">
      <c r="A57" s="26">
        <v>46046</v>
      </c>
      <c r="B57">
        <v>1</v>
      </c>
      <c r="C57" t="s">
        <v>38</v>
      </c>
      <c r="D57">
        <v>0</v>
      </c>
      <c r="E57">
        <v>1</v>
      </c>
      <c r="F57">
        <v>0</v>
      </c>
      <c r="G57">
        <v>0</v>
      </c>
      <c r="H57">
        <v>0</v>
      </c>
      <c r="I57">
        <v>1</v>
      </c>
      <c r="J57">
        <v>9</v>
      </c>
      <c r="K57">
        <v>7</v>
      </c>
      <c r="L57" s="27">
        <v>46066.486562500002</v>
      </c>
    </row>
    <row r="58" spans="1:12" x14ac:dyDescent="0.25">
      <c r="A58" s="26">
        <v>46047</v>
      </c>
      <c r="B58">
        <v>1</v>
      </c>
      <c r="C58" t="s">
        <v>38</v>
      </c>
      <c r="D58">
        <v>2</v>
      </c>
      <c r="E58">
        <v>1</v>
      </c>
      <c r="F58">
        <v>0</v>
      </c>
      <c r="G58">
        <v>0</v>
      </c>
      <c r="H58">
        <v>2</v>
      </c>
      <c r="I58">
        <v>0</v>
      </c>
      <c r="J58">
        <v>7</v>
      </c>
      <c r="K58">
        <v>10</v>
      </c>
      <c r="L58" s="27">
        <v>46066.486562500002</v>
      </c>
    </row>
    <row r="59" spans="1:12" x14ac:dyDescent="0.25">
      <c r="A59" s="26">
        <v>46048</v>
      </c>
      <c r="B59">
        <v>1</v>
      </c>
      <c r="C59" t="s">
        <v>38</v>
      </c>
      <c r="D59">
        <v>1</v>
      </c>
      <c r="E59">
        <v>3</v>
      </c>
      <c r="F59">
        <v>0</v>
      </c>
      <c r="G59">
        <v>0</v>
      </c>
      <c r="H59">
        <v>0</v>
      </c>
      <c r="I59">
        <v>0</v>
      </c>
      <c r="J59">
        <v>10</v>
      </c>
      <c r="K59">
        <v>8</v>
      </c>
      <c r="L59" s="27">
        <v>46066.486574074072</v>
      </c>
    </row>
    <row r="60" spans="1:12" x14ac:dyDescent="0.25">
      <c r="A60" s="26">
        <v>46049</v>
      </c>
      <c r="B60">
        <v>1</v>
      </c>
      <c r="C60" t="s">
        <v>38</v>
      </c>
      <c r="D60">
        <v>5</v>
      </c>
      <c r="E60">
        <v>5</v>
      </c>
      <c r="F60">
        <v>0</v>
      </c>
      <c r="G60">
        <v>0</v>
      </c>
      <c r="H60">
        <v>1</v>
      </c>
      <c r="I60">
        <v>1</v>
      </c>
      <c r="J60">
        <v>8</v>
      </c>
      <c r="K60">
        <v>8</v>
      </c>
      <c r="L60" s="27">
        <v>46066.486585648148</v>
      </c>
    </row>
    <row r="61" spans="1:12" x14ac:dyDescent="0.25">
      <c r="A61" s="26">
        <v>46050</v>
      </c>
      <c r="B61">
        <v>1</v>
      </c>
      <c r="C61" t="s">
        <v>38</v>
      </c>
      <c r="D61">
        <v>5</v>
      </c>
      <c r="E61">
        <v>2</v>
      </c>
      <c r="F61">
        <v>0</v>
      </c>
      <c r="G61">
        <v>0</v>
      </c>
      <c r="H61">
        <v>0</v>
      </c>
      <c r="I61">
        <v>2</v>
      </c>
      <c r="J61">
        <v>8</v>
      </c>
      <c r="K61">
        <v>9</v>
      </c>
      <c r="L61" s="27">
        <v>46066.486585648148</v>
      </c>
    </row>
    <row r="62" spans="1:12" x14ac:dyDescent="0.25">
      <c r="A62" s="26">
        <v>46051</v>
      </c>
      <c r="B62">
        <v>1</v>
      </c>
      <c r="C62" t="s">
        <v>38</v>
      </c>
      <c r="D62">
        <v>4</v>
      </c>
      <c r="E62">
        <v>1</v>
      </c>
      <c r="F62">
        <v>0</v>
      </c>
      <c r="G62">
        <v>0</v>
      </c>
      <c r="H62">
        <v>1</v>
      </c>
      <c r="I62">
        <v>2</v>
      </c>
      <c r="J62">
        <v>9</v>
      </c>
      <c r="K62">
        <v>11</v>
      </c>
      <c r="L62" s="27">
        <v>46066.486597222225</v>
      </c>
    </row>
    <row r="63" spans="1:12" x14ac:dyDescent="0.25">
      <c r="A63" s="26">
        <v>46052</v>
      </c>
      <c r="B63">
        <v>1</v>
      </c>
      <c r="C63" t="s">
        <v>38</v>
      </c>
      <c r="D63">
        <v>2</v>
      </c>
      <c r="E63">
        <v>5</v>
      </c>
      <c r="F63">
        <v>0</v>
      </c>
      <c r="G63">
        <v>0</v>
      </c>
      <c r="H63">
        <v>1</v>
      </c>
      <c r="I63">
        <v>0</v>
      </c>
      <c r="J63">
        <v>11</v>
      </c>
      <c r="K63">
        <v>9</v>
      </c>
      <c r="L63" s="27">
        <v>46066.486608796295</v>
      </c>
    </row>
    <row r="64" spans="1:12" x14ac:dyDescent="0.25">
      <c r="A64" s="26">
        <v>46053</v>
      </c>
      <c r="B64">
        <v>1</v>
      </c>
      <c r="C64" t="s">
        <v>38</v>
      </c>
      <c r="D64">
        <v>5</v>
      </c>
      <c r="E64">
        <v>3</v>
      </c>
      <c r="F64">
        <v>0</v>
      </c>
      <c r="G64">
        <v>0</v>
      </c>
      <c r="H64">
        <v>1</v>
      </c>
      <c r="I64">
        <v>0</v>
      </c>
      <c r="J64">
        <v>9</v>
      </c>
      <c r="K64">
        <v>12</v>
      </c>
      <c r="L64" s="27">
        <v>46066.486608796295</v>
      </c>
    </row>
    <row r="65" spans="1:12" x14ac:dyDescent="0.25">
      <c r="A65" s="26">
        <v>46054</v>
      </c>
      <c r="B65">
        <v>2</v>
      </c>
      <c r="C65" t="s">
        <v>38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12</v>
      </c>
      <c r="K65">
        <v>12</v>
      </c>
      <c r="L65" s="27">
        <v>46066.486620370371</v>
      </c>
    </row>
    <row r="66" spans="1:12" x14ac:dyDescent="0.25">
      <c r="A66" s="26">
        <v>46023</v>
      </c>
      <c r="B66">
        <v>1</v>
      </c>
      <c r="C66" t="s">
        <v>40</v>
      </c>
      <c r="D66">
        <v>3</v>
      </c>
      <c r="E66">
        <v>2</v>
      </c>
      <c r="F66">
        <v>0</v>
      </c>
      <c r="G66">
        <v>0</v>
      </c>
      <c r="H66">
        <v>1</v>
      </c>
      <c r="I66">
        <v>0</v>
      </c>
      <c r="J66">
        <v>12</v>
      </c>
      <c r="K66">
        <v>14</v>
      </c>
      <c r="L66" s="27">
        <v>46066.486631944441</v>
      </c>
    </row>
    <row r="67" spans="1:12" x14ac:dyDescent="0.25">
      <c r="A67" s="26">
        <v>46024</v>
      </c>
      <c r="B67">
        <v>1</v>
      </c>
      <c r="C67" t="s">
        <v>40</v>
      </c>
      <c r="D67">
        <v>5</v>
      </c>
      <c r="E67">
        <v>4</v>
      </c>
      <c r="F67">
        <v>0</v>
      </c>
      <c r="G67">
        <v>0</v>
      </c>
      <c r="H67">
        <v>0</v>
      </c>
      <c r="I67">
        <v>2</v>
      </c>
      <c r="J67">
        <v>14</v>
      </c>
      <c r="K67">
        <v>13</v>
      </c>
      <c r="L67" s="27">
        <v>46066.486643518518</v>
      </c>
    </row>
    <row r="68" spans="1:12" x14ac:dyDescent="0.25">
      <c r="A68" s="26">
        <v>46025</v>
      </c>
      <c r="B68">
        <v>1</v>
      </c>
      <c r="C68" t="s">
        <v>40</v>
      </c>
      <c r="D68">
        <v>3</v>
      </c>
      <c r="E68">
        <v>1</v>
      </c>
      <c r="F68">
        <v>0</v>
      </c>
      <c r="G68">
        <v>0</v>
      </c>
      <c r="H68">
        <v>1</v>
      </c>
      <c r="I68">
        <v>2</v>
      </c>
      <c r="J68">
        <v>13</v>
      </c>
      <c r="K68">
        <v>14</v>
      </c>
      <c r="L68" s="27">
        <v>46066.486643518518</v>
      </c>
    </row>
    <row r="69" spans="1:12" x14ac:dyDescent="0.25">
      <c r="A69" s="26">
        <v>46026</v>
      </c>
      <c r="B69">
        <v>1</v>
      </c>
      <c r="C69" t="s">
        <v>40</v>
      </c>
      <c r="D69">
        <v>1</v>
      </c>
      <c r="E69">
        <v>4</v>
      </c>
      <c r="F69">
        <v>0</v>
      </c>
      <c r="G69">
        <v>0</v>
      </c>
      <c r="H69">
        <v>0</v>
      </c>
      <c r="I69">
        <v>1</v>
      </c>
      <c r="J69">
        <v>14</v>
      </c>
      <c r="K69">
        <v>10</v>
      </c>
      <c r="L69" s="27">
        <v>46066.486655092594</v>
      </c>
    </row>
    <row r="70" spans="1:12" x14ac:dyDescent="0.25">
      <c r="A70" s="26">
        <v>46027</v>
      </c>
      <c r="B70">
        <v>1</v>
      </c>
      <c r="C70" t="s">
        <v>40</v>
      </c>
      <c r="D70">
        <v>5</v>
      </c>
      <c r="E70">
        <v>1</v>
      </c>
      <c r="F70">
        <v>0</v>
      </c>
      <c r="G70">
        <v>0</v>
      </c>
      <c r="H70">
        <v>1</v>
      </c>
      <c r="I70">
        <v>1</v>
      </c>
      <c r="J70">
        <v>10</v>
      </c>
      <c r="K70">
        <v>14</v>
      </c>
      <c r="L70" s="27">
        <v>46066.486666666664</v>
      </c>
    </row>
    <row r="71" spans="1:12" x14ac:dyDescent="0.25">
      <c r="A71" s="26">
        <v>46028</v>
      </c>
      <c r="B71">
        <v>1</v>
      </c>
      <c r="C71" t="s">
        <v>40</v>
      </c>
      <c r="D71">
        <v>2</v>
      </c>
      <c r="E71">
        <v>0</v>
      </c>
      <c r="F71">
        <v>0</v>
      </c>
      <c r="G71">
        <v>0</v>
      </c>
      <c r="H71">
        <v>2</v>
      </c>
      <c r="I71">
        <v>0</v>
      </c>
      <c r="J71">
        <v>14</v>
      </c>
      <c r="K71">
        <v>18</v>
      </c>
      <c r="L71" s="27">
        <v>46066.486666666664</v>
      </c>
    </row>
    <row r="72" spans="1:12" x14ac:dyDescent="0.25">
      <c r="A72" s="26">
        <v>46029</v>
      </c>
      <c r="B72">
        <v>1</v>
      </c>
      <c r="C72" t="s">
        <v>40</v>
      </c>
      <c r="D72">
        <v>3</v>
      </c>
      <c r="E72">
        <v>1</v>
      </c>
      <c r="F72">
        <v>0</v>
      </c>
      <c r="G72">
        <v>0</v>
      </c>
      <c r="H72">
        <v>1</v>
      </c>
      <c r="I72">
        <v>1</v>
      </c>
      <c r="J72">
        <v>18</v>
      </c>
      <c r="K72">
        <v>20</v>
      </c>
      <c r="L72" s="27">
        <v>46066.486678240741</v>
      </c>
    </row>
    <row r="73" spans="1:12" x14ac:dyDescent="0.25">
      <c r="A73" s="26">
        <v>46030</v>
      </c>
      <c r="B73">
        <v>1</v>
      </c>
      <c r="C73" t="s">
        <v>40</v>
      </c>
      <c r="D73">
        <v>2</v>
      </c>
      <c r="E73">
        <v>4</v>
      </c>
      <c r="F73">
        <v>0</v>
      </c>
      <c r="G73">
        <v>0</v>
      </c>
      <c r="H73">
        <v>1</v>
      </c>
      <c r="I73">
        <v>0</v>
      </c>
      <c r="J73">
        <v>20</v>
      </c>
      <c r="K73">
        <v>19</v>
      </c>
      <c r="L73" s="27">
        <v>46066.486689814818</v>
      </c>
    </row>
    <row r="74" spans="1:12" x14ac:dyDescent="0.25">
      <c r="A74" s="26">
        <v>46031</v>
      </c>
      <c r="B74">
        <v>1</v>
      </c>
      <c r="C74" t="s">
        <v>40</v>
      </c>
      <c r="D74">
        <v>1</v>
      </c>
      <c r="E74">
        <v>3</v>
      </c>
      <c r="F74">
        <v>0</v>
      </c>
      <c r="G74">
        <v>0</v>
      </c>
      <c r="H74">
        <v>2</v>
      </c>
      <c r="I74">
        <v>1</v>
      </c>
      <c r="J74">
        <v>19</v>
      </c>
      <c r="K74">
        <v>18</v>
      </c>
      <c r="L74" s="27">
        <v>46066.486701388887</v>
      </c>
    </row>
    <row r="75" spans="1:12" x14ac:dyDescent="0.25">
      <c r="A75" s="26">
        <v>46032</v>
      </c>
      <c r="B75">
        <v>1</v>
      </c>
      <c r="C75" t="s">
        <v>40</v>
      </c>
      <c r="D75">
        <v>4</v>
      </c>
      <c r="E75">
        <v>3</v>
      </c>
      <c r="F75">
        <v>0</v>
      </c>
      <c r="G75">
        <v>0</v>
      </c>
      <c r="H75">
        <v>1</v>
      </c>
      <c r="I75">
        <v>0</v>
      </c>
      <c r="J75">
        <v>18</v>
      </c>
      <c r="K75">
        <v>20</v>
      </c>
      <c r="L75" s="27">
        <v>46066.486701388887</v>
      </c>
    </row>
    <row r="76" spans="1:12" x14ac:dyDescent="0.25">
      <c r="A76" s="26">
        <v>46033</v>
      </c>
      <c r="B76">
        <v>1</v>
      </c>
      <c r="C76" t="s">
        <v>40</v>
      </c>
      <c r="D76">
        <v>3</v>
      </c>
      <c r="E76">
        <v>2</v>
      </c>
      <c r="F76">
        <v>0</v>
      </c>
      <c r="G76">
        <v>0</v>
      </c>
      <c r="H76">
        <v>1</v>
      </c>
      <c r="I76">
        <v>4</v>
      </c>
      <c r="J76">
        <v>20</v>
      </c>
      <c r="K76">
        <v>18</v>
      </c>
      <c r="L76" s="27">
        <v>46066.486712962964</v>
      </c>
    </row>
    <row r="77" spans="1:12" x14ac:dyDescent="0.25">
      <c r="A77" s="26">
        <v>46034</v>
      </c>
      <c r="B77">
        <v>1</v>
      </c>
      <c r="C77" t="s">
        <v>40</v>
      </c>
      <c r="D77">
        <v>3</v>
      </c>
      <c r="E77">
        <v>3</v>
      </c>
      <c r="F77">
        <v>0</v>
      </c>
      <c r="G77">
        <v>0</v>
      </c>
      <c r="H77">
        <v>3</v>
      </c>
      <c r="I77">
        <v>2</v>
      </c>
      <c r="J77">
        <v>18</v>
      </c>
      <c r="K77">
        <v>19</v>
      </c>
      <c r="L77" s="27">
        <v>46066.486724537041</v>
      </c>
    </row>
    <row r="78" spans="1:12" x14ac:dyDescent="0.25">
      <c r="A78" s="26">
        <v>46035</v>
      </c>
      <c r="B78">
        <v>1</v>
      </c>
      <c r="C78" t="s">
        <v>40</v>
      </c>
      <c r="D78">
        <v>4</v>
      </c>
      <c r="E78">
        <v>4</v>
      </c>
      <c r="F78">
        <v>0</v>
      </c>
      <c r="G78">
        <v>0</v>
      </c>
      <c r="H78">
        <v>0</v>
      </c>
      <c r="I78">
        <v>2</v>
      </c>
      <c r="J78">
        <v>19</v>
      </c>
      <c r="K78">
        <v>17</v>
      </c>
      <c r="L78" s="27">
        <v>46066.486724537041</v>
      </c>
    </row>
    <row r="79" spans="1:12" x14ac:dyDescent="0.25">
      <c r="A79" s="26">
        <v>46036</v>
      </c>
      <c r="B79">
        <v>1</v>
      </c>
      <c r="C79" t="s">
        <v>40</v>
      </c>
      <c r="D79">
        <v>1</v>
      </c>
      <c r="E79">
        <v>8</v>
      </c>
      <c r="F79">
        <v>0</v>
      </c>
      <c r="G79">
        <v>0</v>
      </c>
      <c r="H79">
        <v>2</v>
      </c>
      <c r="I79">
        <v>1</v>
      </c>
      <c r="J79">
        <v>17</v>
      </c>
      <c r="K79">
        <v>11</v>
      </c>
      <c r="L79" s="27">
        <v>46066.48673611111</v>
      </c>
    </row>
    <row r="80" spans="1:12" x14ac:dyDescent="0.25">
      <c r="A80" s="26">
        <v>46037</v>
      </c>
      <c r="B80">
        <v>1</v>
      </c>
      <c r="C80" t="s">
        <v>40</v>
      </c>
      <c r="D80">
        <v>2</v>
      </c>
      <c r="E80">
        <v>3</v>
      </c>
      <c r="F80">
        <v>0</v>
      </c>
      <c r="G80">
        <v>0</v>
      </c>
      <c r="H80">
        <v>1</v>
      </c>
      <c r="I80">
        <v>0</v>
      </c>
      <c r="J80">
        <v>11</v>
      </c>
      <c r="K80">
        <v>11</v>
      </c>
      <c r="L80" s="27">
        <v>46066.486747685187</v>
      </c>
    </row>
    <row r="81" spans="1:12" x14ac:dyDescent="0.25">
      <c r="A81" s="26">
        <v>46038</v>
      </c>
      <c r="B81">
        <v>1</v>
      </c>
      <c r="C81" t="s">
        <v>40</v>
      </c>
      <c r="D81">
        <v>1</v>
      </c>
      <c r="E81">
        <v>1</v>
      </c>
      <c r="F81">
        <v>0</v>
      </c>
      <c r="G81">
        <v>0</v>
      </c>
      <c r="H81">
        <v>0</v>
      </c>
      <c r="I81">
        <v>0</v>
      </c>
      <c r="J81">
        <v>11</v>
      </c>
      <c r="K81">
        <v>11</v>
      </c>
      <c r="L81" s="27">
        <v>46066.486759259256</v>
      </c>
    </row>
    <row r="82" spans="1:12" x14ac:dyDescent="0.25">
      <c r="A82" s="26">
        <v>46039</v>
      </c>
      <c r="B82">
        <v>1</v>
      </c>
      <c r="C82" t="s">
        <v>40</v>
      </c>
      <c r="D82">
        <v>2</v>
      </c>
      <c r="E82">
        <v>6</v>
      </c>
      <c r="F82">
        <v>0</v>
      </c>
      <c r="G82">
        <v>0</v>
      </c>
      <c r="H82">
        <v>1</v>
      </c>
      <c r="I82">
        <v>0</v>
      </c>
      <c r="J82">
        <v>11</v>
      </c>
      <c r="K82">
        <v>8</v>
      </c>
      <c r="L82" s="27">
        <v>46066.486759259256</v>
      </c>
    </row>
    <row r="83" spans="1:12" x14ac:dyDescent="0.25">
      <c r="A83" s="26">
        <v>46040</v>
      </c>
      <c r="B83">
        <v>1</v>
      </c>
      <c r="C83" t="s">
        <v>40</v>
      </c>
      <c r="D83">
        <v>2</v>
      </c>
      <c r="E83">
        <v>1</v>
      </c>
      <c r="F83">
        <v>0</v>
      </c>
      <c r="G83">
        <v>0</v>
      </c>
      <c r="H83">
        <v>0</v>
      </c>
      <c r="I83">
        <v>1</v>
      </c>
      <c r="J83">
        <v>8</v>
      </c>
      <c r="K83">
        <v>8</v>
      </c>
      <c r="L83" s="27">
        <v>46066.486770833333</v>
      </c>
    </row>
    <row r="84" spans="1:12" x14ac:dyDescent="0.25">
      <c r="A84" s="26">
        <v>46041</v>
      </c>
      <c r="B84">
        <v>1</v>
      </c>
      <c r="C84" t="s">
        <v>40</v>
      </c>
      <c r="D84">
        <v>3</v>
      </c>
      <c r="E84">
        <v>3</v>
      </c>
      <c r="F84">
        <v>0</v>
      </c>
      <c r="G84">
        <v>0</v>
      </c>
      <c r="H84">
        <v>0</v>
      </c>
      <c r="I84">
        <v>0</v>
      </c>
      <c r="J84">
        <v>8</v>
      </c>
      <c r="K84">
        <v>8</v>
      </c>
      <c r="L84" s="27">
        <v>46066.48678240741</v>
      </c>
    </row>
    <row r="85" spans="1:12" x14ac:dyDescent="0.25">
      <c r="A85" s="26">
        <v>46042</v>
      </c>
      <c r="B85">
        <v>1</v>
      </c>
      <c r="C85" t="s">
        <v>40</v>
      </c>
      <c r="D85">
        <v>2</v>
      </c>
      <c r="E85">
        <v>2</v>
      </c>
      <c r="F85">
        <v>0</v>
      </c>
      <c r="G85">
        <v>0</v>
      </c>
      <c r="H85">
        <v>0</v>
      </c>
      <c r="I85">
        <v>1</v>
      </c>
      <c r="J85">
        <v>8</v>
      </c>
      <c r="K85">
        <v>7</v>
      </c>
      <c r="L85" s="27">
        <v>46066.486793981479</v>
      </c>
    </row>
    <row r="86" spans="1:12" x14ac:dyDescent="0.25">
      <c r="A86" s="26">
        <v>46043</v>
      </c>
      <c r="B86">
        <v>1</v>
      </c>
      <c r="C86" t="s">
        <v>40</v>
      </c>
      <c r="D86">
        <v>1</v>
      </c>
      <c r="E86">
        <v>2</v>
      </c>
      <c r="F86">
        <v>0</v>
      </c>
      <c r="G86">
        <v>0</v>
      </c>
      <c r="H86">
        <v>0</v>
      </c>
      <c r="I86">
        <v>1</v>
      </c>
      <c r="J86">
        <v>7</v>
      </c>
      <c r="K86">
        <v>5</v>
      </c>
      <c r="L86" s="27">
        <v>46066.486805555556</v>
      </c>
    </row>
    <row r="87" spans="1:12" x14ac:dyDescent="0.25">
      <c r="A87" s="26">
        <v>46044</v>
      </c>
      <c r="B87">
        <v>1</v>
      </c>
      <c r="C87" t="s">
        <v>40</v>
      </c>
      <c r="D87">
        <v>2</v>
      </c>
      <c r="E87">
        <v>4</v>
      </c>
      <c r="F87">
        <v>0</v>
      </c>
      <c r="G87">
        <v>0</v>
      </c>
      <c r="H87">
        <v>3</v>
      </c>
      <c r="I87">
        <v>0</v>
      </c>
      <c r="J87">
        <v>5</v>
      </c>
      <c r="K87">
        <v>6</v>
      </c>
      <c r="L87" s="27">
        <v>46066.486805555556</v>
      </c>
    </row>
    <row r="88" spans="1:12" x14ac:dyDescent="0.25">
      <c r="A88" s="26">
        <v>46045</v>
      </c>
      <c r="B88">
        <v>1</v>
      </c>
      <c r="C88" t="s">
        <v>40</v>
      </c>
      <c r="D88">
        <v>2</v>
      </c>
      <c r="E88">
        <v>3</v>
      </c>
      <c r="F88">
        <v>0</v>
      </c>
      <c r="G88">
        <v>0</v>
      </c>
      <c r="H88">
        <v>1</v>
      </c>
      <c r="I88">
        <v>0</v>
      </c>
      <c r="J88">
        <v>6</v>
      </c>
      <c r="K88">
        <v>6</v>
      </c>
      <c r="L88" s="27">
        <v>46066.486817129633</v>
      </c>
    </row>
    <row r="89" spans="1:12" x14ac:dyDescent="0.25">
      <c r="A89" s="26">
        <v>46046</v>
      </c>
      <c r="B89">
        <v>1</v>
      </c>
      <c r="C89" t="s">
        <v>40</v>
      </c>
      <c r="D89">
        <v>1</v>
      </c>
      <c r="E89">
        <v>2</v>
      </c>
      <c r="F89">
        <v>0</v>
      </c>
      <c r="G89">
        <v>0</v>
      </c>
      <c r="H89">
        <v>1</v>
      </c>
      <c r="I89">
        <v>0</v>
      </c>
      <c r="J89">
        <v>6</v>
      </c>
      <c r="K89">
        <v>6</v>
      </c>
      <c r="L89" s="27">
        <v>46066.486828703702</v>
      </c>
    </row>
    <row r="90" spans="1:12" x14ac:dyDescent="0.25">
      <c r="A90" s="26">
        <v>46047</v>
      </c>
      <c r="B90">
        <v>1</v>
      </c>
      <c r="C90" t="s">
        <v>40</v>
      </c>
      <c r="D90">
        <v>1</v>
      </c>
      <c r="E90">
        <v>2</v>
      </c>
      <c r="F90">
        <v>0</v>
      </c>
      <c r="G90">
        <v>0</v>
      </c>
      <c r="H90">
        <v>0</v>
      </c>
      <c r="I90">
        <v>2</v>
      </c>
      <c r="J90">
        <v>6</v>
      </c>
      <c r="K90">
        <v>3</v>
      </c>
      <c r="L90" s="27">
        <v>46066.486840277779</v>
      </c>
    </row>
    <row r="91" spans="1:12" x14ac:dyDescent="0.25">
      <c r="A91" s="26">
        <v>46048</v>
      </c>
      <c r="B91">
        <v>1</v>
      </c>
      <c r="C91" t="s">
        <v>40</v>
      </c>
      <c r="D91">
        <v>3</v>
      </c>
      <c r="E91">
        <v>0</v>
      </c>
      <c r="F91">
        <v>0</v>
      </c>
      <c r="G91">
        <v>0</v>
      </c>
      <c r="H91">
        <v>0</v>
      </c>
      <c r="I91">
        <v>0</v>
      </c>
      <c r="J91">
        <v>3</v>
      </c>
      <c r="K91">
        <v>6</v>
      </c>
      <c r="L91" s="27">
        <v>46066.486851851849</v>
      </c>
    </row>
    <row r="92" spans="1:12" x14ac:dyDescent="0.25">
      <c r="A92" s="26">
        <v>46049</v>
      </c>
      <c r="B92">
        <v>1</v>
      </c>
      <c r="C92" t="s">
        <v>40</v>
      </c>
      <c r="D92">
        <v>5</v>
      </c>
      <c r="E92">
        <v>1</v>
      </c>
      <c r="F92">
        <v>0</v>
      </c>
      <c r="G92">
        <v>0</v>
      </c>
      <c r="H92">
        <v>1</v>
      </c>
      <c r="I92">
        <v>1</v>
      </c>
      <c r="J92">
        <v>6</v>
      </c>
      <c r="K92">
        <v>10</v>
      </c>
      <c r="L92" s="27">
        <v>46066.486851851849</v>
      </c>
    </row>
    <row r="93" spans="1:12" x14ac:dyDescent="0.25">
      <c r="A93" s="26">
        <v>46050</v>
      </c>
      <c r="B93">
        <v>1</v>
      </c>
      <c r="C93" t="s">
        <v>40</v>
      </c>
      <c r="D93">
        <v>3</v>
      </c>
      <c r="E93">
        <v>1</v>
      </c>
      <c r="F93">
        <v>0</v>
      </c>
      <c r="G93">
        <v>0</v>
      </c>
      <c r="H93">
        <v>2</v>
      </c>
      <c r="I93">
        <v>0</v>
      </c>
      <c r="J93">
        <v>10</v>
      </c>
      <c r="K93">
        <v>14</v>
      </c>
      <c r="L93" s="27">
        <v>46066.486863425926</v>
      </c>
    </row>
    <row r="94" spans="1:12" x14ac:dyDescent="0.25">
      <c r="A94" s="26">
        <v>46051</v>
      </c>
      <c r="B94">
        <v>1</v>
      </c>
      <c r="C94" t="s">
        <v>40</v>
      </c>
      <c r="D94">
        <v>1</v>
      </c>
      <c r="E94">
        <v>3</v>
      </c>
      <c r="F94">
        <v>0</v>
      </c>
      <c r="G94">
        <v>0</v>
      </c>
      <c r="H94">
        <v>2</v>
      </c>
      <c r="I94">
        <v>1</v>
      </c>
      <c r="J94">
        <v>14</v>
      </c>
      <c r="K94">
        <v>13</v>
      </c>
      <c r="L94" s="27">
        <v>46066.486875000002</v>
      </c>
    </row>
    <row r="95" spans="1:12" x14ac:dyDescent="0.25">
      <c r="A95" s="26">
        <v>46052</v>
      </c>
      <c r="B95">
        <v>1</v>
      </c>
      <c r="C95" t="s">
        <v>40</v>
      </c>
      <c r="D95">
        <v>3</v>
      </c>
      <c r="E95">
        <v>0</v>
      </c>
      <c r="F95">
        <v>0</v>
      </c>
      <c r="G95">
        <v>0</v>
      </c>
      <c r="H95">
        <v>0</v>
      </c>
      <c r="I95">
        <v>1</v>
      </c>
      <c r="J95">
        <v>13</v>
      </c>
      <c r="K95">
        <v>15</v>
      </c>
      <c r="L95" s="27">
        <v>46066.486875000002</v>
      </c>
    </row>
    <row r="96" spans="1:12" x14ac:dyDescent="0.25">
      <c r="A96" s="26">
        <v>46053</v>
      </c>
      <c r="B96">
        <v>1</v>
      </c>
      <c r="C96" t="s">
        <v>40</v>
      </c>
      <c r="D96">
        <v>0</v>
      </c>
      <c r="E96">
        <v>7</v>
      </c>
      <c r="F96">
        <v>0</v>
      </c>
      <c r="G96">
        <v>0</v>
      </c>
      <c r="H96">
        <v>0</v>
      </c>
      <c r="I96">
        <v>1</v>
      </c>
      <c r="J96">
        <v>15</v>
      </c>
      <c r="K96">
        <v>7</v>
      </c>
      <c r="L96" s="27">
        <v>46066.486886574072</v>
      </c>
    </row>
    <row r="97" spans="1:12" x14ac:dyDescent="0.25">
      <c r="A97" s="26">
        <v>46054</v>
      </c>
      <c r="B97">
        <v>2</v>
      </c>
      <c r="C97" t="s">
        <v>40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7</v>
      </c>
      <c r="K97">
        <v>7</v>
      </c>
      <c r="L97" s="27">
        <v>46066.486898148149</v>
      </c>
    </row>
    <row r="98" spans="1:12" x14ac:dyDescent="0.25">
      <c r="A98" s="26">
        <v>46023</v>
      </c>
      <c r="B98">
        <v>1</v>
      </c>
      <c r="C98" t="s">
        <v>34</v>
      </c>
      <c r="D98">
        <v>1</v>
      </c>
      <c r="E98">
        <v>3</v>
      </c>
      <c r="F98">
        <v>0</v>
      </c>
      <c r="G98">
        <v>0</v>
      </c>
      <c r="H98">
        <v>0</v>
      </c>
      <c r="I98">
        <v>0</v>
      </c>
      <c r="J98">
        <v>7</v>
      </c>
      <c r="K98">
        <v>5</v>
      </c>
      <c r="L98" s="27">
        <v>46066.486909722225</v>
      </c>
    </row>
    <row r="99" spans="1:12" x14ac:dyDescent="0.25">
      <c r="A99" s="26">
        <v>46024</v>
      </c>
      <c r="B99">
        <v>1</v>
      </c>
      <c r="C99" t="s">
        <v>34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5</v>
      </c>
      <c r="K99">
        <v>5</v>
      </c>
      <c r="L99" s="27">
        <v>46066.486909722225</v>
      </c>
    </row>
    <row r="100" spans="1:12" x14ac:dyDescent="0.25">
      <c r="A100" s="26">
        <v>46025</v>
      </c>
      <c r="B100">
        <v>1</v>
      </c>
      <c r="C100" t="s">
        <v>34</v>
      </c>
      <c r="D100">
        <v>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5</v>
      </c>
      <c r="K100">
        <v>8</v>
      </c>
      <c r="L100" s="27">
        <v>46066.486921296295</v>
      </c>
    </row>
    <row r="101" spans="1:12" x14ac:dyDescent="0.25">
      <c r="A101" s="26">
        <v>46026</v>
      </c>
      <c r="B101">
        <v>1</v>
      </c>
      <c r="C101" t="s">
        <v>34</v>
      </c>
      <c r="D101">
        <v>2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8</v>
      </c>
      <c r="K101">
        <v>10</v>
      </c>
      <c r="L101" s="27">
        <v>46066.486932870372</v>
      </c>
    </row>
    <row r="102" spans="1:12" x14ac:dyDescent="0.25">
      <c r="A102" s="26">
        <v>46027</v>
      </c>
      <c r="B102">
        <v>1</v>
      </c>
      <c r="C102" t="s">
        <v>34</v>
      </c>
      <c r="D102">
        <v>2</v>
      </c>
      <c r="E102">
        <v>2</v>
      </c>
      <c r="F102">
        <v>0</v>
      </c>
      <c r="G102">
        <v>0</v>
      </c>
      <c r="H102">
        <v>0</v>
      </c>
      <c r="I102">
        <v>0</v>
      </c>
      <c r="J102">
        <v>10</v>
      </c>
      <c r="K102">
        <v>10</v>
      </c>
      <c r="L102" s="27">
        <v>46066.486932870372</v>
      </c>
    </row>
    <row r="103" spans="1:12" x14ac:dyDescent="0.25">
      <c r="A103" s="26">
        <v>46028</v>
      </c>
      <c r="B103">
        <v>1</v>
      </c>
      <c r="C103" t="s">
        <v>34</v>
      </c>
      <c r="D103">
        <v>2</v>
      </c>
      <c r="E103">
        <v>3</v>
      </c>
      <c r="F103">
        <v>0</v>
      </c>
      <c r="G103">
        <v>0</v>
      </c>
      <c r="H103">
        <v>0</v>
      </c>
      <c r="I103">
        <v>0</v>
      </c>
      <c r="J103">
        <v>10</v>
      </c>
      <c r="K103">
        <v>9</v>
      </c>
      <c r="L103" s="27">
        <v>46066.486944444441</v>
      </c>
    </row>
    <row r="104" spans="1:12" x14ac:dyDescent="0.25">
      <c r="A104" s="26">
        <v>46029</v>
      </c>
      <c r="B104">
        <v>1</v>
      </c>
      <c r="C104" t="s">
        <v>34</v>
      </c>
      <c r="D104">
        <v>1</v>
      </c>
      <c r="E104">
        <v>1</v>
      </c>
      <c r="F104">
        <v>0</v>
      </c>
      <c r="G104">
        <v>0</v>
      </c>
      <c r="H104">
        <v>0</v>
      </c>
      <c r="I104">
        <v>0</v>
      </c>
      <c r="J104">
        <v>9</v>
      </c>
      <c r="K104">
        <v>9</v>
      </c>
      <c r="L104" s="27">
        <v>46066.486956018518</v>
      </c>
    </row>
    <row r="105" spans="1:12" x14ac:dyDescent="0.25">
      <c r="A105" s="26">
        <v>46030</v>
      </c>
      <c r="B105">
        <v>1</v>
      </c>
      <c r="C105" t="s">
        <v>34</v>
      </c>
      <c r="D105">
        <v>0</v>
      </c>
      <c r="E105">
        <v>2</v>
      </c>
      <c r="F105">
        <v>0</v>
      </c>
      <c r="G105">
        <v>0</v>
      </c>
      <c r="H105">
        <v>0</v>
      </c>
      <c r="I105">
        <v>0</v>
      </c>
      <c r="J105">
        <v>9</v>
      </c>
      <c r="K105">
        <v>7</v>
      </c>
      <c r="L105" s="27">
        <v>46066.486967592595</v>
      </c>
    </row>
    <row r="106" spans="1:12" x14ac:dyDescent="0.25">
      <c r="A106" s="26">
        <v>46031</v>
      </c>
      <c r="B106">
        <v>1</v>
      </c>
      <c r="C106" t="s">
        <v>34</v>
      </c>
      <c r="D106">
        <v>2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7</v>
      </c>
      <c r="K106">
        <v>9</v>
      </c>
      <c r="L106" s="27">
        <v>46066.486967592595</v>
      </c>
    </row>
    <row r="107" spans="1:12" x14ac:dyDescent="0.25">
      <c r="A107" s="26">
        <v>46032</v>
      </c>
      <c r="B107">
        <v>1</v>
      </c>
      <c r="C107" t="s">
        <v>34</v>
      </c>
      <c r="D107">
        <v>2</v>
      </c>
      <c r="E107">
        <v>2</v>
      </c>
      <c r="F107">
        <v>0</v>
      </c>
      <c r="G107">
        <v>0</v>
      </c>
      <c r="H107">
        <v>0</v>
      </c>
      <c r="I107">
        <v>0</v>
      </c>
      <c r="J107">
        <v>9</v>
      </c>
      <c r="K107">
        <v>9</v>
      </c>
      <c r="L107" s="27">
        <v>46066.486979166664</v>
      </c>
    </row>
    <row r="108" spans="1:12" x14ac:dyDescent="0.25">
      <c r="A108" s="26">
        <v>46033</v>
      </c>
      <c r="B108">
        <v>1</v>
      </c>
      <c r="C108" t="s">
        <v>34</v>
      </c>
      <c r="D108">
        <v>5</v>
      </c>
      <c r="E108">
        <v>2</v>
      </c>
      <c r="F108">
        <v>0</v>
      </c>
      <c r="G108">
        <v>0</v>
      </c>
      <c r="H108">
        <v>0</v>
      </c>
      <c r="I108">
        <v>0</v>
      </c>
      <c r="J108">
        <v>9</v>
      </c>
      <c r="K108">
        <v>12</v>
      </c>
      <c r="L108" s="27">
        <v>46066.486990740741</v>
      </c>
    </row>
    <row r="109" spans="1:12" x14ac:dyDescent="0.25">
      <c r="A109" s="26">
        <v>46034</v>
      </c>
      <c r="B109">
        <v>1</v>
      </c>
      <c r="C109" t="s">
        <v>34</v>
      </c>
      <c r="D109">
        <v>4</v>
      </c>
      <c r="E109">
        <v>5</v>
      </c>
      <c r="F109">
        <v>0</v>
      </c>
      <c r="G109">
        <v>0</v>
      </c>
      <c r="H109">
        <v>1</v>
      </c>
      <c r="I109">
        <v>0</v>
      </c>
      <c r="J109">
        <v>12</v>
      </c>
      <c r="K109">
        <v>12</v>
      </c>
      <c r="L109" s="27">
        <v>46066.486990740741</v>
      </c>
    </row>
    <row r="110" spans="1:12" x14ac:dyDescent="0.25">
      <c r="A110" s="26">
        <v>46035</v>
      </c>
      <c r="B110">
        <v>1</v>
      </c>
      <c r="C110" t="s">
        <v>34</v>
      </c>
      <c r="D110">
        <v>3</v>
      </c>
      <c r="E110">
        <v>3</v>
      </c>
      <c r="F110">
        <v>0</v>
      </c>
      <c r="G110">
        <v>0</v>
      </c>
      <c r="H110">
        <v>0</v>
      </c>
      <c r="I110">
        <v>0</v>
      </c>
      <c r="J110">
        <v>12</v>
      </c>
      <c r="K110">
        <v>12</v>
      </c>
      <c r="L110" s="27">
        <v>46066.487002314818</v>
      </c>
    </row>
    <row r="111" spans="1:12" x14ac:dyDescent="0.25">
      <c r="A111" s="26">
        <v>46036</v>
      </c>
      <c r="B111">
        <v>1</v>
      </c>
      <c r="C111" t="s">
        <v>34</v>
      </c>
      <c r="D111">
        <v>6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12</v>
      </c>
      <c r="K111">
        <v>17</v>
      </c>
      <c r="L111" s="27">
        <v>46066.487013888887</v>
      </c>
    </row>
    <row r="112" spans="1:12" x14ac:dyDescent="0.25">
      <c r="A112" s="26">
        <v>46037</v>
      </c>
      <c r="B112">
        <v>1</v>
      </c>
      <c r="C112" t="s">
        <v>34</v>
      </c>
      <c r="D112">
        <v>3</v>
      </c>
      <c r="E112">
        <v>5</v>
      </c>
      <c r="F112">
        <v>0</v>
      </c>
      <c r="G112">
        <v>0</v>
      </c>
      <c r="H112">
        <v>1</v>
      </c>
      <c r="I112">
        <v>0</v>
      </c>
      <c r="J112">
        <v>17</v>
      </c>
      <c r="K112">
        <v>16</v>
      </c>
      <c r="L112" s="27">
        <v>46066.487025462964</v>
      </c>
    </row>
    <row r="113" spans="1:12" x14ac:dyDescent="0.25">
      <c r="A113" s="26">
        <v>46038</v>
      </c>
      <c r="B113">
        <v>1</v>
      </c>
      <c r="C113" t="s">
        <v>34</v>
      </c>
      <c r="D113">
        <v>5</v>
      </c>
      <c r="E113">
        <v>5</v>
      </c>
      <c r="F113">
        <v>0</v>
      </c>
      <c r="G113">
        <v>0</v>
      </c>
      <c r="H113">
        <v>0</v>
      </c>
      <c r="I113">
        <v>0</v>
      </c>
      <c r="J113">
        <v>16</v>
      </c>
      <c r="K113">
        <v>16</v>
      </c>
      <c r="L113" s="27">
        <v>46066.487025462964</v>
      </c>
    </row>
    <row r="114" spans="1:12" x14ac:dyDescent="0.25">
      <c r="A114" s="26">
        <v>46039</v>
      </c>
      <c r="B114">
        <v>1</v>
      </c>
      <c r="C114" t="s">
        <v>34</v>
      </c>
      <c r="D114">
        <v>3</v>
      </c>
      <c r="E114">
        <v>2</v>
      </c>
      <c r="F114">
        <v>0</v>
      </c>
      <c r="G114">
        <v>0</v>
      </c>
      <c r="H114">
        <v>0</v>
      </c>
      <c r="I114">
        <v>0</v>
      </c>
      <c r="J114">
        <v>16</v>
      </c>
      <c r="K114">
        <v>17</v>
      </c>
      <c r="L114" s="27">
        <v>46066.487037037034</v>
      </c>
    </row>
    <row r="115" spans="1:12" x14ac:dyDescent="0.25">
      <c r="A115" s="26">
        <v>46040</v>
      </c>
      <c r="B115">
        <v>1</v>
      </c>
      <c r="C115" t="s">
        <v>34</v>
      </c>
      <c r="D115">
        <v>2</v>
      </c>
      <c r="E115">
        <v>1</v>
      </c>
      <c r="F115">
        <v>0</v>
      </c>
      <c r="G115">
        <v>0</v>
      </c>
      <c r="H115">
        <v>1</v>
      </c>
      <c r="I115">
        <v>0</v>
      </c>
      <c r="J115">
        <v>17</v>
      </c>
      <c r="K115">
        <v>19</v>
      </c>
      <c r="L115" s="27">
        <v>46066.48704861111</v>
      </c>
    </row>
    <row r="116" spans="1:12" x14ac:dyDescent="0.25">
      <c r="A116" s="26">
        <v>46041</v>
      </c>
      <c r="B116">
        <v>1</v>
      </c>
      <c r="C116" t="s">
        <v>34</v>
      </c>
      <c r="D116">
        <v>2</v>
      </c>
      <c r="E116">
        <v>12</v>
      </c>
      <c r="F116">
        <v>0</v>
      </c>
      <c r="G116">
        <v>0</v>
      </c>
      <c r="H116">
        <v>0</v>
      </c>
      <c r="I116">
        <v>0</v>
      </c>
      <c r="J116">
        <v>19</v>
      </c>
      <c r="K116">
        <v>9</v>
      </c>
      <c r="L116" s="27">
        <v>46066.48704861111</v>
      </c>
    </row>
    <row r="117" spans="1:12" x14ac:dyDescent="0.25">
      <c r="A117" s="26">
        <v>46042</v>
      </c>
      <c r="B117">
        <v>1</v>
      </c>
      <c r="C117" t="s">
        <v>34</v>
      </c>
      <c r="D117">
        <v>0</v>
      </c>
      <c r="E117">
        <v>3</v>
      </c>
      <c r="F117">
        <v>0</v>
      </c>
      <c r="G117">
        <v>0</v>
      </c>
      <c r="H117">
        <v>0</v>
      </c>
      <c r="I117">
        <v>0</v>
      </c>
      <c r="J117">
        <v>9</v>
      </c>
      <c r="K117">
        <v>6</v>
      </c>
      <c r="L117" s="27">
        <v>46066.487060185187</v>
      </c>
    </row>
    <row r="118" spans="1:12" x14ac:dyDescent="0.25">
      <c r="A118" s="26">
        <v>46043</v>
      </c>
      <c r="B118">
        <v>1</v>
      </c>
      <c r="C118" t="s">
        <v>34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6</v>
      </c>
      <c r="K118">
        <v>6</v>
      </c>
      <c r="L118" s="27">
        <v>46066.487071759257</v>
      </c>
    </row>
    <row r="119" spans="1:12" x14ac:dyDescent="0.25">
      <c r="A119" s="26">
        <v>46044</v>
      </c>
      <c r="B119">
        <v>1</v>
      </c>
      <c r="C119" t="s">
        <v>34</v>
      </c>
      <c r="D119">
        <v>5</v>
      </c>
      <c r="E119">
        <v>2</v>
      </c>
      <c r="F119">
        <v>0</v>
      </c>
      <c r="G119">
        <v>0</v>
      </c>
      <c r="H119">
        <v>0</v>
      </c>
      <c r="I119">
        <v>0</v>
      </c>
      <c r="J119">
        <v>6</v>
      </c>
      <c r="K119">
        <v>9</v>
      </c>
      <c r="L119" s="27">
        <v>46066.487071759257</v>
      </c>
    </row>
    <row r="120" spans="1:12" x14ac:dyDescent="0.25">
      <c r="A120" s="26">
        <v>46045</v>
      </c>
      <c r="B120">
        <v>1</v>
      </c>
      <c r="C120" t="s">
        <v>34</v>
      </c>
      <c r="D120">
        <v>4</v>
      </c>
      <c r="E120">
        <v>8</v>
      </c>
      <c r="F120">
        <v>0</v>
      </c>
      <c r="G120">
        <v>0</v>
      </c>
      <c r="H120">
        <v>0</v>
      </c>
      <c r="I120">
        <v>0</v>
      </c>
      <c r="J120">
        <v>9</v>
      </c>
      <c r="K120">
        <v>5</v>
      </c>
      <c r="L120" s="27">
        <v>46066.487083333333</v>
      </c>
    </row>
    <row r="121" spans="1:12" x14ac:dyDescent="0.25">
      <c r="A121" s="26">
        <v>46046</v>
      </c>
      <c r="B121">
        <v>1</v>
      </c>
      <c r="C121" t="s">
        <v>34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5</v>
      </c>
      <c r="K121">
        <v>6</v>
      </c>
      <c r="L121" s="27">
        <v>46066.48709490741</v>
      </c>
    </row>
    <row r="122" spans="1:12" x14ac:dyDescent="0.25">
      <c r="A122" s="26">
        <v>46047</v>
      </c>
      <c r="B122">
        <v>1</v>
      </c>
      <c r="C122" t="s">
        <v>34</v>
      </c>
      <c r="D122">
        <v>4</v>
      </c>
      <c r="E122">
        <v>3</v>
      </c>
      <c r="F122">
        <v>0</v>
      </c>
      <c r="G122">
        <v>0</v>
      </c>
      <c r="H122">
        <v>0</v>
      </c>
      <c r="I122">
        <v>0</v>
      </c>
      <c r="J122">
        <v>6</v>
      </c>
      <c r="K122">
        <v>7</v>
      </c>
      <c r="L122" s="27">
        <v>46066.48710648148</v>
      </c>
    </row>
    <row r="123" spans="1:12" x14ac:dyDescent="0.25">
      <c r="A123" s="26">
        <v>46048</v>
      </c>
      <c r="B123">
        <v>1</v>
      </c>
      <c r="C123" t="s">
        <v>34</v>
      </c>
      <c r="D123">
        <v>1</v>
      </c>
      <c r="E123">
        <v>2</v>
      </c>
      <c r="F123">
        <v>0</v>
      </c>
      <c r="G123">
        <v>0</v>
      </c>
      <c r="H123">
        <v>1</v>
      </c>
      <c r="I123">
        <v>0</v>
      </c>
      <c r="J123">
        <v>7</v>
      </c>
      <c r="K123">
        <v>7</v>
      </c>
      <c r="L123" s="27">
        <v>46066.48710648148</v>
      </c>
    </row>
    <row r="124" spans="1:12" x14ac:dyDescent="0.25">
      <c r="A124" s="26">
        <v>46049</v>
      </c>
      <c r="B124">
        <v>1</v>
      </c>
      <c r="C124" t="s">
        <v>34</v>
      </c>
      <c r="D124">
        <v>2</v>
      </c>
      <c r="E124">
        <v>3</v>
      </c>
      <c r="F124">
        <v>0</v>
      </c>
      <c r="G124">
        <v>0</v>
      </c>
      <c r="H124">
        <v>0</v>
      </c>
      <c r="I124">
        <v>0</v>
      </c>
      <c r="J124">
        <v>7</v>
      </c>
      <c r="K124">
        <v>6</v>
      </c>
      <c r="L124" s="27">
        <v>46066.487118055556</v>
      </c>
    </row>
    <row r="125" spans="1:12" x14ac:dyDescent="0.25">
      <c r="A125" s="26">
        <v>46050</v>
      </c>
      <c r="B125">
        <v>1</v>
      </c>
      <c r="C125" t="s">
        <v>34</v>
      </c>
      <c r="D125">
        <v>1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6</v>
      </c>
      <c r="K125">
        <v>7</v>
      </c>
      <c r="L125" s="27">
        <v>46066.487129629626</v>
      </c>
    </row>
    <row r="126" spans="1:12" x14ac:dyDescent="0.25">
      <c r="A126" s="26">
        <v>46051</v>
      </c>
      <c r="B126">
        <v>1</v>
      </c>
      <c r="C126" t="s">
        <v>34</v>
      </c>
      <c r="D126">
        <v>2</v>
      </c>
      <c r="E126">
        <v>2</v>
      </c>
      <c r="F126">
        <v>0</v>
      </c>
      <c r="G126">
        <v>0</v>
      </c>
      <c r="H126">
        <v>0</v>
      </c>
      <c r="I126">
        <v>0</v>
      </c>
      <c r="J126">
        <v>7</v>
      </c>
      <c r="K126">
        <v>7</v>
      </c>
      <c r="L126" s="27">
        <v>46066.487129629626</v>
      </c>
    </row>
    <row r="127" spans="1:12" x14ac:dyDescent="0.25">
      <c r="A127" s="26">
        <v>46052</v>
      </c>
      <c r="B127">
        <v>1</v>
      </c>
      <c r="C127" t="s">
        <v>34</v>
      </c>
      <c r="D127">
        <v>4</v>
      </c>
      <c r="E127">
        <v>4</v>
      </c>
      <c r="F127">
        <v>0</v>
      </c>
      <c r="G127">
        <v>0</v>
      </c>
      <c r="H127">
        <v>1</v>
      </c>
      <c r="I127">
        <v>0</v>
      </c>
      <c r="J127">
        <v>7</v>
      </c>
      <c r="K127">
        <v>8</v>
      </c>
      <c r="L127" s="27">
        <v>46066.487141203703</v>
      </c>
    </row>
    <row r="128" spans="1:12" x14ac:dyDescent="0.25">
      <c r="A128" s="26">
        <v>46053</v>
      </c>
      <c r="B128">
        <v>1</v>
      </c>
      <c r="C128" t="s">
        <v>34</v>
      </c>
      <c r="D128">
        <v>5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8</v>
      </c>
      <c r="K128">
        <v>12</v>
      </c>
      <c r="L128" s="27">
        <v>46066.48715277778</v>
      </c>
    </row>
    <row r="129" spans="1:12" x14ac:dyDescent="0.25">
      <c r="A129" s="26">
        <v>46054</v>
      </c>
      <c r="B129">
        <v>2</v>
      </c>
      <c r="C129" t="s">
        <v>34</v>
      </c>
      <c r="D129">
        <v>2</v>
      </c>
      <c r="E129">
        <v>2</v>
      </c>
      <c r="F129">
        <v>0</v>
      </c>
      <c r="G129">
        <v>0</v>
      </c>
      <c r="H129">
        <v>0</v>
      </c>
      <c r="I129">
        <v>0</v>
      </c>
      <c r="J129">
        <v>12</v>
      </c>
      <c r="K129">
        <v>12</v>
      </c>
      <c r="L129" s="27">
        <v>46066.48715277778</v>
      </c>
    </row>
    <row r="130" spans="1:12" x14ac:dyDescent="0.25">
      <c r="A130" s="26">
        <v>46023</v>
      </c>
      <c r="B130">
        <v>1</v>
      </c>
      <c r="C130" t="s">
        <v>46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1</v>
      </c>
      <c r="J130">
        <v>1</v>
      </c>
      <c r="K130">
        <v>0</v>
      </c>
      <c r="L130" s="27">
        <v>46066.487164351849</v>
      </c>
    </row>
    <row r="131" spans="1:12" x14ac:dyDescent="0.25">
      <c r="A131" s="26">
        <v>46024</v>
      </c>
      <c r="B131">
        <v>1</v>
      </c>
      <c r="C131" t="s">
        <v>46</v>
      </c>
      <c r="D131">
        <v>1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1</v>
      </c>
      <c r="L131" s="27">
        <v>46066.487175925926</v>
      </c>
    </row>
    <row r="132" spans="1:12" x14ac:dyDescent="0.25">
      <c r="A132" s="26">
        <v>46025</v>
      </c>
      <c r="B132">
        <v>1</v>
      </c>
      <c r="C132" t="s">
        <v>46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1</v>
      </c>
      <c r="J132">
        <v>1</v>
      </c>
      <c r="K132">
        <v>0</v>
      </c>
      <c r="L132" s="27">
        <v>46066.487175925926</v>
      </c>
    </row>
    <row r="133" spans="1:12" x14ac:dyDescent="0.25">
      <c r="A133" s="26">
        <v>46027</v>
      </c>
      <c r="B133">
        <v>1</v>
      </c>
      <c r="C133" t="s">
        <v>46</v>
      </c>
      <c r="D133">
        <v>4</v>
      </c>
      <c r="E133">
        <v>0</v>
      </c>
      <c r="F133">
        <v>0</v>
      </c>
      <c r="G133">
        <v>0</v>
      </c>
      <c r="H133">
        <v>0</v>
      </c>
      <c r="I133">
        <v>3</v>
      </c>
      <c r="J133">
        <v>0</v>
      </c>
      <c r="K133">
        <v>1</v>
      </c>
      <c r="L133" s="27">
        <v>46066.487187500003</v>
      </c>
    </row>
    <row r="134" spans="1:12" x14ac:dyDescent="0.25">
      <c r="A134" s="26">
        <v>46028</v>
      </c>
      <c r="B134">
        <v>1</v>
      </c>
      <c r="C134" t="s">
        <v>46</v>
      </c>
      <c r="D134">
        <v>1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1</v>
      </c>
      <c r="K134">
        <v>2</v>
      </c>
      <c r="L134" s="27">
        <v>46066.487199074072</v>
      </c>
    </row>
    <row r="135" spans="1:12" x14ac:dyDescent="0.25">
      <c r="A135" s="26">
        <v>46029</v>
      </c>
      <c r="B135">
        <v>1</v>
      </c>
      <c r="C135" t="s">
        <v>46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2</v>
      </c>
      <c r="K135">
        <v>2</v>
      </c>
      <c r="L135" s="27">
        <v>46066.487210648149</v>
      </c>
    </row>
    <row r="136" spans="1:12" x14ac:dyDescent="0.25">
      <c r="A136" s="26">
        <v>46030</v>
      </c>
      <c r="B136">
        <v>1</v>
      </c>
      <c r="C136" t="s">
        <v>46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2</v>
      </c>
      <c r="J136">
        <v>2</v>
      </c>
      <c r="K136">
        <v>0</v>
      </c>
      <c r="L136" s="27">
        <v>46066.487210648149</v>
      </c>
    </row>
    <row r="137" spans="1:12" x14ac:dyDescent="0.25">
      <c r="A137" s="26">
        <v>46031</v>
      </c>
      <c r="B137">
        <v>1</v>
      </c>
      <c r="C137" t="s">
        <v>46</v>
      </c>
      <c r="D137">
        <v>1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1</v>
      </c>
      <c r="L137" s="27">
        <v>46066.487222222226</v>
      </c>
    </row>
    <row r="138" spans="1:12" x14ac:dyDescent="0.25">
      <c r="A138" s="26">
        <v>46032</v>
      </c>
      <c r="B138">
        <v>1</v>
      </c>
      <c r="C138" t="s">
        <v>46</v>
      </c>
      <c r="D138">
        <v>3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1</v>
      </c>
      <c r="K138">
        <v>4</v>
      </c>
      <c r="L138" s="27">
        <v>46066.487233796295</v>
      </c>
    </row>
    <row r="139" spans="1:12" x14ac:dyDescent="0.25">
      <c r="A139" s="26">
        <v>46033</v>
      </c>
      <c r="B139">
        <v>1</v>
      </c>
      <c r="C139" t="s">
        <v>46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1</v>
      </c>
      <c r="J139">
        <v>4</v>
      </c>
      <c r="K139">
        <v>2</v>
      </c>
      <c r="L139" s="27">
        <v>46066.487233796295</v>
      </c>
    </row>
    <row r="140" spans="1:12" x14ac:dyDescent="0.25">
      <c r="A140" s="26">
        <v>46034</v>
      </c>
      <c r="B140">
        <v>1</v>
      </c>
      <c r="C140" t="s">
        <v>46</v>
      </c>
      <c r="D140">
        <v>0</v>
      </c>
      <c r="E140">
        <v>2</v>
      </c>
      <c r="F140">
        <v>0</v>
      </c>
      <c r="G140">
        <v>0</v>
      </c>
      <c r="H140">
        <v>0</v>
      </c>
      <c r="I140">
        <v>0</v>
      </c>
      <c r="J140">
        <v>2</v>
      </c>
      <c r="K140">
        <v>0</v>
      </c>
      <c r="L140" s="27">
        <v>46066.487245370372</v>
      </c>
    </row>
    <row r="141" spans="1:12" x14ac:dyDescent="0.25">
      <c r="A141" s="26">
        <v>46035</v>
      </c>
      <c r="B141">
        <v>1</v>
      </c>
      <c r="C141" t="s">
        <v>46</v>
      </c>
      <c r="D141">
        <v>1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1</v>
      </c>
      <c r="L141" s="27">
        <v>46066.487256944441</v>
      </c>
    </row>
    <row r="142" spans="1:12" x14ac:dyDescent="0.25">
      <c r="A142" s="26">
        <v>46036</v>
      </c>
      <c r="B142">
        <v>1</v>
      </c>
      <c r="C142" t="s">
        <v>46</v>
      </c>
      <c r="D142">
        <v>4</v>
      </c>
      <c r="E142">
        <v>2</v>
      </c>
      <c r="F142">
        <v>0</v>
      </c>
      <c r="G142">
        <v>0</v>
      </c>
      <c r="H142">
        <v>0</v>
      </c>
      <c r="I142">
        <v>1</v>
      </c>
      <c r="J142">
        <v>1</v>
      </c>
      <c r="K142">
        <v>2</v>
      </c>
      <c r="L142" s="27">
        <v>46066.487256944441</v>
      </c>
    </row>
    <row r="143" spans="1:12" x14ac:dyDescent="0.25">
      <c r="A143" s="26">
        <v>46037</v>
      </c>
      <c r="B143">
        <v>1</v>
      </c>
      <c r="C143" t="s">
        <v>46</v>
      </c>
      <c r="D143">
        <v>3</v>
      </c>
      <c r="E143">
        <v>2</v>
      </c>
      <c r="F143">
        <v>0</v>
      </c>
      <c r="G143">
        <v>0</v>
      </c>
      <c r="H143">
        <v>0</v>
      </c>
      <c r="I143">
        <v>2</v>
      </c>
      <c r="J143">
        <v>2</v>
      </c>
      <c r="K143">
        <v>1</v>
      </c>
      <c r="L143" s="27">
        <v>46066.487268518518</v>
      </c>
    </row>
    <row r="144" spans="1:12" x14ac:dyDescent="0.25">
      <c r="A144" s="26">
        <v>46038</v>
      </c>
      <c r="B144">
        <v>1</v>
      </c>
      <c r="C144" t="s">
        <v>46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2</v>
      </c>
      <c r="J144">
        <v>1</v>
      </c>
      <c r="K144">
        <v>0</v>
      </c>
      <c r="L144" s="27">
        <v>46066.487280092595</v>
      </c>
    </row>
    <row r="145" spans="1:12" x14ac:dyDescent="0.25">
      <c r="A145" s="26">
        <v>46039</v>
      </c>
      <c r="B145">
        <v>1</v>
      </c>
      <c r="C145" t="s">
        <v>46</v>
      </c>
      <c r="D145">
        <v>3</v>
      </c>
      <c r="E145">
        <v>0</v>
      </c>
      <c r="F145">
        <v>0</v>
      </c>
      <c r="G145">
        <v>0</v>
      </c>
      <c r="H145">
        <v>0</v>
      </c>
      <c r="I145">
        <v>2</v>
      </c>
      <c r="J145">
        <v>0</v>
      </c>
      <c r="K145">
        <v>1</v>
      </c>
      <c r="L145" s="27">
        <v>46066.487280092595</v>
      </c>
    </row>
    <row r="146" spans="1:12" x14ac:dyDescent="0.25">
      <c r="A146" s="26">
        <v>46040</v>
      </c>
      <c r="B146">
        <v>1</v>
      </c>
      <c r="C146" t="s">
        <v>46</v>
      </c>
      <c r="D146">
        <v>4</v>
      </c>
      <c r="E146">
        <v>0</v>
      </c>
      <c r="F146">
        <v>0</v>
      </c>
      <c r="G146">
        <v>0</v>
      </c>
      <c r="H146">
        <v>0</v>
      </c>
      <c r="I146">
        <v>1</v>
      </c>
      <c r="J146">
        <v>1</v>
      </c>
      <c r="K146">
        <v>4</v>
      </c>
      <c r="L146" s="27">
        <v>46066.487291666665</v>
      </c>
    </row>
    <row r="147" spans="1:12" x14ac:dyDescent="0.25">
      <c r="A147" s="26">
        <v>46041</v>
      </c>
      <c r="B147">
        <v>1</v>
      </c>
      <c r="C147" t="s">
        <v>46</v>
      </c>
      <c r="D147">
        <v>1</v>
      </c>
      <c r="E147">
        <v>1</v>
      </c>
      <c r="F147">
        <v>0</v>
      </c>
      <c r="G147">
        <v>0</v>
      </c>
      <c r="H147">
        <v>0</v>
      </c>
      <c r="I147">
        <v>1</v>
      </c>
      <c r="J147">
        <v>4</v>
      </c>
      <c r="K147">
        <v>3</v>
      </c>
      <c r="L147" s="27">
        <v>46066.487303240741</v>
      </c>
    </row>
    <row r="148" spans="1:12" x14ac:dyDescent="0.25">
      <c r="A148" s="26">
        <v>46042</v>
      </c>
      <c r="B148">
        <v>1</v>
      </c>
      <c r="C148" t="s">
        <v>46</v>
      </c>
      <c r="D148">
        <v>1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3</v>
      </c>
      <c r="K148">
        <v>3</v>
      </c>
      <c r="L148" s="27">
        <v>46066.487314814818</v>
      </c>
    </row>
    <row r="149" spans="1:12" x14ac:dyDescent="0.25">
      <c r="A149" s="26">
        <v>46043</v>
      </c>
      <c r="B149">
        <v>1</v>
      </c>
      <c r="C149" t="s">
        <v>46</v>
      </c>
      <c r="D149">
        <v>1</v>
      </c>
      <c r="E149">
        <v>0</v>
      </c>
      <c r="F149">
        <v>0</v>
      </c>
      <c r="G149">
        <v>0</v>
      </c>
      <c r="H149">
        <v>0</v>
      </c>
      <c r="I149">
        <v>1</v>
      </c>
      <c r="J149">
        <v>3</v>
      </c>
      <c r="K149">
        <v>3</v>
      </c>
      <c r="L149" s="27">
        <v>46066.487314814818</v>
      </c>
    </row>
    <row r="150" spans="1:12" x14ac:dyDescent="0.25">
      <c r="A150" s="26">
        <v>46044</v>
      </c>
      <c r="B150">
        <v>1</v>
      </c>
      <c r="C150" t="s">
        <v>46</v>
      </c>
      <c r="D150">
        <v>2</v>
      </c>
      <c r="E150">
        <v>0</v>
      </c>
      <c r="F150">
        <v>0</v>
      </c>
      <c r="G150">
        <v>0</v>
      </c>
      <c r="H150">
        <v>0</v>
      </c>
      <c r="I150">
        <v>2</v>
      </c>
      <c r="J150">
        <v>3</v>
      </c>
      <c r="K150">
        <v>3</v>
      </c>
      <c r="L150" s="27">
        <v>46066.487326388888</v>
      </c>
    </row>
    <row r="151" spans="1:12" x14ac:dyDescent="0.25">
      <c r="A151" s="26">
        <v>46045</v>
      </c>
      <c r="B151">
        <v>1</v>
      </c>
      <c r="C151" t="s">
        <v>46</v>
      </c>
      <c r="D151">
        <v>1</v>
      </c>
      <c r="E151">
        <v>2</v>
      </c>
      <c r="F151">
        <v>0</v>
      </c>
      <c r="G151">
        <v>0</v>
      </c>
      <c r="H151">
        <v>0</v>
      </c>
      <c r="I151">
        <v>0</v>
      </c>
      <c r="J151">
        <v>3</v>
      </c>
      <c r="K151">
        <v>2</v>
      </c>
      <c r="L151" s="27">
        <v>46066.487337962964</v>
      </c>
    </row>
    <row r="152" spans="1:12" x14ac:dyDescent="0.25">
      <c r="A152" s="26">
        <v>46046</v>
      </c>
      <c r="B152">
        <v>1</v>
      </c>
      <c r="C152" t="s">
        <v>46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1</v>
      </c>
      <c r="J152">
        <v>2</v>
      </c>
      <c r="K152">
        <v>0</v>
      </c>
      <c r="L152" s="27">
        <v>46066.487337962964</v>
      </c>
    </row>
    <row r="153" spans="1:12" x14ac:dyDescent="0.25">
      <c r="A153" s="26">
        <v>46047</v>
      </c>
      <c r="B153">
        <v>1</v>
      </c>
      <c r="C153" t="s">
        <v>46</v>
      </c>
      <c r="D153">
        <v>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2</v>
      </c>
      <c r="L153" s="27">
        <v>46066.487349537034</v>
      </c>
    </row>
    <row r="154" spans="1:12" x14ac:dyDescent="0.25">
      <c r="A154" s="26">
        <v>46048</v>
      </c>
      <c r="B154">
        <v>1</v>
      </c>
      <c r="C154" t="s">
        <v>46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1</v>
      </c>
      <c r="J154">
        <v>2</v>
      </c>
      <c r="K154">
        <v>1</v>
      </c>
      <c r="L154" s="27">
        <v>46066.487361111111</v>
      </c>
    </row>
    <row r="155" spans="1:12" x14ac:dyDescent="0.25">
      <c r="A155" s="26">
        <v>46049</v>
      </c>
      <c r="B155">
        <v>1</v>
      </c>
      <c r="C155" t="s">
        <v>46</v>
      </c>
      <c r="D155">
        <v>1</v>
      </c>
      <c r="E155">
        <v>1</v>
      </c>
      <c r="F155">
        <v>0</v>
      </c>
      <c r="G155">
        <v>0</v>
      </c>
      <c r="H155">
        <v>0</v>
      </c>
      <c r="I155">
        <v>1</v>
      </c>
      <c r="J155">
        <v>1</v>
      </c>
      <c r="K155">
        <v>0</v>
      </c>
      <c r="L155" s="27">
        <v>46066.487361111111</v>
      </c>
    </row>
    <row r="156" spans="1:12" x14ac:dyDescent="0.25">
      <c r="A156" s="26">
        <v>46050</v>
      </c>
      <c r="B156">
        <v>1</v>
      </c>
      <c r="C156" t="s">
        <v>46</v>
      </c>
      <c r="D156">
        <v>4</v>
      </c>
      <c r="E156">
        <v>0</v>
      </c>
      <c r="F156">
        <v>0</v>
      </c>
      <c r="G156">
        <v>0</v>
      </c>
      <c r="H156">
        <v>0</v>
      </c>
      <c r="I156">
        <v>1</v>
      </c>
      <c r="J156">
        <v>0</v>
      </c>
      <c r="K156">
        <v>3</v>
      </c>
      <c r="L156" s="27">
        <v>46066.487372685187</v>
      </c>
    </row>
    <row r="157" spans="1:12" x14ac:dyDescent="0.25">
      <c r="A157" s="26">
        <v>46051</v>
      </c>
      <c r="B157">
        <v>1</v>
      </c>
      <c r="C157" t="s">
        <v>46</v>
      </c>
      <c r="D157">
        <v>2</v>
      </c>
      <c r="E157">
        <v>0</v>
      </c>
      <c r="F157">
        <v>0</v>
      </c>
      <c r="G157">
        <v>0</v>
      </c>
      <c r="H157">
        <v>0</v>
      </c>
      <c r="I157">
        <v>2</v>
      </c>
      <c r="J157">
        <v>3</v>
      </c>
      <c r="K157">
        <v>3</v>
      </c>
      <c r="L157" s="27">
        <v>46066.487384259257</v>
      </c>
    </row>
    <row r="158" spans="1:12" x14ac:dyDescent="0.25">
      <c r="A158" s="26">
        <v>46052</v>
      </c>
      <c r="B158">
        <v>1</v>
      </c>
      <c r="C158" t="s">
        <v>46</v>
      </c>
      <c r="D158">
        <v>5</v>
      </c>
      <c r="E158">
        <v>0</v>
      </c>
      <c r="F158">
        <v>0</v>
      </c>
      <c r="G158">
        <v>0</v>
      </c>
      <c r="H158">
        <v>0</v>
      </c>
      <c r="I158">
        <v>2</v>
      </c>
      <c r="J158">
        <v>3</v>
      </c>
      <c r="K158">
        <v>6</v>
      </c>
      <c r="L158" s="27">
        <v>46066.487384259257</v>
      </c>
    </row>
    <row r="159" spans="1:12" x14ac:dyDescent="0.25">
      <c r="A159" s="26">
        <v>46053</v>
      </c>
      <c r="B159">
        <v>1</v>
      </c>
      <c r="C159" t="s">
        <v>46</v>
      </c>
      <c r="D159">
        <v>1</v>
      </c>
      <c r="E159">
        <v>1</v>
      </c>
      <c r="F159">
        <v>0</v>
      </c>
      <c r="G159">
        <v>0</v>
      </c>
      <c r="H159">
        <v>0</v>
      </c>
      <c r="I159">
        <v>2</v>
      </c>
      <c r="J159">
        <v>6</v>
      </c>
      <c r="K159">
        <v>4</v>
      </c>
      <c r="L159" s="27">
        <v>46066.487395833334</v>
      </c>
    </row>
    <row r="160" spans="1:12" x14ac:dyDescent="0.25">
      <c r="A160" s="26">
        <v>46023</v>
      </c>
      <c r="B160">
        <v>1</v>
      </c>
      <c r="C160" t="s">
        <v>32</v>
      </c>
      <c r="D160">
        <v>4</v>
      </c>
      <c r="E160">
        <v>2</v>
      </c>
      <c r="F160">
        <v>0</v>
      </c>
      <c r="G160">
        <v>0</v>
      </c>
      <c r="H160">
        <v>1</v>
      </c>
      <c r="I160">
        <v>0</v>
      </c>
      <c r="J160">
        <v>16</v>
      </c>
      <c r="K160">
        <v>19</v>
      </c>
      <c r="L160" s="27">
        <v>46066.487407407411</v>
      </c>
    </row>
    <row r="161" spans="1:12" x14ac:dyDescent="0.25">
      <c r="A161" s="26">
        <v>46024</v>
      </c>
      <c r="B161">
        <v>1</v>
      </c>
      <c r="C161" t="s">
        <v>32</v>
      </c>
      <c r="D161">
        <v>2</v>
      </c>
      <c r="E161">
        <v>4</v>
      </c>
      <c r="F161">
        <v>1</v>
      </c>
      <c r="G161">
        <v>0</v>
      </c>
      <c r="H161">
        <v>0</v>
      </c>
      <c r="I161">
        <v>0</v>
      </c>
      <c r="J161">
        <v>19</v>
      </c>
      <c r="K161">
        <v>16</v>
      </c>
      <c r="L161" s="27">
        <v>46066.48741898148</v>
      </c>
    </row>
    <row r="162" spans="1:12" x14ac:dyDescent="0.25">
      <c r="A162" s="26">
        <v>46025</v>
      </c>
      <c r="B162">
        <v>1</v>
      </c>
      <c r="C162" t="s">
        <v>32</v>
      </c>
      <c r="D162">
        <v>2</v>
      </c>
      <c r="E162">
        <v>1</v>
      </c>
      <c r="F162">
        <v>0</v>
      </c>
      <c r="G162">
        <v>0</v>
      </c>
      <c r="H162">
        <v>1</v>
      </c>
      <c r="I162">
        <v>0</v>
      </c>
      <c r="J162">
        <v>16</v>
      </c>
      <c r="K162">
        <v>18</v>
      </c>
      <c r="L162" s="27">
        <v>46066.48741898148</v>
      </c>
    </row>
    <row r="163" spans="1:12" x14ac:dyDescent="0.25">
      <c r="A163" s="26">
        <v>46026</v>
      </c>
      <c r="B163">
        <v>1</v>
      </c>
      <c r="C163" t="s">
        <v>32</v>
      </c>
      <c r="D163">
        <v>6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18</v>
      </c>
      <c r="K163">
        <v>23</v>
      </c>
      <c r="L163" s="27">
        <v>46066.487430555557</v>
      </c>
    </row>
    <row r="164" spans="1:12" x14ac:dyDescent="0.25">
      <c r="A164" s="26">
        <v>46027</v>
      </c>
      <c r="B164">
        <v>1</v>
      </c>
      <c r="C164" t="s">
        <v>32</v>
      </c>
      <c r="D164">
        <v>4</v>
      </c>
      <c r="E164">
        <v>5</v>
      </c>
      <c r="F164">
        <v>0</v>
      </c>
      <c r="G164">
        <v>0</v>
      </c>
      <c r="H164">
        <v>1</v>
      </c>
      <c r="I164">
        <v>0</v>
      </c>
      <c r="J164">
        <v>23</v>
      </c>
      <c r="K164">
        <v>23</v>
      </c>
      <c r="L164" s="27">
        <v>46066.487442129626</v>
      </c>
    </row>
    <row r="165" spans="1:12" x14ac:dyDescent="0.25">
      <c r="A165" s="26">
        <v>46028</v>
      </c>
      <c r="B165">
        <v>1</v>
      </c>
      <c r="C165" t="s">
        <v>32</v>
      </c>
      <c r="D165">
        <v>2</v>
      </c>
      <c r="E165">
        <v>5</v>
      </c>
      <c r="F165">
        <v>0</v>
      </c>
      <c r="G165">
        <v>0</v>
      </c>
      <c r="H165">
        <v>0</v>
      </c>
      <c r="I165">
        <v>0</v>
      </c>
      <c r="J165">
        <v>23</v>
      </c>
      <c r="K165">
        <v>20</v>
      </c>
      <c r="L165" s="27">
        <v>46066.487442129626</v>
      </c>
    </row>
    <row r="166" spans="1:12" x14ac:dyDescent="0.25">
      <c r="A166" s="26">
        <v>46029</v>
      </c>
      <c r="B166">
        <v>1</v>
      </c>
      <c r="C166" t="s">
        <v>32</v>
      </c>
      <c r="D166">
        <v>5</v>
      </c>
      <c r="E166">
        <v>2</v>
      </c>
      <c r="F166">
        <v>0</v>
      </c>
      <c r="G166">
        <v>0</v>
      </c>
      <c r="H166">
        <v>0</v>
      </c>
      <c r="I166">
        <v>0</v>
      </c>
      <c r="J166">
        <v>20</v>
      </c>
      <c r="K166">
        <v>23</v>
      </c>
      <c r="L166" s="27">
        <v>46066.487453703703</v>
      </c>
    </row>
    <row r="167" spans="1:12" x14ac:dyDescent="0.25">
      <c r="A167" s="26">
        <v>46030</v>
      </c>
      <c r="B167">
        <v>1</v>
      </c>
      <c r="C167" t="s">
        <v>32</v>
      </c>
      <c r="D167">
        <v>1</v>
      </c>
      <c r="E167">
        <v>7</v>
      </c>
      <c r="F167">
        <v>0</v>
      </c>
      <c r="G167">
        <v>0</v>
      </c>
      <c r="H167">
        <v>2</v>
      </c>
      <c r="I167">
        <v>0</v>
      </c>
      <c r="J167">
        <v>23</v>
      </c>
      <c r="K167">
        <v>19</v>
      </c>
      <c r="L167" s="27">
        <v>46066.48746527778</v>
      </c>
    </row>
    <row r="168" spans="1:12" x14ac:dyDescent="0.25">
      <c r="A168" s="26">
        <v>46031</v>
      </c>
      <c r="B168">
        <v>1</v>
      </c>
      <c r="C168" t="s">
        <v>32</v>
      </c>
      <c r="D168">
        <v>4</v>
      </c>
      <c r="E168">
        <v>3</v>
      </c>
      <c r="F168">
        <v>0</v>
      </c>
      <c r="G168">
        <v>0</v>
      </c>
      <c r="H168">
        <v>0</v>
      </c>
      <c r="I168">
        <v>0</v>
      </c>
      <c r="J168">
        <v>19</v>
      </c>
      <c r="K168">
        <v>20</v>
      </c>
      <c r="L168" s="27">
        <v>46066.487476851849</v>
      </c>
    </row>
    <row r="169" spans="1:12" x14ac:dyDescent="0.25">
      <c r="A169" s="26">
        <v>46032</v>
      </c>
      <c r="B169">
        <v>1</v>
      </c>
      <c r="C169" t="s">
        <v>32</v>
      </c>
      <c r="D169">
        <v>2</v>
      </c>
      <c r="E169">
        <v>6</v>
      </c>
      <c r="F169">
        <v>0</v>
      </c>
      <c r="G169">
        <v>0</v>
      </c>
      <c r="H169">
        <v>0</v>
      </c>
      <c r="I169">
        <v>0</v>
      </c>
      <c r="J169">
        <v>20</v>
      </c>
      <c r="K169">
        <v>16</v>
      </c>
      <c r="L169" s="27">
        <v>46066.487476851849</v>
      </c>
    </row>
    <row r="170" spans="1:12" x14ac:dyDescent="0.25">
      <c r="A170" s="26">
        <v>46033</v>
      </c>
      <c r="B170">
        <v>1</v>
      </c>
      <c r="C170" t="s">
        <v>32</v>
      </c>
      <c r="D170">
        <v>1</v>
      </c>
      <c r="E170">
        <v>2</v>
      </c>
      <c r="F170">
        <v>0</v>
      </c>
      <c r="G170">
        <v>0</v>
      </c>
      <c r="H170">
        <v>1</v>
      </c>
      <c r="I170">
        <v>0</v>
      </c>
      <c r="J170">
        <v>16</v>
      </c>
      <c r="K170">
        <v>16</v>
      </c>
      <c r="L170" s="27">
        <v>46066.487488425926</v>
      </c>
    </row>
    <row r="171" spans="1:12" x14ac:dyDescent="0.25">
      <c r="A171" s="26">
        <v>46034</v>
      </c>
      <c r="B171">
        <v>1</v>
      </c>
      <c r="C171" t="s">
        <v>32</v>
      </c>
      <c r="D171">
        <v>5</v>
      </c>
      <c r="E171">
        <v>4</v>
      </c>
      <c r="F171">
        <v>0</v>
      </c>
      <c r="G171">
        <v>0</v>
      </c>
      <c r="H171">
        <v>0</v>
      </c>
      <c r="I171">
        <v>0</v>
      </c>
      <c r="J171">
        <v>16</v>
      </c>
      <c r="K171">
        <v>17</v>
      </c>
      <c r="L171" s="27">
        <v>46066.487500000003</v>
      </c>
    </row>
    <row r="172" spans="1:12" x14ac:dyDescent="0.25">
      <c r="A172" s="26">
        <v>46035</v>
      </c>
      <c r="B172">
        <v>1</v>
      </c>
      <c r="C172" t="s">
        <v>32</v>
      </c>
      <c r="D172">
        <v>5</v>
      </c>
      <c r="E172">
        <v>5</v>
      </c>
      <c r="F172">
        <v>0</v>
      </c>
      <c r="G172">
        <v>0</v>
      </c>
      <c r="H172">
        <v>0</v>
      </c>
      <c r="I172">
        <v>0</v>
      </c>
      <c r="J172">
        <v>17</v>
      </c>
      <c r="K172">
        <v>17</v>
      </c>
      <c r="L172" s="27">
        <v>46066.487500000003</v>
      </c>
    </row>
    <row r="173" spans="1:12" x14ac:dyDescent="0.25">
      <c r="A173" s="26">
        <v>46036</v>
      </c>
      <c r="B173">
        <v>1</v>
      </c>
      <c r="C173" t="s">
        <v>32</v>
      </c>
      <c r="D173">
        <v>1</v>
      </c>
      <c r="E173">
        <v>3</v>
      </c>
      <c r="F173">
        <v>0</v>
      </c>
      <c r="G173">
        <v>0</v>
      </c>
      <c r="H173">
        <v>1</v>
      </c>
      <c r="I173">
        <v>0</v>
      </c>
      <c r="J173">
        <v>17</v>
      </c>
      <c r="K173">
        <v>16</v>
      </c>
      <c r="L173" s="27">
        <v>46066.487511574072</v>
      </c>
    </row>
    <row r="174" spans="1:12" x14ac:dyDescent="0.25">
      <c r="A174" s="26">
        <v>46037</v>
      </c>
      <c r="B174">
        <v>1</v>
      </c>
      <c r="C174" t="s">
        <v>32</v>
      </c>
      <c r="D174">
        <v>2</v>
      </c>
      <c r="E174">
        <v>2</v>
      </c>
      <c r="F174">
        <v>0</v>
      </c>
      <c r="G174">
        <v>0</v>
      </c>
      <c r="H174">
        <v>1</v>
      </c>
      <c r="I174">
        <v>0</v>
      </c>
      <c r="J174">
        <v>16</v>
      </c>
      <c r="K174">
        <v>17</v>
      </c>
      <c r="L174" s="27">
        <v>46066.487523148149</v>
      </c>
    </row>
    <row r="175" spans="1:12" x14ac:dyDescent="0.25">
      <c r="A175" s="26">
        <v>46038</v>
      </c>
      <c r="B175">
        <v>1</v>
      </c>
      <c r="C175" t="s">
        <v>32</v>
      </c>
      <c r="D175">
        <v>0</v>
      </c>
      <c r="E175">
        <v>1</v>
      </c>
      <c r="F175">
        <v>2</v>
      </c>
      <c r="G175">
        <v>0</v>
      </c>
      <c r="H175">
        <v>2</v>
      </c>
      <c r="I175">
        <v>0</v>
      </c>
      <c r="J175">
        <v>17</v>
      </c>
      <c r="K175">
        <v>16</v>
      </c>
      <c r="L175" s="27">
        <v>46066.487523148149</v>
      </c>
    </row>
    <row r="176" spans="1:12" x14ac:dyDescent="0.25">
      <c r="A176" s="26">
        <v>46039</v>
      </c>
      <c r="B176">
        <v>1</v>
      </c>
      <c r="C176" t="s">
        <v>32</v>
      </c>
      <c r="D176">
        <v>3</v>
      </c>
      <c r="E176">
        <v>2</v>
      </c>
      <c r="F176">
        <v>1</v>
      </c>
      <c r="G176">
        <v>0</v>
      </c>
      <c r="H176">
        <v>2</v>
      </c>
      <c r="I176">
        <v>0</v>
      </c>
      <c r="J176">
        <v>16</v>
      </c>
      <c r="K176">
        <v>18</v>
      </c>
      <c r="L176" s="27">
        <v>46066.487534722219</v>
      </c>
    </row>
    <row r="177" spans="1:12" x14ac:dyDescent="0.25">
      <c r="A177" s="26">
        <v>46040</v>
      </c>
      <c r="B177">
        <v>1</v>
      </c>
      <c r="C177" t="s">
        <v>32</v>
      </c>
      <c r="D177">
        <v>4</v>
      </c>
      <c r="E177">
        <v>2</v>
      </c>
      <c r="F177">
        <v>1</v>
      </c>
      <c r="G177">
        <v>0</v>
      </c>
      <c r="H177">
        <v>1</v>
      </c>
      <c r="I177">
        <v>0</v>
      </c>
      <c r="J177">
        <v>18</v>
      </c>
      <c r="K177">
        <v>20</v>
      </c>
      <c r="L177" s="27">
        <v>46066.487546296295</v>
      </c>
    </row>
    <row r="178" spans="1:12" x14ac:dyDescent="0.25">
      <c r="A178" s="26">
        <v>46041</v>
      </c>
      <c r="B178">
        <v>1</v>
      </c>
      <c r="C178" t="s">
        <v>32</v>
      </c>
      <c r="D178">
        <v>3</v>
      </c>
      <c r="E178">
        <v>1</v>
      </c>
      <c r="F178">
        <v>0</v>
      </c>
      <c r="G178">
        <v>0</v>
      </c>
      <c r="H178">
        <v>1</v>
      </c>
      <c r="I178">
        <v>0</v>
      </c>
      <c r="J178">
        <v>20</v>
      </c>
      <c r="K178">
        <v>23</v>
      </c>
      <c r="L178" s="27">
        <v>46066.487546296295</v>
      </c>
    </row>
    <row r="179" spans="1:12" x14ac:dyDescent="0.25">
      <c r="A179" s="26">
        <v>46042</v>
      </c>
      <c r="B179">
        <v>1</v>
      </c>
      <c r="C179" t="s">
        <v>32</v>
      </c>
      <c r="D179">
        <v>4</v>
      </c>
      <c r="E179">
        <v>11</v>
      </c>
      <c r="F179">
        <v>0</v>
      </c>
      <c r="G179">
        <v>0</v>
      </c>
      <c r="H179">
        <v>0</v>
      </c>
      <c r="I179">
        <v>0</v>
      </c>
      <c r="J179">
        <v>23</v>
      </c>
      <c r="K179">
        <v>16</v>
      </c>
      <c r="L179" s="27">
        <v>46066.487557870372</v>
      </c>
    </row>
    <row r="180" spans="1:12" x14ac:dyDescent="0.25">
      <c r="A180" s="26">
        <v>46043</v>
      </c>
      <c r="B180">
        <v>1</v>
      </c>
      <c r="C180" t="s">
        <v>32</v>
      </c>
      <c r="D180">
        <v>1</v>
      </c>
      <c r="E180">
        <v>3</v>
      </c>
      <c r="F180">
        <v>1</v>
      </c>
      <c r="G180">
        <v>0</v>
      </c>
      <c r="H180">
        <v>1</v>
      </c>
      <c r="I180">
        <v>0</v>
      </c>
      <c r="J180">
        <v>16</v>
      </c>
      <c r="K180">
        <v>14</v>
      </c>
      <c r="L180" s="27">
        <v>46066.487569444442</v>
      </c>
    </row>
    <row r="181" spans="1:12" x14ac:dyDescent="0.25">
      <c r="A181" s="26">
        <v>46044</v>
      </c>
      <c r="B181">
        <v>1</v>
      </c>
      <c r="C181" t="s">
        <v>32</v>
      </c>
      <c r="D181">
        <v>2</v>
      </c>
      <c r="E181">
        <v>3</v>
      </c>
      <c r="F181">
        <v>0</v>
      </c>
      <c r="G181">
        <v>0</v>
      </c>
      <c r="H181">
        <v>2</v>
      </c>
      <c r="I181">
        <v>0</v>
      </c>
      <c r="J181">
        <v>14</v>
      </c>
      <c r="K181">
        <v>15</v>
      </c>
      <c r="L181" s="27">
        <v>46066.487569444442</v>
      </c>
    </row>
    <row r="182" spans="1:12" x14ac:dyDescent="0.25">
      <c r="A182" s="26">
        <v>46045</v>
      </c>
      <c r="B182">
        <v>1</v>
      </c>
      <c r="C182" t="s">
        <v>32</v>
      </c>
      <c r="D182">
        <v>4</v>
      </c>
      <c r="E182">
        <v>2</v>
      </c>
      <c r="F182">
        <v>2</v>
      </c>
      <c r="G182">
        <v>0</v>
      </c>
      <c r="H182">
        <v>0</v>
      </c>
      <c r="I182">
        <v>0</v>
      </c>
      <c r="J182">
        <v>15</v>
      </c>
      <c r="K182">
        <v>15</v>
      </c>
      <c r="L182" s="27">
        <v>46066.487581018519</v>
      </c>
    </row>
    <row r="183" spans="1:12" x14ac:dyDescent="0.25">
      <c r="A183" s="26">
        <v>46046</v>
      </c>
      <c r="B183">
        <v>1</v>
      </c>
      <c r="C183" t="s">
        <v>32</v>
      </c>
      <c r="D183">
        <v>2</v>
      </c>
      <c r="E183">
        <v>1</v>
      </c>
      <c r="F183">
        <v>0</v>
      </c>
      <c r="G183">
        <v>0</v>
      </c>
      <c r="H183">
        <v>1</v>
      </c>
      <c r="I183">
        <v>0</v>
      </c>
      <c r="J183">
        <v>15</v>
      </c>
      <c r="K183">
        <v>17</v>
      </c>
      <c r="L183" s="27">
        <v>46066.487592592595</v>
      </c>
    </row>
    <row r="184" spans="1:12" x14ac:dyDescent="0.25">
      <c r="A184" s="26">
        <v>46047</v>
      </c>
      <c r="B184">
        <v>1</v>
      </c>
      <c r="C184" t="s">
        <v>32</v>
      </c>
      <c r="D184">
        <v>0</v>
      </c>
      <c r="E184">
        <v>4</v>
      </c>
      <c r="F184">
        <v>0</v>
      </c>
      <c r="G184">
        <v>0</v>
      </c>
      <c r="H184">
        <v>0</v>
      </c>
      <c r="I184">
        <v>0</v>
      </c>
      <c r="J184">
        <v>17</v>
      </c>
      <c r="K184">
        <v>13</v>
      </c>
      <c r="L184" s="27">
        <v>46066.487592592595</v>
      </c>
    </row>
    <row r="185" spans="1:12" x14ac:dyDescent="0.25">
      <c r="A185" s="26">
        <v>46048</v>
      </c>
      <c r="B185">
        <v>1</v>
      </c>
      <c r="C185" t="s">
        <v>32</v>
      </c>
      <c r="D185">
        <v>2</v>
      </c>
      <c r="E185">
        <v>2</v>
      </c>
      <c r="F185">
        <v>0</v>
      </c>
      <c r="G185">
        <v>0</v>
      </c>
      <c r="H185">
        <v>1</v>
      </c>
      <c r="I185">
        <v>0</v>
      </c>
      <c r="J185">
        <v>13</v>
      </c>
      <c r="K185">
        <v>14</v>
      </c>
      <c r="L185" s="27">
        <v>46066.487604166665</v>
      </c>
    </row>
    <row r="186" spans="1:12" x14ac:dyDescent="0.25">
      <c r="A186" s="26">
        <v>46049</v>
      </c>
      <c r="B186">
        <v>1</v>
      </c>
      <c r="C186" t="s">
        <v>32</v>
      </c>
      <c r="D186">
        <v>3</v>
      </c>
      <c r="E186">
        <v>7</v>
      </c>
      <c r="F186">
        <v>1</v>
      </c>
      <c r="G186">
        <v>0</v>
      </c>
      <c r="H186">
        <v>1</v>
      </c>
      <c r="I186">
        <v>0</v>
      </c>
      <c r="J186">
        <v>14</v>
      </c>
      <c r="K186">
        <v>10</v>
      </c>
      <c r="L186" s="27">
        <v>46066.487615740742</v>
      </c>
    </row>
    <row r="187" spans="1:12" x14ac:dyDescent="0.25">
      <c r="A187" s="26">
        <v>46050</v>
      </c>
      <c r="B187">
        <v>1</v>
      </c>
      <c r="C187" t="s">
        <v>32</v>
      </c>
      <c r="D187">
        <v>1</v>
      </c>
      <c r="E187">
        <v>1</v>
      </c>
      <c r="F187">
        <v>0</v>
      </c>
      <c r="G187">
        <v>0</v>
      </c>
      <c r="H187">
        <v>1</v>
      </c>
      <c r="I187">
        <v>0</v>
      </c>
      <c r="J187">
        <v>10</v>
      </c>
      <c r="K187">
        <v>11</v>
      </c>
      <c r="L187" s="27">
        <v>46066.487627314818</v>
      </c>
    </row>
    <row r="188" spans="1:12" x14ac:dyDescent="0.25">
      <c r="A188" s="26">
        <v>46051</v>
      </c>
      <c r="B188">
        <v>1</v>
      </c>
      <c r="C188" t="s">
        <v>32</v>
      </c>
      <c r="D188">
        <v>2</v>
      </c>
      <c r="E188">
        <v>1</v>
      </c>
      <c r="F188">
        <v>0</v>
      </c>
      <c r="G188">
        <v>0</v>
      </c>
      <c r="H188">
        <v>2</v>
      </c>
      <c r="I188">
        <v>0</v>
      </c>
      <c r="J188">
        <v>11</v>
      </c>
      <c r="K188">
        <v>14</v>
      </c>
      <c r="L188" s="27">
        <v>46066.487627314818</v>
      </c>
    </row>
    <row r="189" spans="1:12" x14ac:dyDescent="0.25">
      <c r="A189" s="26">
        <v>46052</v>
      </c>
      <c r="B189">
        <v>1</v>
      </c>
      <c r="C189" t="s">
        <v>32</v>
      </c>
      <c r="D189">
        <v>2</v>
      </c>
      <c r="E189">
        <v>1</v>
      </c>
      <c r="F189">
        <v>0</v>
      </c>
      <c r="G189">
        <v>0</v>
      </c>
      <c r="H189">
        <v>2</v>
      </c>
      <c r="I189">
        <v>0</v>
      </c>
      <c r="J189">
        <v>14</v>
      </c>
      <c r="K189">
        <v>17</v>
      </c>
      <c r="L189" s="27">
        <v>46066.487638888888</v>
      </c>
    </row>
    <row r="190" spans="1:12" x14ac:dyDescent="0.25">
      <c r="A190" s="26">
        <v>46053</v>
      </c>
      <c r="B190">
        <v>1</v>
      </c>
      <c r="C190" t="s">
        <v>32</v>
      </c>
      <c r="D190">
        <v>0</v>
      </c>
      <c r="E190">
        <v>6</v>
      </c>
      <c r="F190">
        <v>1</v>
      </c>
      <c r="G190">
        <v>0</v>
      </c>
      <c r="H190">
        <v>2</v>
      </c>
      <c r="I190">
        <v>0</v>
      </c>
      <c r="J190">
        <v>17</v>
      </c>
      <c r="K190">
        <v>12</v>
      </c>
      <c r="L190" s="27">
        <v>46066.487650462965</v>
      </c>
    </row>
    <row r="191" spans="1:12" x14ac:dyDescent="0.25">
      <c r="A191" s="26">
        <v>46056</v>
      </c>
      <c r="B191">
        <v>2</v>
      </c>
      <c r="C191" t="s">
        <v>32</v>
      </c>
      <c r="D191">
        <v>4</v>
      </c>
      <c r="E191">
        <v>2</v>
      </c>
      <c r="F191">
        <v>0</v>
      </c>
      <c r="G191">
        <v>0</v>
      </c>
      <c r="H191">
        <v>1</v>
      </c>
      <c r="I191">
        <v>0</v>
      </c>
      <c r="J191">
        <v>12</v>
      </c>
      <c r="K191">
        <v>15</v>
      </c>
      <c r="L191" s="27">
        <v>46066.487650462965</v>
      </c>
    </row>
    <row r="192" spans="1:12" x14ac:dyDescent="0.25">
      <c r="A192" s="26">
        <v>46066</v>
      </c>
      <c r="B192">
        <v>2</v>
      </c>
      <c r="C192" t="s">
        <v>32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15</v>
      </c>
      <c r="K192">
        <v>15</v>
      </c>
      <c r="L192" s="27">
        <v>46066.487662037034</v>
      </c>
    </row>
    <row r="193" spans="1:12" x14ac:dyDescent="0.25">
      <c r="A193" s="26">
        <v>46023</v>
      </c>
      <c r="B193">
        <v>1</v>
      </c>
      <c r="C193" t="s">
        <v>44</v>
      </c>
      <c r="D193">
        <v>3</v>
      </c>
      <c r="E193">
        <v>3</v>
      </c>
      <c r="F193">
        <v>0</v>
      </c>
      <c r="G193">
        <v>0</v>
      </c>
      <c r="H193">
        <v>0</v>
      </c>
      <c r="I193">
        <v>1</v>
      </c>
      <c r="J193">
        <v>9</v>
      </c>
      <c r="K193">
        <v>8</v>
      </c>
      <c r="L193" s="27">
        <v>46066.487673611111</v>
      </c>
    </row>
    <row r="194" spans="1:12" x14ac:dyDescent="0.25">
      <c r="A194" s="26">
        <v>46024</v>
      </c>
      <c r="B194">
        <v>1</v>
      </c>
      <c r="C194" t="s">
        <v>44</v>
      </c>
      <c r="D194">
        <v>4</v>
      </c>
      <c r="E194">
        <v>3</v>
      </c>
      <c r="F194">
        <v>0</v>
      </c>
      <c r="G194">
        <v>0</v>
      </c>
      <c r="H194">
        <v>0</v>
      </c>
      <c r="I194">
        <v>0</v>
      </c>
      <c r="J194">
        <v>8</v>
      </c>
      <c r="K194">
        <v>9</v>
      </c>
      <c r="L194" s="27">
        <v>46066.487673611111</v>
      </c>
    </row>
    <row r="195" spans="1:12" x14ac:dyDescent="0.25">
      <c r="A195" s="26">
        <v>46025</v>
      </c>
      <c r="B195">
        <v>1</v>
      </c>
      <c r="C195" t="s">
        <v>44</v>
      </c>
      <c r="D195">
        <v>5</v>
      </c>
      <c r="E195">
        <v>2</v>
      </c>
      <c r="F195">
        <v>0</v>
      </c>
      <c r="G195">
        <v>0</v>
      </c>
      <c r="H195">
        <v>0</v>
      </c>
      <c r="I195">
        <v>2</v>
      </c>
      <c r="J195">
        <v>9</v>
      </c>
      <c r="K195">
        <v>10</v>
      </c>
      <c r="L195" s="27">
        <v>46066.487685185188</v>
      </c>
    </row>
    <row r="196" spans="1:12" x14ac:dyDescent="0.25">
      <c r="A196" s="26">
        <v>46026</v>
      </c>
      <c r="B196">
        <v>1</v>
      </c>
      <c r="C196" t="s">
        <v>44</v>
      </c>
      <c r="D196">
        <v>4</v>
      </c>
      <c r="E196">
        <v>1</v>
      </c>
      <c r="F196">
        <v>0</v>
      </c>
      <c r="G196">
        <v>1</v>
      </c>
      <c r="H196">
        <v>0</v>
      </c>
      <c r="I196">
        <v>3</v>
      </c>
      <c r="J196">
        <v>10</v>
      </c>
      <c r="K196">
        <v>9</v>
      </c>
      <c r="L196" s="27">
        <v>46066.487696759257</v>
      </c>
    </row>
    <row r="197" spans="1:12" x14ac:dyDescent="0.25">
      <c r="A197" s="26">
        <v>46027</v>
      </c>
      <c r="B197">
        <v>1</v>
      </c>
      <c r="C197" t="s">
        <v>44</v>
      </c>
      <c r="D197">
        <v>1</v>
      </c>
      <c r="E197">
        <v>8</v>
      </c>
      <c r="F197">
        <v>0</v>
      </c>
      <c r="G197">
        <v>0</v>
      </c>
      <c r="H197">
        <v>0</v>
      </c>
      <c r="I197">
        <v>0</v>
      </c>
      <c r="J197">
        <v>9</v>
      </c>
      <c r="K197">
        <v>2</v>
      </c>
      <c r="L197" s="27">
        <v>46066.487708333334</v>
      </c>
    </row>
    <row r="198" spans="1:12" x14ac:dyDescent="0.25">
      <c r="A198" s="26">
        <v>46028</v>
      </c>
      <c r="B198">
        <v>1</v>
      </c>
      <c r="C198" t="s">
        <v>44</v>
      </c>
      <c r="D198">
        <v>2</v>
      </c>
      <c r="E198">
        <v>1</v>
      </c>
      <c r="F198">
        <v>0</v>
      </c>
      <c r="G198">
        <v>0</v>
      </c>
      <c r="H198">
        <v>0</v>
      </c>
      <c r="I198">
        <v>2</v>
      </c>
      <c r="J198">
        <v>2</v>
      </c>
      <c r="K198">
        <v>1</v>
      </c>
      <c r="L198" s="27">
        <v>46066.487708333334</v>
      </c>
    </row>
    <row r="199" spans="1:12" x14ac:dyDescent="0.25">
      <c r="A199" s="26">
        <v>46029</v>
      </c>
      <c r="B199">
        <v>1</v>
      </c>
      <c r="C199" t="s">
        <v>44</v>
      </c>
      <c r="D199">
        <v>3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1</v>
      </c>
      <c r="K199">
        <v>2</v>
      </c>
      <c r="L199" s="27">
        <v>46066.487719907411</v>
      </c>
    </row>
    <row r="200" spans="1:12" x14ac:dyDescent="0.25">
      <c r="A200" s="26">
        <v>46030</v>
      </c>
      <c r="B200">
        <v>1</v>
      </c>
      <c r="C200" t="s">
        <v>44</v>
      </c>
      <c r="D200">
        <v>5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2</v>
      </c>
      <c r="K200">
        <v>6</v>
      </c>
      <c r="L200" s="27">
        <v>46066.48773148148</v>
      </c>
    </row>
    <row r="201" spans="1:12" x14ac:dyDescent="0.25">
      <c r="A201" s="26">
        <v>46031</v>
      </c>
      <c r="B201">
        <v>1</v>
      </c>
      <c r="C201" t="s">
        <v>44</v>
      </c>
      <c r="D201">
        <v>0</v>
      </c>
      <c r="E201">
        <v>2</v>
      </c>
      <c r="F201">
        <v>0</v>
      </c>
      <c r="G201">
        <v>0</v>
      </c>
      <c r="H201">
        <v>0</v>
      </c>
      <c r="I201">
        <v>2</v>
      </c>
      <c r="J201">
        <v>6</v>
      </c>
      <c r="K201">
        <v>2</v>
      </c>
      <c r="L201" s="27">
        <v>46066.48773148148</v>
      </c>
    </row>
    <row r="202" spans="1:12" x14ac:dyDescent="0.25">
      <c r="A202" s="26">
        <v>46032</v>
      </c>
      <c r="B202">
        <v>1</v>
      </c>
      <c r="C202" t="s">
        <v>44</v>
      </c>
      <c r="D202">
        <v>2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2</v>
      </c>
      <c r="K202">
        <v>4</v>
      </c>
      <c r="L202" s="27">
        <v>46066.487743055557</v>
      </c>
    </row>
    <row r="203" spans="1:12" x14ac:dyDescent="0.25">
      <c r="A203" s="26">
        <v>46033</v>
      </c>
      <c r="B203">
        <v>1</v>
      </c>
      <c r="C203" t="s">
        <v>44</v>
      </c>
      <c r="D203">
        <v>4</v>
      </c>
      <c r="E203">
        <v>1</v>
      </c>
      <c r="F203">
        <v>0</v>
      </c>
      <c r="G203">
        <v>0</v>
      </c>
      <c r="H203">
        <v>0</v>
      </c>
      <c r="I203">
        <v>4</v>
      </c>
      <c r="J203">
        <v>4</v>
      </c>
      <c r="K203">
        <v>3</v>
      </c>
      <c r="L203" s="27">
        <v>46066.487754629627</v>
      </c>
    </row>
    <row r="204" spans="1:12" x14ac:dyDescent="0.25">
      <c r="A204" s="26">
        <v>46034</v>
      </c>
      <c r="B204">
        <v>1</v>
      </c>
      <c r="C204" t="s">
        <v>44</v>
      </c>
      <c r="D204">
        <v>1</v>
      </c>
      <c r="E204">
        <v>0</v>
      </c>
      <c r="F204">
        <v>0</v>
      </c>
      <c r="G204">
        <v>0</v>
      </c>
      <c r="H204">
        <v>0</v>
      </c>
      <c r="I204">
        <v>3</v>
      </c>
      <c r="J204">
        <v>3</v>
      </c>
      <c r="K204">
        <v>1</v>
      </c>
      <c r="L204" s="27">
        <v>46066.487754629627</v>
      </c>
    </row>
    <row r="205" spans="1:12" x14ac:dyDescent="0.25">
      <c r="A205" s="26">
        <v>46035</v>
      </c>
      <c r="B205">
        <v>1</v>
      </c>
      <c r="C205" t="s">
        <v>44</v>
      </c>
      <c r="D205">
        <v>4</v>
      </c>
      <c r="E205">
        <v>0</v>
      </c>
      <c r="F205">
        <v>0</v>
      </c>
      <c r="G205">
        <v>0</v>
      </c>
      <c r="H205">
        <v>0</v>
      </c>
      <c r="I205">
        <v>2</v>
      </c>
      <c r="J205">
        <v>1</v>
      </c>
      <c r="K205">
        <v>3</v>
      </c>
      <c r="L205" s="27">
        <v>46066.487766203703</v>
      </c>
    </row>
    <row r="206" spans="1:12" x14ac:dyDescent="0.25">
      <c r="A206" s="26">
        <v>46036</v>
      </c>
      <c r="B206">
        <v>1</v>
      </c>
      <c r="C206" t="s">
        <v>44</v>
      </c>
      <c r="D206">
        <v>4</v>
      </c>
      <c r="E206">
        <v>0</v>
      </c>
      <c r="F206">
        <v>0</v>
      </c>
      <c r="G206">
        <v>0</v>
      </c>
      <c r="H206">
        <v>0</v>
      </c>
      <c r="I206">
        <v>1</v>
      </c>
      <c r="J206">
        <v>3</v>
      </c>
      <c r="K206">
        <v>6</v>
      </c>
      <c r="L206" s="27">
        <v>46066.48777777778</v>
      </c>
    </row>
    <row r="207" spans="1:12" x14ac:dyDescent="0.25">
      <c r="A207" s="26">
        <v>46037</v>
      </c>
      <c r="B207">
        <v>1</v>
      </c>
      <c r="C207" t="s">
        <v>44</v>
      </c>
      <c r="D207">
        <v>1</v>
      </c>
      <c r="E207">
        <v>2</v>
      </c>
      <c r="F207">
        <v>0</v>
      </c>
      <c r="G207">
        <v>0</v>
      </c>
      <c r="H207">
        <v>0</v>
      </c>
      <c r="I207">
        <v>0</v>
      </c>
      <c r="J207">
        <v>6</v>
      </c>
      <c r="K207">
        <v>5</v>
      </c>
      <c r="L207" s="27">
        <v>46066.48777777778</v>
      </c>
    </row>
    <row r="208" spans="1:12" x14ac:dyDescent="0.25">
      <c r="A208" s="26">
        <v>46038</v>
      </c>
      <c r="B208">
        <v>1</v>
      </c>
      <c r="C208" t="s">
        <v>44</v>
      </c>
      <c r="D208">
        <v>6</v>
      </c>
      <c r="E208">
        <v>1</v>
      </c>
      <c r="F208">
        <v>0</v>
      </c>
      <c r="G208">
        <v>1</v>
      </c>
      <c r="H208">
        <v>0</v>
      </c>
      <c r="I208">
        <v>0</v>
      </c>
      <c r="J208">
        <v>5</v>
      </c>
      <c r="K208">
        <v>9</v>
      </c>
      <c r="L208" s="27">
        <v>46066.48778935185</v>
      </c>
    </row>
    <row r="209" spans="1:12" x14ac:dyDescent="0.25">
      <c r="A209" s="26">
        <v>46039</v>
      </c>
      <c r="B209">
        <v>1</v>
      </c>
      <c r="C209" t="s">
        <v>44</v>
      </c>
      <c r="D209">
        <v>3</v>
      </c>
      <c r="E209">
        <v>0</v>
      </c>
      <c r="F209">
        <v>0</v>
      </c>
      <c r="G209">
        <v>0</v>
      </c>
      <c r="H209">
        <v>0</v>
      </c>
      <c r="I209">
        <v>3</v>
      </c>
      <c r="J209">
        <v>9</v>
      </c>
      <c r="K209">
        <v>9</v>
      </c>
      <c r="L209" s="27">
        <v>46066.487800925926</v>
      </c>
    </row>
    <row r="210" spans="1:12" x14ac:dyDescent="0.25">
      <c r="A210" s="26">
        <v>46040</v>
      </c>
      <c r="B210">
        <v>1</v>
      </c>
      <c r="C210" t="s">
        <v>44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2</v>
      </c>
      <c r="J210">
        <v>9</v>
      </c>
      <c r="K210">
        <v>6</v>
      </c>
      <c r="L210" s="27">
        <v>46066.487800925926</v>
      </c>
    </row>
    <row r="211" spans="1:12" x14ac:dyDescent="0.25">
      <c r="A211" s="26">
        <v>46041</v>
      </c>
      <c r="B211">
        <v>1</v>
      </c>
      <c r="C211" t="s">
        <v>44</v>
      </c>
      <c r="D211">
        <v>2</v>
      </c>
      <c r="E211">
        <v>4</v>
      </c>
      <c r="F211">
        <v>0</v>
      </c>
      <c r="G211">
        <v>1</v>
      </c>
      <c r="H211">
        <v>0</v>
      </c>
      <c r="I211">
        <v>0</v>
      </c>
      <c r="J211">
        <v>6</v>
      </c>
      <c r="K211">
        <v>3</v>
      </c>
      <c r="L211" s="27">
        <v>46066.487812500003</v>
      </c>
    </row>
    <row r="212" spans="1:12" x14ac:dyDescent="0.25">
      <c r="A212" s="26">
        <v>46042</v>
      </c>
      <c r="B212">
        <v>1</v>
      </c>
      <c r="C212" t="s">
        <v>44</v>
      </c>
      <c r="D212">
        <v>7</v>
      </c>
      <c r="E212">
        <v>3</v>
      </c>
      <c r="F212">
        <v>0</v>
      </c>
      <c r="G212">
        <v>0</v>
      </c>
      <c r="H212">
        <v>0</v>
      </c>
      <c r="I212">
        <v>1</v>
      </c>
      <c r="J212">
        <v>3</v>
      </c>
      <c r="K212">
        <v>6</v>
      </c>
      <c r="L212" s="27">
        <v>46066.487824074073</v>
      </c>
    </row>
    <row r="213" spans="1:12" x14ac:dyDescent="0.25">
      <c r="A213" s="26">
        <v>46043</v>
      </c>
      <c r="B213">
        <v>1</v>
      </c>
      <c r="C213" t="s">
        <v>44</v>
      </c>
      <c r="D213">
        <v>1</v>
      </c>
      <c r="E213">
        <v>2</v>
      </c>
      <c r="F213">
        <v>0</v>
      </c>
      <c r="G213">
        <v>0</v>
      </c>
      <c r="H213">
        <v>0</v>
      </c>
      <c r="I213">
        <v>1</v>
      </c>
      <c r="J213">
        <v>6</v>
      </c>
      <c r="K213">
        <v>4</v>
      </c>
      <c r="L213" s="27">
        <v>46066.487835648149</v>
      </c>
    </row>
    <row r="214" spans="1:12" x14ac:dyDescent="0.25">
      <c r="A214" s="26">
        <v>46044</v>
      </c>
      <c r="B214">
        <v>1</v>
      </c>
      <c r="C214" t="s">
        <v>44</v>
      </c>
      <c r="D214">
        <v>5</v>
      </c>
      <c r="E214">
        <v>0</v>
      </c>
      <c r="F214">
        <v>0</v>
      </c>
      <c r="G214">
        <v>0</v>
      </c>
      <c r="H214">
        <v>0</v>
      </c>
      <c r="I214">
        <v>3</v>
      </c>
      <c r="J214">
        <v>4</v>
      </c>
      <c r="K214">
        <v>6</v>
      </c>
      <c r="L214" s="27">
        <v>46066.487835648149</v>
      </c>
    </row>
    <row r="215" spans="1:12" x14ac:dyDescent="0.25">
      <c r="A215" s="26">
        <v>46045</v>
      </c>
      <c r="B215">
        <v>1</v>
      </c>
      <c r="C215" t="s">
        <v>44</v>
      </c>
      <c r="D215">
        <v>4</v>
      </c>
      <c r="E215">
        <v>1</v>
      </c>
      <c r="F215">
        <v>1</v>
      </c>
      <c r="G215">
        <v>0</v>
      </c>
      <c r="H215">
        <v>0</v>
      </c>
      <c r="I215">
        <v>2</v>
      </c>
      <c r="J215">
        <v>6</v>
      </c>
      <c r="K215">
        <v>6</v>
      </c>
      <c r="L215" s="27">
        <v>46066.487847222219</v>
      </c>
    </row>
    <row r="216" spans="1:12" x14ac:dyDescent="0.25">
      <c r="A216" s="26">
        <v>46046</v>
      </c>
      <c r="B216">
        <v>1</v>
      </c>
      <c r="C216" t="s">
        <v>44</v>
      </c>
      <c r="D216">
        <v>3</v>
      </c>
      <c r="E216">
        <v>0</v>
      </c>
      <c r="F216">
        <v>1</v>
      </c>
      <c r="G216">
        <v>1</v>
      </c>
      <c r="H216">
        <v>0</v>
      </c>
      <c r="I216">
        <v>2</v>
      </c>
      <c r="J216">
        <v>6</v>
      </c>
      <c r="K216">
        <v>5</v>
      </c>
      <c r="L216" s="27">
        <v>46066.487858796296</v>
      </c>
    </row>
    <row r="217" spans="1:12" x14ac:dyDescent="0.25">
      <c r="A217" s="26">
        <v>46047</v>
      </c>
      <c r="B217">
        <v>1</v>
      </c>
      <c r="C217" t="s">
        <v>44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2</v>
      </c>
      <c r="J217">
        <v>5</v>
      </c>
      <c r="K217">
        <v>2</v>
      </c>
      <c r="L217" s="27">
        <v>46066.487858796296</v>
      </c>
    </row>
    <row r="218" spans="1:12" x14ac:dyDescent="0.25">
      <c r="A218" s="26">
        <v>46048</v>
      </c>
      <c r="B218">
        <v>1</v>
      </c>
      <c r="C218" t="s">
        <v>44</v>
      </c>
      <c r="D218">
        <v>5</v>
      </c>
      <c r="E218">
        <v>1</v>
      </c>
      <c r="F218">
        <v>0</v>
      </c>
      <c r="G218">
        <v>0</v>
      </c>
      <c r="H218">
        <v>0</v>
      </c>
      <c r="I218">
        <v>2</v>
      </c>
      <c r="J218">
        <v>2</v>
      </c>
      <c r="K218">
        <v>4</v>
      </c>
      <c r="L218" s="27">
        <v>46066.487870370373</v>
      </c>
    </row>
    <row r="219" spans="1:12" x14ac:dyDescent="0.25">
      <c r="A219" s="26">
        <v>46049</v>
      </c>
      <c r="B219">
        <v>1</v>
      </c>
      <c r="C219" t="s">
        <v>44</v>
      </c>
      <c r="D219">
        <v>5</v>
      </c>
      <c r="E219">
        <v>0</v>
      </c>
      <c r="F219">
        <v>0</v>
      </c>
      <c r="G219">
        <v>1</v>
      </c>
      <c r="H219">
        <v>0</v>
      </c>
      <c r="I219">
        <v>2</v>
      </c>
      <c r="J219">
        <v>4</v>
      </c>
      <c r="K219">
        <v>6</v>
      </c>
      <c r="L219" s="27">
        <v>46066.487881944442</v>
      </c>
    </row>
    <row r="220" spans="1:12" x14ac:dyDescent="0.25">
      <c r="A220" s="26">
        <v>46050</v>
      </c>
      <c r="B220">
        <v>1</v>
      </c>
      <c r="C220" t="s">
        <v>44</v>
      </c>
      <c r="D220">
        <v>2</v>
      </c>
      <c r="E220">
        <v>3</v>
      </c>
      <c r="F220">
        <v>0</v>
      </c>
      <c r="G220">
        <v>0</v>
      </c>
      <c r="H220">
        <v>0</v>
      </c>
      <c r="I220">
        <v>2</v>
      </c>
      <c r="J220">
        <v>6</v>
      </c>
      <c r="K220">
        <v>3</v>
      </c>
      <c r="L220" s="27">
        <v>46066.487881944442</v>
      </c>
    </row>
    <row r="221" spans="1:12" x14ac:dyDescent="0.25">
      <c r="A221" s="26">
        <v>46051</v>
      </c>
      <c r="B221">
        <v>1</v>
      </c>
      <c r="C221" t="s">
        <v>44</v>
      </c>
      <c r="D221">
        <v>1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3</v>
      </c>
      <c r="K221">
        <v>4</v>
      </c>
      <c r="L221" s="27">
        <v>46066.487893518519</v>
      </c>
    </row>
    <row r="222" spans="1:12" x14ac:dyDescent="0.25">
      <c r="A222" s="26">
        <v>46052</v>
      </c>
      <c r="B222">
        <v>1</v>
      </c>
      <c r="C222" t="s">
        <v>44</v>
      </c>
      <c r="D222">
        <v>3</v>
      </c>
      <c r="E222">
        <v>1</v>
      </c>
      <c r="F222">
        <v>2</v>
      </c>
      <c r="G222">
        <v>0</v>
      </c>
      <c r="H222">
        <v>0</v>
      </c>
      <c r="I222">
        <v>1</v>
      </c>
      <c r="J222">
        <v>4</v>
      </c>
      <c r="K222">
        <v>3</v>
      </c>
      <c r="L222" s="27">
        <v>46066.487905092596</v>
      </c>
    </row>
    <row r="223" spans="1:12" x14ac:dyDescent="0.25">
      <c r="A223" s="26">
        <v>46053</v>
      </c>
      <c r="B223">
        <v>1</v>
      </c>
      <c r="C223" t="s">
        <v>44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3</v>
      </c>
      <c r="J223">
        <v>3</v>
      </c>
      <c r="K223">
        <v>1</v>
      </c>
      <c r="L223" s="27">
        <v>46066.487905092596</v>
      </c>
    </row>
    <row r="224" spans="1:12" x14ac:dyDescent="0.25">
      <c r="A224" s="26">
        <v>46056</v>
      </c>
      <c r="B224">
        <v>2</v>
      </c>
      <c r="C224" t="s">
        <v>44</v>
      </c>
      <c r="D224">
        <v>3</v>
      </c>
      <c r="E224">
        <v>3</v>
      </c>
      <c r="F224">
        <v>0</v>
      </c>
      <c r="G224">
        <v>0</v>
      </c>
      <c r="H224">
        <v>2</v>
      </c>
      <c r="I224">
        <v>0</v>
      </c>
      <c r="J224">
        <v>1</v>
      </c>
      <c r="K224">
        <v>3</v>
      </c>
      <c r="L224" s="27">
        <v>46066.487916666665</v>
      </c>
    </row>
    <row r="225" spans="1:12" x14ac:dyDescent="0.25">
      <c r="A225" s="26">
        <v>46023</v>
      </c>
      <c r="B225">
        <v>1</v>
      </c>
      <c r="C225" t="s">
        <v>30</v>
      </c>
      <c r="D225">
        <v>0</v>
      </c>
      <c r="E225">
        <v>0</v>
      </c>
      <c r="F225">
        <v>1</v>
      </c>
      <c r="G225">
        <v>0</v>
      </c>
      <c r="H225">
        <v>1</v>
      </c>
      <c r="I225">
        <v>0</v>
      </c>
      <c r="J225">
        <v>25</v>
      </c>
      <c r="K225">
        <v>25</v>
      </c>
      <c r="L225" s="27">
        <v>46066.487928240742</v>
      </c>
    </row>
    <row r="226" spans="1:12" x14ac:dyDescent="0.25">
      <c r="A226" s="26">
        <v>46024</v>
      </c>
      <c r="B226">
        <v>1</v>
      </c>
      <c r="C226" t="s">
        <v>30</v>
      </c>
      <c r="D226">
        <v>0</v>
      </c>
      <c r="E226">
        <v>2</v>
      </c>
      <c r="F226">
        <v>0</v>
      </c>
      <c r="G226">
        <v>0</v>
      </c>
      <c r="H226">
        <v>0</v>
      </c>
      <c r="I226">
        <v>0</v>
      </c>
      <c r="J226">
        <v>25</v>
      </c>
      <c r="K226">
        <v>23</v>
      </c>
      <c r="L226" s="27">
        <v>46066.487939814811</v>
      </c>
    </row>
    <row r="227" spans="1:12" x14ac:dyDescent="0.25">
      <c r="A227" s="26">
        <v>46025</v>
      </c>
      <c r="B227">
        <v>1</v>
      </c>
      <c r="C227" t="s">
        <v>30</v>
      </c>
      <c r="D227">
        <v>0</v>
      </c>
      <c r="E227">
        <v>2</v>
      </c>
      <c r="F227">
        <v>0</v>
      </c>
      <c r="G227">
        <v>0</v>
      </c>
      <c r="H227">
        <v>2</v>
      </c>
      <c r="I227">
        <v>0</v>
      </c>
      <c r="J227">
        <v>23</v>
      </c>
      <c r="K227">
        <v>23</v>
      </c>
      <c r="L227" s="27">
        <v>46066.487939814811</v>
      </c>
    </row>
    <row r="228" spans="1:12" x14ac:dyDescent="0.25">
      <c r="A228" s="26">
        <v>46026</v>
      </c>
      <c r="B228">
        <v>1</v>
      </c>
      <c r="C228" t="s">
        <v>30</v>
      </c>
      <c r="D228">
        <v>3</v>
      </c>
      <c r="E228">
        <v>5</v>
      </c>
      <c r="F228">
        <v>0</v>
      </c>
      <c r="G228">
        <v>0</v>
      </c>
      <c r="H228">
        <v>3</v>
      </c>
      <c r="I228">
        <v>0</v>
      </c>
      <c r="J228">
        <v>23</v>
      </c>
      <c r="K228">
        <v>24</v>
      </c>
      <c r="L228" s="27">
        <v>46066.487951388888</v>
      </c>
    </row>
    <row r="229" spans="1:12" x14ac:dyDescent="0.25">
      <c r="A229" s="26">
        <v>46027</v>
      </c>
      <c r="B229">
        <v>1</v>
      </c>
      <c r="C229" t="s">
        <v>30</v>
      </c>
      <c r="D229">
        <v>3</v>
      </c>
      <c r="E229">
        <v>4</v>
      </c>
      <c r="F229">
        <v>1</v>
      </c>
      <c r="G229">
        <v>0</v>
      </c>
      <c r="H229">
        <v>0</v>
      </c>
      <c r="I229">
        <v>0</v>
      </c>
      <c r="J229">
        <v>24</v>
      </c>
      <c r="K229">
        <v>22</v>
      </c>
      <c r="L229" s="27">
        <v>46066.487962962965</v>
      </c>
    </row>
    <row r="230" spans="1:12" x14ac:dyDescent="0.25">
      <c r="A230" s="26">
        <v>46028</v>
      </c>
      <c r="B230">
        <v>1</v>
      </c>
      <c r="C230" t="s">
        <v>30</v>
      </c>
      <c r="D230">
        <v>0</v>
      </c>
      <c r="E230">
        <v>8</v>
      </c>
      <c r="F230">
        <v>1</v>
      </c>
      <c r="G230">
        <v>0</v>
      </c>
      <c r="H230">
        <v>2</v>
      </c>
      <c r="I230">
        <v>0</v>
      </c>
      <c r="J230">
        <v>22</v>
      </c>
      <c r="K230">
        <v>15</v>
      </c>
      <c r="L230" s="27">
        <v>46066.487962962965</v>
      </c>
    </row>
    <row r="231" spans="1:12" x14ac:dyDescent="0.25">
      <c r="A231" s="26">
        <v>46029</v>
      </c>
      <c r="B231">
        <v>1</v>
      </c>
      <c r="C231" t="s">
        <v>30</v>
      </c>
      <c r="D231">
        <v>3</v>
      </c>
      <c r="E231">
        <v>3</v>
      </c>
      <c r="F231">
        <v>2</v>
      </c>
      <c r="G231">
        <v>0</v>
      </c>
      <c r="H231">
        <v>1</v>
      </c>
      <c r="I231">
        <v>0</v>
      </c>
      <c r="J231">
        <v>15</v>
      </c>
      <c r="K231">
        <v>14</v>
      </c>
      <c r="L231" s="27">
        <v>46066.487974537034</v>
      </c>
    </row>
    <row r="232" spans="1:12" x14ac:dyDescent="0.25">
      <c r="A232" s="26">
        <v>46030</v>
      </c>
      <c r="B232">
        <v>1</v>
      </c>
      <c r="C232" t="s">
        <v>30</v>
      </c>
      <c r="D232">
        <v>4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14</v>
      </c>
      <c r="K232">
        <v>17</v>
      </c>
      <c r="L232" s="27">
        <v>46066.487986111111</v>
      </c>
    </row>
    <row r="233" spans="1:12" x14ac:dyDescent="0.25">
      <c r="A233" s="26">
        <v>46031</v>
      </c>
      <c r="B233">
        <v>1</v>
      </c>
      <c r="C233" t="s">
        <v>30</v>
      </c>
      <c r="D233">
        <v>1</v>
      </c>
      <c r="E233">
        <v>3</v>
      </c>
      <c r="F233">
        <v>0</v>
      </c>
      <c r="G233">
        <v>0</v>
      </c>
      <c r="H233">
        <v>2</v>
      </c>
      <c r="I233">
        <v>0</v>
      </c>
      <c r="J233">
        <v>17</v>
      </c>
      <c r="K233">
        <v>17</v>
      </c>
      <c r="L233" s="27">
        <v>46066.487986111111</v>
      </c>
    </row>
    <row r="234" spans="1:12" x14ac:dyDescent="0.25">
      <c r="A234" s="26">
        <v>46032</v>
      </c>
      <c r="B234">
        <v>1</v>
      </c>
      <c r="C234" t="s">
        <v>30</v>
      </c>
      <c r="D234">
        <v>1</v>
      </c>
      <c r="E234">
        <v>3</v>
      </c>
      <c r="F234">
        <v>0</v>
      </c>
      <c r="G234">
        <v>0</v>
      </c>
      <c r="H234">
        <v>0</v>
      </c>
      <c r="I234">
        <v>0</v>
      </c>
      <c r="J234">
        <v>17</v>
      </c>
      <c r="K234">
        <v>15</v>
      </c>
      <c r="L234" s="27">
        <v>46066.487997685188</v>
      </c>
    </row>
    <row r="235" spans="1:12" x14ac:dyDescent="0.25">
      <c r="A235" s="26">
        <v>46033</v>
      </c>
      <c r="B235">
        <v>1</v>
      </c>
      <c r="C235" t="s">
        <v>30</v>
      </c>
      <c r="D235">
        <v>1</v>
      </c>
      <c r="E235">
        <v>3</v>
      </c>
      <c r="F235">
        <v>0</v>
      </c>
      <c r="G235">
        <v>0</v>
      </c>
      <c r="H235">
        <v>4</v>
      </c>
      <c r="I235">
        <v>0</v>
      </c>
      <c r="J235">
        <v>15</v>
      </c>
      <c r="K235">
        <v>17</v>
      </c>
      <c r="L235" s="27">
        <v>46066.488009259258</v>
      </c>
    </row>
    <row r="236" spans="1:12" x14ac:dyDescent="0.25">
      <c r="A236" s="26">
        <v>46034</v>
      </c>
      <c r="B236">
        <v>1</v>
      </c>
      <c r="C236" t="s">
        <v>30</v>
      </c>
      <c r="D236">
        <v>6</v>
      </c>
      <c r="E236">
        <v>3</v>
      </c>
      <c r="F236">
        <v>1</v>
      </c>
      <c r="G236">
        <v>0</v>
      </c>
      <c r="H236">
        <v>2</v>
      </c>
      <c r="I236">
        <v>0</v>
      </c>
      <c r="J236">
        <v>17</v>
      </c>
      <c r="K236">
        <v>21</v>
      </c>
      <c r="L236" s="27">
        <v>46066.488009259258</v>
      </c>
    </row>
    <row r="237" spans="1:12" x14ac:dyDescent="0.25">
      <c r="A237" s="26">
        <v>46035</v>
      </c>
      <c r="B237">
        <v>1</v>
      </c>
      <c r="C237" t="s">
        <v>30</v>
      </c>
      <c r="D237">
        <v>4</v>
      </c>
      <c r="E237">
        <v>3</v>
      </c>
      <c r="F237">
        <v>1</v>
      </c>
      <c r="G237">
        <v>0</v>
      </c>
      <c r="H237">
        <v>2</v>
      </c>
      <c r="I237">
        <v>0</v>
      </c>
      <c r="J237">
        <v>21</v>
      </c>
      <c r="K237">
        <v>23</v>
      </c>
      <c r="L237" s="27">
        <v>46066.488020833334</v>
      </c>
    </row>
    <row r="238" spans="1:12" x14ac:dyDescent="0.25">
      <c r="A238" s="26">
        <v>46036</v>
      </c>
      <c r="B238">
        <v>1</v>
      </c>
      <c r="C238" t="s">
        <v>30</v>
      </c>
      <c r="D238">
        <v>1</v>
      </c>
      <c r="E238">
        <v>1</v>
      </c>
      <c r="F238">
        <v>0</v>
      </c>
      <c r="G238">
        <v>0</v>
      </c>
      <c r="H238">
        <v>1</v>
      </c>
      <c r="I238">
        <v>0</v>
      </c>
      <c r="J238">
        <v>23</v>
      </c>
      <c r="K238">
        <v>24</v>
      </c>
      <c r="L238" s="27">
        <v>46066.488032407404</v>
      </c>
    </row>
    <row r="239" spans="1:12" x14ac:dyDescent="0.25">
      <c r="A239" s="26">
        <v>46037</v>
      </c>
      <c r="B239">
        <v>1</v>
      </c>
      <c r="C239" t="s">
        <v>30</v>
      </c>
      <c r="D239">
        <v>4</v>
      </c>
      <c r="E239">
        <v>4</v>
      </c>
      <c r="F239">
        <v>0</v>
      </c>
      <c r="G239">
        <v>0</v>
      </c>
      <c r="H239">
        <v>0</v>
      </c>
      <c r="I239">
        <v>0</v>
      </c>
      <c r="J239">
        <v>24</v>
      </c>
      <c r="K239">
        <v>24</v>
      </c>
      <c r="L239" s="27">
        <v>46066.488032407404</v>
      </c>
    </row>
    <row r="240" spans="1:12" x14ac:dyDescent="0.25">
      <c r="A240" s="26">
        <v>46038</v>
      </c>
      <c r="B240">
        <v>1</v>
      </c>
      <c r="C240" t="s">
        <v>30</v>
      </c>
      <c r="D240">
        <v>4</v>
      </c>
      <c r="E240">
        <v>2</v>
      </c>
      <c r="F240">
        <v>2</v>
      </c>
      <c r="G240">
        <v>0</v>
      </c>
      <c r="H240">
        <v>0</v>
      </c>
      <c r="I240">
        <v>0</v>
      </c>
      <c r="J240">
        <v>24</v>
      </c>
      <c r="K240">
        <v>24</v>
      </c>
      <c r="L240" s="27">
        <v>46066.488043981481</v>
      </c>
    </row>
    <row r="241" spans="1:12" x14ac:dyDescent="0.25">
      <c r="A241" s="26">
        <v>46039</v>
      </c>
      <c r="B241">
        <v>1</v>
      </c>
      <c r="C241" t="s">
        <v>30</v>
      </c>
      <c r="D241">
        <v>0</v>
      </c>
      <c r="E241">
        <v>2</v>
      </c>
      <c r="F241">
        <v>1</v>
      </c>
      <c r="G241">
        <v>0</v>
      </c>
      <c r="H241">
        <v>3</v>
      </c>
      <c r="I241">
        <v>0</v>
      </c>
      <c r="J241">
        <v>24</v>
      </c>
      <c r="K241">
        <v>24</v>
      </c>
      <c r="L241" s="27">
        <v>46066.488055555557</v>
      </c>
    </row>
    <row r="242" spans="1:12" x14ac:dyDescent="0.25">
      <c r="A242" s="26">
        <v>46040</v>
      </c>
      <c r="B242">
        <v>1</v>
      </c>
      <c r="C242" t="s">
        <v>30</v>
      </c>
      <c r="D242">
        <v>1</v>
      </c>
      <c r="E242">
        <v>3</v>
      </c>
      <c r="F242">
        <v>0</v>
      </c>
      <c r="G242">
        <v>0</v>
      </c>
      <c r="H242">
        <v>1</v>
      </c>
      <c r="I242">
        <v>0</v>
      </c>
      <c r="J242">
        <v>24</v>
      </c>
      <c r="K242">
        <v>23</v>
      </c>
      <c r="L242" s="27">
        <v>46066.488055555557</v>
      </c>
    </row>
    <row r="243" spans="1:12" x14ac:dyDescent="0.25">
      <c r="A243" s="26">
        <v>46041</v>
      </c>
      <c r="B243">
        <v>1</v>
      </c>
      <c r="C243" t="s">
        <v>30</v>
      </c>
      <c r="D243">
        <v>1</v>
      </c>
      <c r="E243">
        <v>5</v>
      </c>
      <c r="F243">
        <v>0</v>
      </c>
      <c r="G243">
        <v>0</v>
      </c>
      <c r="H243">
        <v>0</v>
      </c>
      <c r="I243">
        <v>0</v>
      </c>
      <c r="J243">
        <v>23</v>
      </c>
      <c r="K243">
        <v>19</v>
      </c>
      <c r="L243" s="27">
        <v>46066.488067129627</v>
      </c>
    </row>
    <row r="244" spans="1:12" x14ac:dyDescent="0.25">
      <c r="A244" s="26">
        <v>46042</v>
      </c>
      <c r="B244">
        <v>1</v>
      </c>
      <c r="C244" t="s">
        <v>30</v>
      </c>
      <c r="D244">
        <v>7</v>
      </c>
      <c r="E244">
        <v>7</v>
      </c>
      <c r="F244">
        <v>0</v>
      </c>
      <c r="G244">
        <v>0</v>
      </c>
      <c r="H244">
        <v>1</v>
      </c>
      <c r="I244">
        <v>0</v>
      </c>
      <c r="J244">
        <v>19</v>
      </c>
      <c r="K244">
        <v>20</v>
      </c>
      <c r="L244" s="27">
        <v>46066.488078703704</v>
      </c>
    </row>
    <row r="245" spans="1:12" x14ac:dyDescent="0.25">
      <c r="A245" s="26">
        <v>46043</v>
      </c>
      <c r="B245">
        <v>1</v>
      </c>
      <c r="C245" t="s">
        <v>30</v>
      </c>
      <c r="D245">
        <v>1</v>
      </c>
      <c r="E245">
        <v>0</v>
      </c>
      <c r="F245">
        <v>0</v>
      </c>
      <c r="G245">
        <v>0</v>
      </c>
      <c r="H245">
        <v>1</v>
      </c>
      <c r="I245">
        <v>0</v>
      </c>
      <c r="J245">
        <v>20</v>
      </c>
      <c r="K245">
        <v>22</v>
      </c>
      <c r="L245" s="27">
        <v>46066.48809027778</v>
      </c>
    </row>
    <row r="246" spans="1:12" x14ac:dyDescent="0.25">
      <c r="A246" s="26">
        <v>46044</v>
      </c>
      <c r="B246">
        <v>1</v>
      </c>
      <c r="C246" t="s">
        <v>30</v>
      </c>
      <c r="D246">
        <v>3</v>
      </c>
      <c r="E246">
        <v>5</v>
      </c>
      <c r="F246">
        <v>0</v>
      </c>
      <c r="G246">
        <v>0</v>
      </c>
      <c r="H246">
        <v>3</v>
      </c>
      <c r="I246">
        <v>0</v>
      </c>
      <c r="J246">
        <v>22</v>
      </c>
      <c r="K246">
        <v>23</v>
      </c>
      <c r="L246" s="27">
        <v>46066.48809027778</v>
      </c>
    </row>
    <row r="247" spans="1:12" x14ac:dyDescent="0.25">
      <c r="A247" s="26">
        <v>46045</v>
      </c>
      <c r="B247">
        <v>1</v>
      </c>
      <c r="C247" t="s">
        <v>30</v>
      </c>
      <c r="D247">
        <v>4</v>
      </c>
      <c r="E247">
        <v>6</v>
      </c>
      <c r="F247">
        <v>0</v>
      </c>
      <c r="G247">
        <v>0</v>
      </c>
      <c r="H247">
        <v>2</v>
      </c>
      <c r="I247">
        <v>0</v>
      </c>
      <c r="J247">
        <v>23</v>
      </c>
      <c r="K247">
        <v>23</v>
      </c>
      <c r="L247" s="27">
        <v>46066.48810185185</v>
      </c>
    </row>
    <row r="248" spans="1:12" x14ac:dyDescent="0.25">
      <c r="A248" s="26">
        <v>46046</v>
      </c>
      <c r="B248">
        <v>1</v>
      </c>
      <c r="C248" t="s">
        <v>30</v>
      </c>
      <c r="D248">
        <v>3</v>
      </c>
      <c r="E248">
        <v>2</v>
      </c>
      <c r="F248">
        <v>0</v>
      </c>
      <c r="G248">
        <v>0</v>
      </c>
      <c r="H248">
        <v>2</v>
      </c>
      <c r="I248">
        <v>0</v>
      </c>
      <c r="J248">
        <v>23</v>
      </c>
      <c r="K248">
        <v>26</v>
      </c>
      <c r="L248" s="27">
        <v>46066.488113425927</v>
      </c>
    </row>
    <row r="249" spans="1:12" x14ac:dyDescent="0.25">
      <c r="A249" s="26">
        <v>46047</v>
      </c>
      <c r="B249">
        <v>1</v>
      </c>
      <c r="C249" t="s">
        <v>30</v>
      </c>
      <c r="D249">
        <v>1</v>
      </c>
      <c r="E249">
        <v>4</v>
      </c>
      <c r="F249">
        <v>0</v>
      </c>
      <c r="G249">
        <v>0</v>
      </c>
      <c r="H249">
        <v>2</v>
      </c>
      <c r="I249">
        <v>0</v>
      </c>
      <c r="J249">
        <v>26</v>
      </c>
      <c r="K249">
        <v>25</v>
      </c>
      <c r="L249" s="27">
        <v>46066.488113425927</v>
      </c>
    </row>
    <row r="250" spans="1:12" x14ac:dyDescent="0.25">
      <c r="A250" s="26">
        <v>46048</v>
      </c>
      <c r="B250">
        <v>1</v>
      </c>
      <c r="C250" t="s">
        <v>30</v>
      </c>
      <c r="D250">
        <v>0</v>
      </c>
      <c r="E250">
        <v>4</v>
      </c>
      <c r="F250">
        <v>0</v>
      </c>
      <c r="G250">
        <v>0</v>
      </c>
      <c r="H250">
        <v>1</v>
      </c>
      <c r="I250">
        <v>0</v>
      </c>
      <c r="J250">
        <v>25</v>
      </c>
      <c r="K250">
        <v>22</v>
      </c>
      <c r="L250" s="27">
        <v>46066.488125000003</v>
      </c>
    </row>
    <row r="251" spans="1:12" x14ac:dyDescent="0.25">
      <c r="A251" s="26">
        <v>46049</v>
      </c>
      <c r="B251">
        <v>1</v>
      </c>
      <c r="C251" t="s">
        <v>30</v>
      </c>
      <c r="D251">
        <v>2</v>
      </c>
      <c r="E251">
        <v>5</v>
      </c>
      <c r="F251">
        <v>1</v>
      </c>
      <c r="G251">
        <v>0</v>
      </c>
      <c r="H251">
        <v>2</v>
      </c>
      <c r="I251">
        <v>0</v>
      </c>
      <c r="J251">
        <v>22</v>
      </c>
      <c r="K251">
        <v>20</v>
      </c>
      <c r="L251" s="27">
        <v>46066.488136574073</v>
      </c>
    </row>
    <row r="252" spans="1:12" x14ac:dyDescent="0.25">
      <c r="A252" s="26">
        <v>46050</v>
      </c>
      <c r="B252">
        <v>1</v>
      </c>
      <c r="C252" t="s">
        <v>30</v>
      </c>
      <c r="D252">
        <v>3</v>
      </c>
      <c r="E252">
        <v>0</v>
      </c>
      <c r="F252">
        <v>0</v>
      </c>
      <c r="G252">
        <v>0</v>
      </c>
      <c r="H252">
        <v>2</v>
      </c>
      <c r="I252">
        <v>0</v>
      </c>
      <c r="J252">
        <v>20</v>
      </c>
      <c r="K252">
        <v>25</v>
      </c>
      <c r="L252" s="27">
        <v>46066.488136574073</v>
      </c>
    </row>
    <row r="253" spans="1:12" x14ac:dyDescent="0.25">
      <c r="A253" s="26">
        <v>46051</v>
      </c>
      <c r="B253">
        <v>1</v>
      </c>
      <c r="C253" t="s">
        <v>30</v>
      </c>
      <c r="D253">
        <v>1</v>
      </c>
      <c r="E253">
        <v>6</v>
      </c>
      <c r="F253">
        <v>0</v>
      </c>
      <c r="G253">
        <v>0</v>
      </c>
      <c r="H253">
        <v>0</v>
      </c>
      <c r="I253">
        <v>0</v>
      </c>
      <c r="J253">
        <v>25</v>
      </c>
      <c r="K253">
        <v>20</v>
      </c>
      <c r="L253" s="27">
        <v>46066.48814814815</v>
      </c>
    </row>
    <row r="254" spans="1:12" x14ac:dyDescent="0.25">
      <c r="A254" s="26">
        <v>46052</v>
      </c>
      <c r="B254">
        <v>1</v>
      </c>
      <c r="C254" t="s">
        <v>30</v>
      </c>
      <c r="D254">
        <v>0</v>
      </c>
      <c r="E254">
        <v>6</v>
      </c>
      <c r="F254">
        <v>0</v>
      </c>
      <c r="G254">
        <v>0</v>
      </c>
      <c r="H254">
        <v>0</v>
      </c>
      <c r="I254">
        <v>0</v>
      </c>
      <c r="J254">
        <v>20</v>
      </c>
      <c r="K254">
        <v>14</v>
      </c>
      <c r="L254" s="27">
        <v>46066.488159722219</v>
      </c>
    </row>
    <row r="255" spans="1:12" x14ac:dyDescent="0.25">
      <c r="A255" s="26">
        <v>46053</v>
      </c>
      <c r="B255">
        <v>1</v>
      </c>
      <c r="C255" t="s">
        <v>30</v>
      </c>
      <c r="D255">
        <v>3</v>
      </c>
      <c r="E255">
        <v>1</v>
      </c>
      <c r="F255">
        <v>0</v>
      </c>
      <c r="G255">
        <v>0</v>
      </c>
      <c r="H255">
        <v>3</v>
      </c>
      <c r="I255">
        <v>0</v>
      </c>
      <c r="J255">
        <v>14</v>
      </c>
      <c r="K255">
        <v>19</v>
      </c>
      <c r="L255" s="27">
        <v>46066.488159722219</v>
      </c>
    </row>
    <row r="256" spans="1:12" x14ac:dyDescent="0.25">
      <c r="A256" s="26">
        <v>46054</v>
      </c>
      <c r="B256">
        <v>2</v>
      </c>
      <c r="C256" t="s">
        <v>30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19</v>
      </c>
      <c r="K256">
        <v>19</v>
      </c>
      <c r="L256" s="27">
        <v>46066.488171296296</v>
      </c>
    </row>
    <row r="257" spans="1:12" x14ac:dyDescent="0.25">
      <c r="A257" s="26">
        <v>46056</v>
      </c>
      <c r="B257">
        <v>2</v>
      </c>
      <c r="C257" t="s">
        <v>30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19</v>
      </c>
      <c r="K257">
        <v>19</v>
      </c>
      <c r="L257" s="27">
        <v>46066.488182870373</v>
      </c>
    </row>
    <row r="258" spans="1:12" x14ac:dyDescent="0.25">
      <c r="A258" s="26">
        <v>46057</v>
      </c>
      <c r="B258">
        <v>2</v>
      </c>
      <c r="C258" t="s">
        <v>30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19</v>
      </c>
      <c r="K258">
        <v>19</v>
      </c>
      <c r="L258" s="27">
        <v>46066.488194444442</v>
      </c>
    </row>
    <row r="259" spans="1:12" x14ac:dyDescent="0.25">
      <c r="A259" s="26">
        <v>46058</v>
      </c>
      <c r="B259">
        <v>2</v>
      </c>
      <c r="C259" t="s">
        <v>30</v>
      </c>
      <c r="D259">
        <v>3</v>
      </c>
      <c r="E259">
        <v>4</v>
      </c>
      <c r="F259">
        <v>1</v>
      </c>
      <c r="G259">
        <v>0</v>
      </c>
      <c r="H259">
        <v>0</v>
      </c>
      <c r="I259">
        <v>0</v>
      </c>
      <c r="J259">
        <v>19</v>
      </c>
      <c r="K259">
        <v>17</v>
      </c>
      <c r="L259" s="27">
        <v>46066.488194444442</v>
      </c>
    </row>
    <row r="260" spans="1:12" x14ac:dyDescent="0.25">
      <c r="A260" s="26">
        <v>46059</v>
      </c>
      <c r="B260">
        <v>2</v>
      </c>
      <c r="C260" t="s">
        <v>30</v>
      </c>
      <c r="D260">
        <v>0</v>
      </c>
      <c r="E260">
        <v>8</v>
      </c>
      <c r="F260">
        <v>1</v>
      </c>
      <c r="G260">
        <v>0</v>
      </c>
      <c r="H260">
        <v>2</v>
      </c>
      <c r="I260">
        <v>0</v>
      </c>
      <c r="J260">
        <v>17</v>
      </c>
      <c r="K260">
        <v>10</v>
      </c>
      <c r="L260" s="27">
        <v>46066.488206018519</v>
      </c>
    </row>
    <row r="261" spans="1:12" x14ac:dyDescent="0.25">
      <c r="A261" s="26">
        <v>46060</v>
      </c>
      <c r="B261">
        <v>2</v>
      </c>
      <c r="C261" t="s">
        <v>30</v>
      </c>
      <c r="D261">
        <v>3</v>
      </c>
      <c r="E261">
        <v>3</v>
      </c>
      <c r="F261">
        <v>2</v>
      </c>
      <c r="G261">
        <v>0</v>
      </c>
      <c r="H261">
        <v>1</v>
      </c>
      <c r="I261">
        <v>0</v>
      </c>
      <c r="J261">
        <v>10</v>
      </c>
      <c r="K261">
        <v>9</v>
      </c>
      <c r="L261" s="27">
        <v>46066.488217592596</v>
      </c>
    </row>
    <row r="262" spans="1:12" x14ac:dyDescent="0.25">
      <c r="A262" s="26">
        <v>46061</v>
      </c>
      <c r="B262">
        <v>2</v>
      </c>
      <c r="C262" t="s">
        <v>30</v>
      </c>
      <c r="D262">
        <v>4</v>
      </c>
      <c r="E262">
        <v>1</v>
      </c>
      <c r="F262">
        <v>0</v>
      </c>
      <c r="G262">
        <v>0</v>
      </c>
      <c r="H262">
        <v>0</v>
      </c>
      <c r="I262">
        <v>0</v>
      </c>
      <c r="J262">
        <v>9</v>
      </c>
      <c r="K262">
        <v>12</v>
      </c>
      <c r="L262" s="27">
        <v>46066.488217592596</v>
      </c>
    </row>
    <row r="263" spans="1:12" x14ac:dyDescent="0.25">
      <c r="A263" s="26">
        <v>46062</v>
      </c>
      <c r="B263">
        <v>2</v>
      </c>
      <c r="C263" t="s">
        <v>30</v>
      </c>
      <c r="D263">
        <v>1</v>
      </c>
      <c r="E263">
        <v>3</v>
      </c>
      <c r="F263">
        <v>0</v>
      </c>
      <c r="G263">
        <v>0</v>
      </c>
      <c r="H263">
        <v>2</v>
      </c>
      <c r="I263">
        <v>0</v>
      </c>
      <c r="J263">
        <v>12</v>
      </c>
      <c r="K263">
        <v>12</v>
      </c>
      <c r="L263" s="27">
        <v>46066.488229166665</v>
      </c>
    </row>
    <row r="264" spans="1:12" x14ac:dyDescent="0.25">
      <c r="A264" s="26">
        <v>46063</v>
      </c>
      <c r="B264">
        <v>2</v>
      </c>
      <c r="C264" t="s">
        <v>30</v>
      </c>
      <c r="D264">
        <v>1</v>
      </c>
      <c r="E264">
        <v>3</v>
      </c>
      <c r="F264">
        <v>0</v>
      </c>
      <c r="G264">
        <v>0</v>
      </c>
      <c r="H264">
        <v>0</v>
      </c>
      <c r="I264">
        <v>0</v>
      </c>
      <c r="J264">
        <v>12</v>
      </c>
      <c r="K264">
        <v>10</v>
      </c>
      <c r="L264" s="27">
        <v>46066.488240740742</v>
      </c>
    </row>
    <row r="265" spans="1:12" x14ac:dyDescent="0.25">
      <c r="A265" s="26">
        <v>46064</v>
      </c>
      <c r="B265">
        <v>2</v>
      </c>
      <c r="C265" t="s">
        <v>30</v>
      </c>
      <c r="D265">
        <v>1</v>
      </c>
      <c r="E265">
        <v>3</v>
      </c>
      <c r="F265">
        <v>0</v>
      </c>
      <c r="G265">
        <v>0</v>
      </c>
      <c r="H265">
        <v>4</v>
      </c>
      <c r="I265">
        <v>0</v>
      </c>
      <c r="J265">
        <v>10</v>
      </c>
      <c r="K265">
        <v>12</v>
      </c>
      <c r="L265" s="27">
        <v>46066.488240740742</v>
      </c>
    </row>
    <row r="266" spans="1:12" x14ac:dyDescent="0.25">
      <c r="A266" s="26">
        <v>46065</v>
      </c>
      <c r="B266">
        <v>2</v>
      </c>
      <c r="C266" t="s">
        <v>30</v>
      </c>
      <c r="D266">
        <v>6</v>
      </c>
      <c r="E266">
        <v>3</v>
      </c>
      <c r="F266">
        <v>1</v>
      </c>
      <c r="G266">
        <v>0</v>
      </c>
      <c r="H266">
        <v>2</v>
      </c>
      <c r="I266">
        <v>0</v>
      </c>
      <c r="J266">
        <v>12</v>
      </c>
      <c r="K266">
        <v>16</v>
      </c>
      <c r="L266" s="27">
        <v>46066.488252314812</v>
      </c>
    </row>
    <row r="267" spans="1:12" x14ac:dyDescent="0.25">
      <c r="A267" s="26">
        <v>46066</v>
      </c>
      <c r="B267">
        <v>2</v>
      </c>
      <c r="C267" t="s">
        <v>30</v>
      </c>
      <c r="D267">
        <v>4</v>
      </c>
      <c r="E267">
        <v>3</v>
      </c>
      <c r="F267">
        <v>1</v>
      </c>
      <c r="G267">
        <v>0</v>
      </c>
      <c r="H267">
        <v>2</v>
      </c>
      <c r="I267">
        <v>0</v>
      </c>
      <c r="J267">
        <v>16</v>
      </c>
      <c r="K267">
        <v>18</v>
      </c>
      <c r="L267" s="27">
        <v>46066.488263888888</v>
      </c>
    </row>
    <row r="268" spans="1:12" x14ac:dyDescent="0.25">
      <c r="A268" s="26">
        <v>46067</v>
      </c>
      <c r="B268">
        <v>2</v>
      </c>
      <c r="C268" t="s">
        <v>30</v>
      </c>
      <c r="D268">
        <v>1</v>
      </c>
      <c r="E268">
        <v>1</v>
      </c>
      <c r="F268">
        <v>0</v>
      </c>
      <c r="G268">
        <v>0</v>
      </c>
      <c r="H268">
        <v>1</v>
      </c>
      <c r="I268">
        <v>0</v>
      </c>
      <c r="J268">
        <v>18</v>
      </c>
      <c r="K268">
        <v>19</v>
      </c>
      <c r="L268" s="27">
        <v>46066.488263888888</v>
      </c>
    </row>
    <row r="269" spans="1:12" x14ac:dyDescent="0.25">
      <c r="A269" s="26">
        <v>46068</v>
      </c>
      <c r="B269">
        <v>2</v>
      </c>
      <c r="C269" t="s">
        <v>30</v>
      </c>
      <c r="D269">
        <v>4</v>
      </c>
      <c r="E269">
        <v>4</v>
      </c>
      <c r="F269">
        <v>0</v>
      </c>
      <c r="G269">
        <v>0</v>
      </c>
      <c r="H269">
        <v>0</v>
      </c>
      <c r="I269">
        <v>0</v>
      </c>
      <c r="J269">
        <v>19</v>
      </c>
      <c r="K269">
        <v>19</v>
      </c>
      <c r="L269" s="27">
        <v>46066.488275462965</v>
      </c>
    </row>
    <row r="270" spans="1:12" x14ac:dyDescent="0.25">
      <c r="A270" s="26">
        <v>46069</v>
      </c>
      <c r="B270">
        <v>2</v>
      </c>
      <c r="C270" t="s">
        <v>30</v>
      </c>
      <c r="D270">
        <v>4</v>
      </c>
      <c r="E270">
        <v>2</v>
      </c>
      <c r="F270">
        <v>2</v>
      </c>
      <c r="G270">
        <v>0</v>
      </c>
      <c r="H270">
        <v>0</v>
      </c>
      <c r="I270">
        <v>0</v>
      </c>
      <c r="J270">
        <v>19</v>
      </c>
      <c r="K270">
        <v>19</v>
      </c>
      <c r="L270" s="27">
        <v>46066.488287037035</v>
      </c>
    </row>
    <row r="271" spans="1:12" x14ac:dyDescent="0.25">
      <c r="A271" s="26">
        <v>46070</v>
      </c>
      <c r="B271">
        <v>2</v>
      </c>
      <c r="C271" t="s">
        <v>30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19</v>
      </c>
      <c r="K271">
        <v>19</v>
      </c>
      <c r="L271" s="27">
        <v>46066.488287037035</v>
      </c>
    </row>
    <row r="272" spans="1:12" x14ac:dyDescent="0.25">
      <c r="A272" s="26">
        <v>46023</v>
      </c>
      <c r="B272">
        <v>1</v>
      </c>
      <c r="C272" t="s">
        <v>42</v>
      </c>
      <c r="D272">
        <v>0</v>
      </c>
      <c r="E272">
        <v>2</v>
      </c>
      <c r="F272">
        <v>0</v>
      </c>
      <c r="G272">
        <v>0</v>
      </c>
      <c r="H272">
        <v>0</v>
      </c>
      <c r="I272">
        <v>0</v>
      </c>
      <c r="J272">
        <v>14</v>
      </c>
      <c r="K272">
        <v>12</v>
      </c>
      <c r="L272" s="27">
        <v>46066.488298611112</v>
      </c>
    </row>
    <row r="273" spans="1:12" x14ac:dyDescent="0.25">
      <c r="A273" s="26">
        <v>46024</v>
      </c>
      <c r="B273">
        <v>1</v>
      </c>
      <c r="C273" t="s">
        <v>42</v>
      </c>
      <c r="D273">
        <v>0</v>
      </c>
      <c r="E273">
        <v>2</v>
      </c>
      <c r="F273">
        <v>0</v>
      </c>
      <c r="G273">
        <v>0</v>
      </c>
      <c r="H273">
        <v>0</v>
      </c>
      <c r="I273">
        <v>0</v>
      </c>
      <c r="J273">
        <v>12</v>
      </c>
      <c r="K273">
        <v>10</v>
      </c>
      <c r="L273" s="27">
        <v>46066.488310185188</v>
      </c>
    </row>
    <row r="274" spans="1:12" x14ac:dyDescent="0.25">
      <c r="A274" s="26">
        <v>46025</v>
      </c>
      <c r="B274">
        <v>1</v>
      </c>
      <c r="C274" t="s">
        <v>42</v>
      </c>
      <c r="D274">
        <v>1</v>
      </c>
      <c r="E274">
        <v>1</v>
      </c>
      <c r="F274">
        <v>1</v>
      </c>
      <c r="G274">
        <v>0</v>
      </c>
      <c r="H274">
        <v>0</v>
      </c>
      <c r="I274">
        <v>0</v>
      </c>
      <c r="J274">
        <v>10</v>
      </c>
      <c r="K274">
        <v>9</v>
      </c>
      <c r="L274" s="27">
        <v>46066.488321759258</v>
      </c>
    </row>
    <row r="275" spans="1:12" x14ac:dyDescent="0.25">
      <c r="A275" s="26">
        <v>46026</v>
      </c>
      <c r="B275">
        <v>1</v>
      </c>
      <c r="C275" t="s">
        <v>42</v>
      </c>
      <c r="D275">
        <v>0</v>
      </c>
      <c r="E275">
        <v>0</v>
      </c>
      <c r="F275">
        <v>1</v>
      </c>
      <c r="G275">
        <v>0</v>
      </c>
      <c r="H275">
        <v>0</v>
      </c>
      <c r="I275">
        <v>0</v>
      </c>
      <c r="J275">
        <v>9</v>
      </c>
      <c r="K275">
        <v>8</v>
      </c>
      <c r="L275" s="27">
        <v>46066.488321759258</v>
      </c>
    </row>
    <row r="276" spans="1:12" x14ac:dyDescent="0.25">
      <c r="A276" s="26">
        <v>46027</v>
      </c>
      <c r="B276">
        <v>1</v>
      </c>
      <c r="C276" t="s">
        <v>42</v>
      </c>
      <c r="D276">
        <v>2</v>
      </c>
      <c r="E276">
        <v>1</v>
      </c>
      <c r="F276">
        <v>0</v>
      </c>
      <c r="G276">
        <v>0</v>
      </c>
      <c r="H276">
        <v>0</v>
      </c>
      <c r="I276">
        <v>0</v>
      </c>
      <c r="J276">
        <v>8</v>
      </c>
      <c r="K276">
        <v>9</v>
      </c>
      <c r="L276" s="27">
        <v>46066.488333333335</v>
      </c>
    </row>
    <row r="277" spans="1:12" x14ac:dyDescent="0.25">
      <c r="A277" s="26">
        <v>46028</v>
      </c>
      <c r="B277">
        <v>1</v>
      </c>
      <c r="C277" t="s">
        <v>42</v>
      </c>
      <c r="D277">
        <v>4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9</v>
      </c>
      <c r="K277">
        <v>13</v>
      </c>
      <c r="L277" s="27">
        <v>46066.488344907404</v>
      </c>
    </row>
    <row r="278" spans="1:12" x14ac:dyDescent="0.25">
      <c r="A278" s="26">
        <v>46029</v>
      </c>
      <c r="B278">
        <v>1</v>
      </c>
      <c r="C278" t="s">
        <v>42</v>
      </c>
      <c r="D278">
        <v>4</v>
      </c>
      <c r="E278">
        <v>2</v>
      </c>
      <c r="F278">
        <v>0</v>
      </c>
      <c r="G278">
        <v>0</v>
      </c>
      <c r="H278">
        <v>0</v>
      </c>
      <c r="I278">
        <v>0</v>
      </c>
      <c r="J278">
        <v>13</v>
      </c>
      <c r="K278">
        <v>15</v>
      </c>
      <c r="L278" s="27">
        <v>46066.488344907404</v>
      </c>
    </row>
    <row r="279" spans="1:12" x14ac:dyDescent="0.25">
      <c r="A279" s="26">
        <v>46030</v>
      </c>
      <c r="B279">
        <v>1</v>
      </c>
      <c r="C279" t="s">
        <v>42</v>
      </c>
      <c r="D279">
        <v>2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15</v>
      </c>
      <c r="K279">
        <v>16</v>
      </c>
      <c r="L279" s="27">
        <v>46066.488356481481</v>
      </c>
    </row>
    <row r="280" spans="1:12" x14ac:dyDescent="0.25">
      <c r="A280" s="26">
        <v>46031</v>
      </c>
      <c r="B280">
        <v>1</v>
      </c>
      <c r="C280" t="s">
        <v>42</v>
      </c>
      <c r="D280">
        <v>2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16</v>
      </c>
      <c r="K280">
        <v>18</v>
      </c>
      <c r="L280" s="27">
        <v>46066.488368055558</v>
      </c>
    </row>
    <row r="281" spans="1:12" x14ac:dyDescent="0.25">
      <c r="A281" s="26">
        <v>46032</v>
      </c>
      <c r="B281">
        <v>1</v>
      </c>
      <c r="C281" t="s">
        <v>42</v>
      </c>
      <c r="D281">
        <v>1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18</v>
      </c>
      <c r="K281">
        <v>18</v>
      </c>
      <c r="L281" s="27">
        <v>46066.488368055558</v>
      </c>
    </row>
    <row r="282" spans="1:12" x14ac:dyDescent="0.25">
      <c r="A282" s="26">
        <v>46033</v>
      </c>
      <c r="B282">
        <v>1</v>
      </c>
      <c r="C282" t="s">
        <v>42</v>
      </c>
      <c r="D282">
        <v>1</v>
      </c>
      <c r="E282">
        <v>1</v>
      </c>
      <c r="F282">
        <v>0</v>
      </c>
      <c r="G282">
        <v>0</v>
      </c>
      <c r="H282">
        <v>0</v>
      </c>
      <c r="I282">
        <v>0</v>
      </c>
      <c r="J282">
        <v>18</v>
      </c>
      <c r="K282">
        <v>18</v>
      </c>
      <c r="L282" s="27">
        <v>46066.488379629627</v>
      </c>
    </row>
    <row r="283" spans="1:12" x14ac:dyDescent="0.25">
      <c r="A283" s="26">
        <v>46034</v>
      </c>
      <c r="B283">
        <v>1</v>
      </c>
      <c r="C283" t="s">
        <v>42</v>
      </c>
      <c r="D283">
        <v>4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18</v>
      </c>
      <c r="K283">
        <v>22</v>
      </c>
      <c r="L283" s="27">
        <v>46066.488391203704</v>
      </c>
    </row>
    <row r="284" spans="1:12" x14ac:dyDescent="0.25">
      <c r="A284" s="26">
        <v>46035</v>
      </c>
      <c r="B284">
        <v>1</v>
      </c>
      <c r="C284" t="s">
        <v>42</v>
      </c>
      <c r="D284">
        <v>4</v>
      </c>
      <c r="E284">
        <v>4</v>
      </c>
      <c r="F284">
        <v>0</v>
      </c>
      <c r="G284">
        <v>0</v>
      </c>
      <c r="H284">
        <v>0</v>
      </c>
      <c r="I284">
        <v>0</v>
      </c>
      <c r="J284">
        <v>22</v>
      </c>
      <c r="K284">
        <v>22</v>
      </c>
      <c r="L284" s="27">
        <v>46066.488391203704</v>
      </c>
    </row>
    <row r="285" spans="1:12" x14ac:dyDescent="0.25">
      <c r="A285" s="26">
        <v>46036</v>
      </c>
      <c r="B285">
        <v>1</v>
      </c>
      <c r="C285" t="s">
        <v>42</v>
      </c>
      <c r="D285">
        <v>3</v>
      </c>
      <c r="E285">
        <v>4</v>
      </c>
      <c r="F285">
        <v>1</v>
      </c>
      <c r="G285">
        <v>0</v>
      </c>
      <c r="H285">
        <v>0</v>
      </c>
      <c r="I285">
        <v>0</v>
      </c>
      <c r="J285">
        <v>22</v>
      </c>
      <c r="K285">
        <v>20</v>
      </c>
      <c r="L285" s="27">
        <v>46066.488402777781</v>
      </c>
    </row>
    <row r="286" spans="1:12" x14ac:dyDescent="0.25">
      <c r="A286" s="26">
        <v>46037</v>
      </c>
      <c r="B286">
        <v>1</v>
      </c>
      <c r="C286" t="s">
        <v>42</v>
      </c>
      <c r="D286">
        <v>0</v>
      </c>
      <c r="E286">
        <v>3</v>
      </c>
      <c r="F286">
        <v>0</v>
      </c>
      <c r="G286">
        <v>0</v>
      </c>
      <c r="H286">
        <v>0</v>
      </c>
      <c r="I286">
        <v>0</v>
      </c>
      <c r="J286">
        <v>20</v>
      </c>
      <c r="K286">
        <v>17</v>
      </c>
      <c r="L286" s="27">
        <v>46066.48841435185</v>
      </c>
    </row>
    <row r="287" spans="1:12" x14ac:dyDescent="0.25">
      <c r="A287" s="26">
        <v>46038</v>
      </c>
      <c r="B287">
        <v>1</v>
      </c>
      <c r="C287" t="s">
        <v>42</v>
      </c>
      <c r="D287">
        <v>0</v>
      </c>
      <c r="E287">
        <v>4</v>
      </c>
      <c r="F287">
        <v>0</v>
      </c>
      <c r="G287">
        <v>0</v>
      </c>
      <c r="H287">
        <v>0</v>
      </c>
      <c r="I287">
        <v>0</v>
      </c>
      <c r="J287">
        <v>17</v>
      </c>
      <c r="K287">
        <v>13</v>
      </c>
      <c r="L287" s="27">
        <v>46066.48841435185</v>
      </c>
    </row>
    <row r="288" spans="1:12" x14ac:dyDescent="0.25">
      <c r="A288" s="26">
        <v>46039</v>
      </c>
      <c r="B288">
        <v>1</v>
      </c>
      <c r="C288" t="s">
        <v>42</v>
      </c>
      <c r="D288">
        <v>1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13</v>
      </c>
      <c r="K288">
        <v>14</v>
      </c>
      <c r="L288" s="27">
        <v>46066.488425925927</v>
      </c>
    </row>
    <row r="289" spans="1:12" x14ac:dyDescent="0.25">
      <c r="A289" s="26">
        <v>46040</v>
      </c>
      <c r="B289">
        <v>1</v>
      </c>
      <c r="C289" t="s">
        <v>42</v>
      </c>
      <c r="D289">
        <v>2</v>
      </c>
      <c r="E289">
        <v>0</v>
      </c>
      <c r="F289">
        <v>1</v>
      </c>
      <c r="G289">
        <v>0</v>
      </c>
      <c r="H289">
        <v>0</v>
      </c>
      <c r="I289">
        <v>0</v>
      </c>
      <c r="J289">
        <v>14</v>
      </c>
      <c r="K289">
        <v>15</v>
      </c>
      <c r="L289" s="27">
        <v>46066.488437499997</v>
      </c>
    </row>
    <row r="290" spans="1:12" x14ac:dyDescent="0.25">
      <c r="A290" s="26">
        <v>46041</v>
      </c>
      <c r="B290">
        <v>1</v>
      </c>
      <c r="C290" t="s">
        <v>42</v>
      </c>
      <c r="D290">
        <v>1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15</v>
      </c>
      <c r="K290">
        <v>16</v>
      </c>
      <c r="L290" s="27">
        <v>46066.488449074073</v>
      </c>
    </row>
    <row r="291" spans="1:12" x14ac:dyDescent="0.25">
      <c r="A291" s="26">
        <v>46042</v>
      </c>
      <c r="B291">
        <v>1</v>
      </c>
      <c r="C291" t="s">
        <v>42</v>
      </c>
      <c r="D291">
        <v>1</v>
      </c>
      <c r="E291">
        <v>3</v>
      </c>
      <c r="F291">
        <v>0</v>
      </c>
      <c r="G291">
        <v>0</v>
      </c>
      <c r="H291">
        <v>0</v>
      </c>
      <c r="I291">
        <v>0</v>
      </c>
      <c r="J291">
        <v>16</v>
      </c>
      <c r="K291">
        <v>14</v>
      </c>
      <c r="L291" s="27">
        <v>46066.488449074073</v>
      </c>
    </row>
    <row r="292" spans="1:12" x14ac:dyDescent="0.25">
      <c r="A292" s="26">
        <v>46043</v>
      </c>
      <c r="B292">
        <v>1</v>
      </c>
      <c r="C292" t="s">
        <v>42</v>
      </c>
      <c r="D292">
        <v>1</v>
      </c>
      <c r="E292">
        <v>3</v>
      </c>
      <c r="F292">
        <v>0</v>
      </c>
      <c r="G292">
        <v>0</v>
      </c>
      <c r="H292">
        <v>0</v>
      </c>
      <c r="I292">
        <v>0</v>
      </c>
      <c r="J292">
        <v>14</v>
      </c>
      <c r="K292">
        <v>12</v>
      </c>
      <c r="L292" s="27">
        <v>46066.48846064815</v>
      </c>
    </row>
    <row r="293" spans="1:12" x14ac:dyDescent="0.25">
      <c r="A293" s="26">
        <v>46044</v>
      </c>
      <c r="B293">
        <v>1</v>
      </c>
      <c r="C293" t="s">
        <v>42</v>
      </c>
      <c r="D293">
        <v>4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12</v>
      </c>
      <c r="K293">
        <v>15</v>
      </c>
      <c r="L293" s="27">
        <v>46066.48847222222</v>
      </c>
    </row>
    <row r="294" spans="1:12" x14ac:dyDescent="0.25">
      <c r="A294" s="26">
        <v>46045</v>
      </c>
      <c r="B294">
        <v>1</v>
      </c>
      <c r="C294" t="s">
        <v>42</v>
      </c>
      <c r="D294">
        <v>2</v>
      </c>
      <c r="E294">
        <v>3</v>
      </c>
      <c r="F294">
        <v>0</v>
      </c>
      <c r="G294">
        <v>0</v>
      </c>
      <c r="H294">
        <v>0</v>
      </c>
      <c r="I294">
        <v>0</v>
      </c>
      <c r="J294">
        <v>15</v>
      </c>
      <c r="K294">
        <v>14</v>
      </c>
      <c r="L294" s="27">
        <v>46066.48847222222</v>
      </c>
    </row>
    <row r="295" spans="1:12" x14ac:dyDescent="0.25">
      <c r="A295" s="26">
        <v>46046</v>
      </c>
      <c r="B295">
        <v>1</v>
      </c>
      <c r="C295" t="s">
        <v>42</v>
      </c>
      <c r="D295">
        <v>0</v>
      </c>
      <c r="E295">
        <v>3</v>
      </c>
      <c r="F295">
        <v>0</v>
      </c>
      <c r="G295">
        <v>0</v>
      </c>
      <c r="H295">
        <v>0</v>
      </c>
      <c r="I295">
        <v>0</v>
      </c>
      <c r="J295">
        <v>14</v>
      </c>
      <c r="K295">
        <v>11</v>
      </c>
      <c r="L295" s="27">
        <v>46066.488483796296</v>
      </c>
    </row>
    <row r="296" spans="1:12" x14ac:dyDescent="0.25">
      <c r="A296" s="26">
        <v>46047</v>
      </c>
      <c r="B296">
        <v>1</v>
      </c>
      <c r="C296" t="s">
        <v>42</v>
      </c>
      <c r="D296">
        <v>0</v>
      </c>
      <c r="E296">
        <v>0</v>
      </c>
      <c r="F296">
        <v>1</v>
      </c>
      <c r="G296">
        <v>0</v>
      </c>
      <c r="H296">
        <v>0</v>
      </c>
      <c r="I296">
        <v>0</v>
      </c>
      <c r="J296">
        <v>11</v>
      </c>
      <c r="K296">
        <v>10</v>
      </c>
      <c r="L296" s="27">
        <v>46066.488495370373</v>
      </c>
    </row>
    <row r="297" spans="1:12" x14ac:dyDescent="0.25">
      <c r="A297" s="26">
        <v>46048</v>
      </c>
      <c r="B297">
        <v>1</v>
      </c>
      <c r="C297" t="s">
        <v>42</v>
      </c>
      <c r="D297">
        <v>2</v>
      </c>
      <c r="E297">
        <v>2</v>
      </c>
      <c r="F297">
        <v>0</v>
      </c>
      <c r="G297">
        <v>0</v>
      </c>
      <c r="H297">
        <v>0</v>
      </c>
      <c r="I297">
        <v>0</v>
      </c>
      <c r="J297">
        <v>10</v>
      </c>
      <c r="K297">
        <v>10</v>
      </c>
      <c r="L297" s="27">
        <v>46066.488495370373</v>
      </c>
    </row>
    <row r="298" spans="1:12" x14ac:dyDescent="0.25">
      <c r="A298" s="26">
        <v>46049</v>
      </c>
      <c r="B298">
        <v>1</v>
      </c>
      <c r="C298" t="s">
        <v>42</v>
      </c>
      <c r="D298">
        <v>3</v>
      </c>
      <c r="E298">
        <v>3</v>
      </c>
      <c r="F298">
        <v>0</v>
      </c>
      <c r="G298">
        <v>0</v>
      </c>
      <c r="H298">
        <v>0</v>
      </c>
      <c r="I298">
        <v>0</v>
      </c>
      <c r="J298">
        <v>10</v>
      </c>
      <c r="K298">
        <v>10</v>
      </c>
      <c r="L298" s="27">
        <v>46066.488506944443</v>
      </c>
    </row>
    <row r="299" spans="1:12" x14ac:dyDescent="0.25">
      <c r="A299" s="26">
        <v>46050</v>
      </c>
      <c r="B299">
        <v>1</v>
      </c>
      <c r="C299" t="s">
        <v>42</v>
      </c>
      <c r="D299">
        <v>1</v>
      </c>
      <c r="E299">
        <v>2</v>
      </c>
      <c r="F299">
        <v>0</v>
      </c>
      <c r="G299">
        <v>0</v>
      </c>
      <c r="H299">
        <v>0</v>
      </c>
      <c r="I299">
        <v>0</v>
      </c>
      <c r="J299">
        <v>10</v>
      </c>
      <c r="K299">
        <v>9</v>
      </c>
      <c r="L299" s="27">
        <v>46066.488518518519</v>
      </c>
    </row>
    <row r="300" spans="1:12" x14ac:dyDescent="0.25">
      <c r="A300" s="26">
        <v>46051</v>
      </c>
      <c r="B300">
        <v>1</v>
      </c>
      <c r="C300" t="s">
        <v>42</v>
      </c>
      <c r="D300">
        <v>0</v>
      </c>
      <c r="E300">
        <v>0</v>
      </c>
      <c r="F300">
        <v>3</v>
      </c>
      <c r="G300">
        <v>0</v>
      </c>
      <c r="H300">
        <v>0</v>
      </c>
      <c r="I300">
        <v>0</v>
      </c>
      <c r="J300">
        <v>9</v>
      </c>
      <c r="K300">
        <v>6</v>
      </c>
      <c r="L300" s="27">
        <v>46066.488518518519</v>
      </c>
    </row>
    <row r="301" spans="1:12" x14ac:dyDescent="0.25">
      <c r="A301" s="26">
        <v>46052</v>
      </c>
      <c r="B301">
        <v>1</v>
      </c>
      <c r="C301" t="s">
        <v>42</v>
      </c>
      <c r="D301">
        <v>1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6</v>
      </c>
      <c r="K301">
        <v>7</v>
      </c>
      <c r="L301" s="27">
        <v>46066.488530092596</v>
      </c>
    </row>
    <row r="302" spans="1:12" x14ac:dyDescent="0.25">
      <c r="A302" s="26">
        <v>46053</v>
      </c>
      <c r="B302">
        <v>1</v>
      </c>
      <c r="C302" t="s">
        <v>42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7</v>
      </c>
      <c r="K302">
        <v>7</v>
      </c>
      <c r="L302" s="27">
        <v>46066.488541666666</v>
      </c>
    </row>
    <row r="303" spans="1:12" x14ac:dyDescent="0.25">
      <c r="A303" s="26">
        <v>46056</v>
      </c>
      <c r="B303">
        <v>2</v>
      </c>
      <c r="C303" t="s">
        <v>42</v>
      </c>
      <c r="D303">
        <v>0</v>
      </c>
      <c r="E303">
        <v>2</v>
      </c>
      <c r="F303">
        <v>0</v>
      </c>
      <c r="G303">
        <v>0</v>
      </c>
      <c r="H303">
        <v>0</v>
      </c>
      <c r="I303">
        <v>0</v>
      </c>
      <c r="J303">
        <v>7</v>
      </c>
      <c r="K303">
        <v>5</v>
      </c>
      <c r="L303" s="27">
        <v>46066.488541666666</v>
      </c>
    </row>
    <row r="304" spans="1:12" x14ac:dyDescent="0.25">
      <c r="A304" s="26">
        <v>46057</v>
      </c>
      <c r="B304">
        <v>2</v>
      </c>
      <c r="C304" t="s">
        <v>42</v>
      </c>
      <c r="D304">
        <v>0</v>
      </c>
      <c r="E304">
        <v>2</v>
      </c>
      <c r="F304">
        <v>0</v>
      </c>
      <c r="G304">
        <v>0</v>
      </c>
      <c r="H304">
        <v>0</v>
      </c>
      <c r="I304">
        <v>0</v>
      </c>
      <c r="J304">
        <v>5</v>
      </c>
      <c r="K304">
        <v>3</v>
      </c>
      <c r="L304" s="27">
        <v>46066.488553240742</v>
      </c>
    </row>
  </sheetData>
  <sortState xmlns:xlrd2="http://schemas.microsoft.com/office/spreadsheetml/2017/richdata2" ref="A2:L304">
    <sortCondition ref="C2:C304"/>
    <sortCondition ref="A2:A304"/>
  </sortState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3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83</v>
      </c>
      <c r="B1" t="s">
        <v>84</v>
      </c>
      <c r="C1" t="s">
        <v>73</v>
      </c>
      <c r="D1" t="s">
        <v>24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  <c r="J1" t="s">
        <v>90</v>
      </c>
      <c r="K1" t="s">
        <v>82</v>
      </c>
    </row>
    <row r="2" spans="1:11" x14ac:dyDescent="0.25">
      <c r="A2" t="s">
        <v>217</v>
      </c>
      <c r="B2" s="26">
        <v>46066</v>
      </c>
      <c r="C2">
        <v>2</v>
      </c>
      <c r="D2" t="s">
        <v>30</v>
      </c>
      <c r="E2" t="s">
        <v>218</v>
      </c>
      <c r="F2" t="s">
        <v>219</v>
      </c>
      <c r="G2">
        <v>232</v>
      </c>
      <c r="H2" t="s">
        <v>220</v>
      </c>
      <c r="I2" t="s">
        <v>221</v>
      </c>
      <c r="J2" t="s">
        <v>222</v>
      </c>
      <c r="K2" s="27">
        <v>46066.484259259261</v>
      </c>
    </row>
    <row r="3" spans="1:11" x14ac:dyDescent="0.25">
      <c r="A3" t="s">
        <v>217</v>
      </c>
      <c r="B3" s="26">
        <v>46066</v>
      </c>
      <c r="C3">
        <v>2</v>
      </c>
      <c r="D3" t="s">
        <v>30</v>
      </c>
      <c r="G3">
        <v>25</v>
      </c>
      <c r="H3" t="s">
        <v>220</v>
      </c>
      <c r="I3" t="s">
        <v>221</v>
      </c>
      <c r="J3" t="s">
        <v>222</v>
      </c>
      <c r="K3" s="27">
        <v>46066.484467592592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2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91</v>
      </c>
      <c r="B1" t="s">
        <v>92</v>
      </c>
      <c r="C1" t="s">
        <v>73</v>
      </c>
      <c r="D1" t="s">
        <v>24</v>
      </c>
      <c r="E1" t="s">
        <v>93</v>
      </c>
      <c r="F1" t="s">
        <v>94</v>
      </c>
      <c r="G1" t="s">
        <v>87</v>
      </c>
      <c r="H1" t="s">
        <v>88</v>
      </c>
      <c r="I1" t="s">
        <v>89</v>
      </c>
      <c r="J1" t="s">
        <v>90</v>
      </c>
      <c r="K1" t="s">
        <v>95</v>
      </c>
      <c r="L1" t="s">
        <v>96</v>
      </c>
      <c r="M1" t="s">
        <v>82</v>
      </c>
    </row>
    <row r="2" spans="1:13" x14ac:dyDescent="0.25">
      <c r="B2" s="26"/>
      <c r="M2" s="27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sheetData>
    <row r="1" spans="1:8" x14ac:dyDescent="0.25">
      <c r="A1" t="s">
        <v>97</v>
      </c>
      <c r="B1" t="s">
        <v>98</v>
      </c>
      <c r="C1" t="s">
        <v>73</v>
      </c>
      <c r="D1" t="s">
        <v>99</v>
      </c>
      <c r="E1" t="s">
        <v>100</v>
      </c>
      <c r="F1" t="s">
        <v>85</v>
      </c>
      <c r="G1" t="s">
        <v>86</v>
      </c>
      <c r="H1" t="s">
        <v>82</v>
      </c>
    </row>
    <row r="2" spans="1:8" x14ac:dyDescent="0.25">
      <c r="B2" s="26"/>
      <c r="H2" s="27"/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8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5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103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IFERROR(INDEX(tblWardConfig[PrevYearRemaining],MATCH("MW",tblWardConfig[WardCode],0)),0)</f>
        <v>25</v>
      </c>
    </row>
    <row r="5" spans="1:8" x14ac:dyDescent="0.25">
      <c r="A5" s="1" t="s">
        <v>106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>
        <f>IFERROR(IF(SUMIFS(tblDaily[Deaths],tblDaily[EntryDate],DATE(2026,1,1),tblDaily[WardCode],"MW")=0,"",SUMIFS(tblDaily[Deaths],tblDaily[EntryDate],DATE(2026,1,1),tblDaily[WardCode],"MW")),"")</f>
        <v>1</v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>
        <f>IFERROR(IF(SUMIFS(tblDaily[TransfersIn],tblDaily[EntryDate],DATE(2026,1,1),tblDaily[WardCode],"MW")=0,"",SUMIFS(tblDaily[TransfersIn],tblDaily[EntryDate],DATE(2026,1,1),tblDaily[WardCode],"MW")),"")</f>
        <v>1</v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>
        <f>IFERROR(IF(SUMIFS(tblDaily[Remaining],tblDaily[EntryDate],DATE(2026,1,1),tblDaily[WardCode],"MW")=0,"",SUMIFS(tblDaily[Remaining],tblDaily[EntryDate],DATE(2026,1,1),tblDaily[WardCode],"MW")),"")</f>
        <v>25</v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>
        <f>IFERROR(IF(SUMIFS(tblDaily[Discharges],tblDaily[EntryDate],DATE(2026,1,2),tblDaily[WardCode],"MW")=0,"",SUMIFS(tblDaily[Discharges],tblDaily[EntryDate],DATE(2026,1,2),tblDaily[WardCode],"MW")),"")</f>
        <v>2</v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>
        <f>IFERROR(IF(SUMIFS(tblDaily[Remaining],tblDaily[EntryDate],DATE(2026,1,2),tblDaily[WardCode],"MW")=0,"",SUMIFS(tblDaily[Remaining],tblDaily[EntryDate],DATE(2026,1,2),tblDaily[WardCode],"MW")),"")</f>
        <v>23</v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>
        <f>IFERROR(IF(SUMIFS(tblDaily[Discharges],tblDaily[EntryDate],DATE(2026,1,3),tblDaily[WardCode],"MW")=0,"",SUMIFS(tblDaily[Discharges],tblDaily[EntryDate],DATE(2026,1,3),tblDaily[WardCode],"MW")),"")</f>
        <v>2</v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>
        <f>IFERROR(IF(SUMIFS(tblDaily[TransfersIn],tblDaily[EntryDate],DATE(2026,1,3),tblDaily[WardCode],"MW")=0,"",SUMIFS(tblDaily[TransfersIn],tblDaily[EntryDate],DATE(2026,1,3),tblDaily[WardCode],"MW")),"")</f>
        <v>2</v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>
        <f>IFERROR(IF(SUMIFS(tblDaily[Remaining],tblDaily[EntryDate],DATE(2026,1,3),tblDaily[WardCode],"MW")=0,"",SUMIFS(tblDaily[Remaining],tblDaily[EntryDate],DATE(2026,1,3),tblDaily[WardCode],"MW")),"")</f>
        <v>23</v>
      </c>
    </row>
    <row r="10" spans="1:8" x14ac:dyDescent="0.25">
      <c r="A10" s="4">
        <v>4</v>
      </c>
      <c r="B10" s="4">
        <f>IFERROR(IF(SUMIFS(tblDaily[Admissions],tblDaily[EntryDate],DATE(2026,1,4),tblDaily[WardCode],"MW")=0,"",SUMIFS(tblDaily[Admissions],tblDaily[EntryDate],DATE(2026,1,4),tblDaily[WardCode],"MW")),"")</f>
        <v>3</v>
      </c>
      <c r="C10" s="4">
        <f>IFERROR(IF(SUMIFS(tblDaily[Discharges],tblDaily[EntryDate],DATE(2026,1,4),tblDaily[WardCode],"MW")=0,"",SUMIFS(tblDaily[Discharges],tblDaily[EntryDate],DATE(2026,1,4),tblDaily[WardCode],"MW")),"")</f>
        <v>5</v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>
        <f>IFERROR(IF(SUMIFS(tblDaily[TransfersIn],tblDaily[EntryDate],DATE(2026,1,4),tblDaily[WardCode],"MW")=0,"",SUMIFS(tblDaily[TransfersIn],tblDaily[EntryDate],DATE(2026,1,4),tblDaily[WardCode],"MW")),"")</f>
        <v>3</v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>
        <f>IFERROR(IF(SUMIFS(tblDaily[Remaining],tblDaily[EntryDate],DATE(2026,1,4),tblDaily[WardCode],"MW")=0,"",SUMIFS(tblDaily[Remaining],tblDaily[EntryDate],DATE(2026,1,4),tblDaily[WardCode],"MW")),"")</f>
        <v>24</v>
      </c>
    </row>
    <row r="11" spans="1:8" x14ac:dyDescent="0.25">
      <c r="A11" s="4">
        <v>5</v>
      </c>
      <c r="B11" s="4">
        <f>IFERROR(IF(SUMIFS(tblDaily[Admissions],tblDaily[EntryDate],DATE(2026,1,5),tblDaily[WardCode],"MW")=0,"",SUMIFS(tblDaily[Admissions],tblDaily[EntryDate],DATE(2026,1,5),tblDaily[WardCode],"MW")),"")</f>
        <v>3</v>
      </c>
      <c r="C11" s="4">
        <f>IFERROR(IF(SUMIFS(tblDaily[Discharges],tblDaily[EntryDate],DATE(2026,1,5),tblDaily[WardCode],"MW")=0,"",SUMIFS(tblDaily[Discharges],tblDaily[EntryDate],DATE(2026,1,5),tblDaily[WardCode],"MW")),"")</f>
        <v>4</v>
      </c>
      <c r="D11" s="4">
        <f>IFERROR(IF(SUMIFS(tblDaily[Deaths],tblDaily[EntryDate],DATE(2026,1,5),tblDaily[WardCode],"MW")=0,"",SUMIFS(tblDaily[Deaths],tblDaily[EntryDate],DATE(2026,1,5),tblDaily[WardCode],"MW")),"")</f>
        <v>1</v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>
        <f>IFERROR(IF(SUMIFS(tblDaily[Remaining],tblDaily[EntryDate],DATE(2026,1,5),tblDaily[WardCode],"MW")=0,"",SUMIFS(tblDaily[Remaining],tblDaily[EntryDate],DATE(2026,1,5),tblDaily[WardCode],"MW")),"")</f>
        <v>22</v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>
        <f>IFERROR(IF(SUMIFS(tblDaily[Discharges],tblDaily[EntryDate],DATE(2026,1,6),tblDaily[WardCode],"MW")=0,"",SUMIFS(tblDaily[Discharges],tblDaily[EntryDate],DATE(2026,1,6),tblDaily[WardCode],"MW")),"")</f>
        <v>8</v>
      </c>
      <c r="D12" s="4">
        <f>IFERROR(IF(SUMIFS(tblDaily[Deaths],tblDaily[EntryDate],DATE(2026,1,6),tblDaily[WardCode],"MW")=0,"",SUMIFS(tblDaily[Deaths],tblDaily[EntryDate],DATE(2026,1,6),tblDaily[WardCode],"MW")),"")</f>
        <v>1</v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>
        <f>IFERROR(IF(SUMIFS(tblDaily[TransfersIn],tblDaily[EntryDate],DATE(2026,1,6),tblDaily[WardCode],"MW")=0,"",SUMIFS(tblDaily[TransfersIn],tblDaily[EntryDate],DATE(2026,1,6),tblDaily[WardCode],"MW")),"")</f>
        <v>2</v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>
        <f>IFERROR(IF(SUMIFS(tblDaily[Remaining],tblDaily[EntryDate],DATE(2026,1,6),tblDaily[WardCode],"MW")=0,"",SUMIFS(tblDaily[Remaining],tblDaily[EntryDate],DATE(2026,1,6),tblDaily[WardCode],"MW")),"")</f>
        <v>15</v>
      </c>
    </row>
    <row r="13" spans="1:8" x14ac:dyDescent="0.25">
      <c r="A13" s="4">
        <v>7</v>
      </c>
      <c r="B13" s="4">
        <f>IFERROR(IF(SUMIFS(tblDaily[Admissions],tblDaily[EntryDate],DATE(2026,1,7),tblDaily[WardCode],"MW")=0,"",SUMIFS(tblDaily[Admissions],tblDaily[EntryDate],DATE(2026,1,7),tblDaily[WardCode],"MW")),"")</f>
        <v>3</v>
      </c>
      <c r="C13" s="4">
        <f>IFERROR(IF(SUMIFS(tblDaily[Discharges],tblDaily[EntryDate],DATE(2026,1,7),tblDaily[WardCode],"MW")=0,"",SUMIFS(tblDaily[Discharges],tblDaily[EntryDate],DATE(2026,1,7),tblDaily[WardCode],"MW")),"")</f>
        <v>3</v>
      </c>
      <c r="D13" s="4">
        <f>IFERROR(IF(SUMIFS(tblDaily[Deaths],tblDaily[EntryDate],DATE(2026,1,7),tblDaily[WardCode],"MW")=0,"",SUMIFS(tblDaily[Deaths],tblDaily[EntryDate],DATE(2026,1,7),tblDaily[WardCode],"MW")),"")</f>
        <v>2</v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>
        <f>IFERROR(IF(SUMIFS(tblDaily[TransfersIn],tblDaily[EntryDate],DATE(2026,1,7),tblDaily[WardCode],"MW")=0,"",SUMIFS(tblDaily[TransfersIn],tblDaily[EntryDate],DATE(2026,1,7),tblDaily[WardCode],"MW")),"")</f>
        <v>1</v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>
        <f>IFERROR(IF(SUMIFS(tblDaily[Remaining],tblDaily[EntryDate],DATE(2026,1,7),tblDaily[WardCode],"MW")=0,"",SUMIFS(tblDaily[Remaining],tblDaily[EntryDate],DATE(2026,1,7),tblDaily[WardCode],"MW")),"")</f>
        <v>14</v>
      </c>
    </row>
    <row r="14" spans="1:8" x14ac:dyDescent="0.25">
      <c r="A14" s="4">
        <v>8</v>
      </c>
      <c r="B14" s="4">
        <f>IFERROR(IF(SUMIFS(tblDaily[Admissions],tblDaily[EntryDate],DATE(2026,1,8),tblDaily[WardCode],"MW")=0,"",SUMIFS(tblDaily[Admissions],tblDaily[EntryDate],DATE(2026,1,8),tblDaily[WardCode],"MW")),"")</f>
        <v>4</v>
      </c>
      <c r="C14" s="4">
        <f>IFERROR(IF(SUMIFS(tblDaily[Discharges],tblDaily[EntryDate],DATE(2026,1,8),tblDaily[WardCode],"MW")=0,"",SUMIFS(tblDaily[Discharges],tblDaily[EntryDate],DATE(2026,1,8),tblDaily[WardCode],"MW")),"")</f>
        <v>1</v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>
        <f>IFERROR(IF(SUMIFS(tblDaily[Remaining],tblDaily[EntryDate],DATE(2026,1,8),tblDaily[WardCode],"MW")=0,"",SUMIFS(tblDaily[Remaining],tblDaily[EntryDate],DATE(2026,1,8),tblDaily[WardCode],"MW")),"")</f>
        <v>17</v>
      </c>
    </row>
    <row r="15" spans="1:8" x14ac:dyDescent="0.25">
      <c r="A15" s="4">
        <v>9</v>
      </c>
      <c r="B15" s="4">
        <f>IFERROR(IF(SUMIFS(tblDaily[Admissions],tblDaily[EntryDate],DATE(2026,1,9),tblDaily[WardCode],"MW")=0,"",SUMIFS(tblDaily[Admissions],tblDaily[EntryDate],DATE(2026,1,9),tblDaily[WardCode],"MW")),"")</f>
        <v>1</v>
      </c>
      <c r="C15" s="4">
        <f>IFERROR(IF(SUMIFS(tblDaily[Discharges],tblDaily[EntryDate],DATE(2026,1,9),tblDaily[WardCode],"MW")=0,"",SUMIFS(tblDaily[Discharges],tblDaily[EntryDate],DATE(2026,1,9),tblDaily[WardCode],"MW")),"")</f>
        <v>3</v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>
        <f>IFERROR(IF(SUMIFS(tblDaily[TransfersIn],tblDaily[EntryDate],DATE(2026,1,9),tblDaily[WardCode],"MW")=0,"",SUMIFS(tblDaily[TransfersIn],tblDaily[EntryDate],DATE(2026,1,9),tblDaily[WardCode],"MW")),"")</f>
        <v>2</v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>
        <f>IFERROR(IF(SUMIFS(tblDaily[Remaining],tblDaily[EntryDate],DATE(2026,1,9),tblDaily[WardCode],"MW")=0,"",SUMIFS(tblDaily[Remaining],tblDaily[EntryDate],DATE(2026,1,9),tblDaily[WardCode],"MW")),"")</f>
        <v>17</v>
      </c>
    </row>
    <row r="16" spans="1:8" x14ac:dyDescent="0.25">
      <c r="A16" s="4">
        <v>10</v>
      </c>
      <c r="B16" s="4">
        <f>IFERROR(IF(SUMIFS(tblDaily[Admissions],tblDaily[EntryDate],DATE(2026,1,10),tblDaily[WardCode],"MW")=0,"",SUMIFS(tblDaily[Admissions],tblDaily[EntryDate],DATE(2026,1,10),tblDaily[WardCode],"MW")),"")</f>
        <v>1</v>
      </c>
      <c r="C16" s="4">
        <f>IFERROR(IF(SUMIFS(tblDaily[Discharges],tblDaily[EntryDate],DATE(2026,1,10),tblDaily[WardCode],"MW")=0,"",SUMIFS(tblDaily[Discharges],tblDaily[EntryDate],DATE(2026,1,10),tblDaily[WardCode],"MW")),"")</f>
        <v>3</v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>
        <f>IFERROR(IF(SUMIFS(tblDaily[Remaining],tblDaily[EntryDate],DATE(2026,1,10),tblDaily[WardCode],"MW")=0,"",SUMIFS(tblDaily[Remaining],tblDaily[EntryDate],DATE(2026,1,10),tblDaily[WardCode],"MW")),"")</f>
        <v>15</v>
      </c>
    </row>
    <row r="17" spans="1:8" x14ac:dyDescent="0.25">
      <c r="A17" s="4">
        <v>11</v>
      </c>
      <c r="B17" s="4">
        <f>IFERROR(IF(SUMIFS(tblDaily[Admissions],tblDaily[EntryDate],DATE(2026,1,11),tblDaily[WardCode],"MW")=0,"",SUMIFS(tblDaily[Admissions],tblDaily[EntryDate],DATE(2026,1,11),tblDaily[WardCode],"MW")),"")</f>
        <v>1</v>
      </c>
      <c r="C17" s="4">
        <f>IFERROR(IF(SUMIFS(tblDaily[Discharges],tblDaily[EntryDate],DATE(2026,1,11),tblDaily[WardCode],"MW")=0,"",SUMIFS(tblDaily[Discharges],tblDaily[EntryDate],DATE(2026,1,11),tblDaily[WardCode],"MW")),"")</f>
        <v>3</v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>
        <f>IFERROR(IF(SUMIFS(tblDaily[TransfersIn],tblDaily[EntryDate],DATE(2026,1,11),tblDaily[WardCode],"MW")=0,"",SUMIFS(tblDaily[TransfersIn],tblDaily[EntryDate],DATE(2026,1,11),tblDaily[WardCode],"MW")),"")</f>
        <v>4</v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>
        <f>IFERROR(IF(SUMIFS(tblDaily[Remaining],tblDaily[EntryDate],DATE(2026,1,11),tblDaily[WardCode],"MW")=0,"",SUMIFS(tblDaily[Remaining],tblDaily[EntryDate],DATE(2026,1,11),tblDaily[WardCode],"MW")),"")</f>
        <v>17</v>
      </c>
    </row>
    <row r="18" spans="1:8" x14ac:dyDescent="0.25">
      <c r="A18" s="4">
        <v>12</v>
      </c>
      <c r="B18" s="4">
        <f>IFERROR(IF(SUMIFS(tblDaily[Admissions],tblDaily[EntryDate],DATE(2026,1,12),tblDaily[WardCode],"MW")=0,"",SUMIFS(tblDaily[Admissions],tblDaily[EntryDate],DATE(2026,1,12),tblDaily[WardCode],"MW")),"")</f>
        <v>6</v>
      </c>
      <c r="C18" s="4">
        <f>IFERROR(IF(SUMIFS(tblDaily[Discharges],tblDaily[EntryDate],DATE(2026,1,12),tblDaily[WardCode],"MW")=0,"",SUMIFS(tblDaily[Discharges],tblDaily[EntryDate],DATE(2026,1,12),tblDaily[WardCode],"MW")),"")</f>
        <v>3</v>
      </c>
      <c r="D18" s="4">
        <f>IFERROR(IF(SUMIFS(tblDaily[Deaths],tblDaily[EntryDate],DATE(2026,1,12),tblDaily[WardCode],"MW")=0,"",SUMIFS(tblDaily[Deaths],tblDaily[EntryDate],DATE(2026,1,12),tblDaily[WardCode],"MW")),"")</f>
        <v>1</v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>
        <f>IFERROR(IF(SUMIFS(tblDaily[TransfersIn],tblDaily[EntryDate],DATE(2026,1,12),tblDaily[WardCode],"MW")=0,"",SUMIFS(tblDaily[TransfersIn],tblDaily[EntryDate],DATE(2026,1,12),tblDaily[WardCode],"MW")),"")</f>
        <v>2</v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>
        <f>IFERROR(IF(SUMIFS(tblDaily[Remaining],tblDaily[EntryDate],DATE(2026,1,12),tblDaily[WardCode],"MW")=0,"",SUMIFS(tblDaily[Remaining],tblDaily[EntryDate],DATE(2026,1,12),tblDaily[WardCode],"MW")),"")</f>
        <v>21</v>
      </c>
    </row>
    <row r="19" spans="1:8" x14ac:dyDescent="0.25">
      <c r="A19" s="4">
        <v>13</v>
      </c>
      <c r="B19" s="4">
        <f>IFERROR(IF(SUMIFS(tblDaily[Admissions],tblDaily[EntryDate],DATE(2026,1,13),tblDaily[WardCode],"MW")=0,"",SUMIFS(tblDaily[Admissions],tblDaily[EntryDate],DATE(2026,1,13),tblDaily[WardCode],"MW")),"")</f>
        <v>4</v>
      </c>
      <c r="C19" s="4">
        <f>IFERROR(IF(SUMIFS(tblDaily[Discharges],tblDaily[EntryDate],DATE(2026,1,13),tblDaily[WardCode],"MW")=0,"",SUMIFS(tblDaily[Discharges],tblDaily[EntryDate],DATE(2026,1,13),tblDaily[WardCode],"MW")),"")</f>
        <v>3</v>
      </c>
      <c r="D19" s="4">
        <f>IFERROR(IF(SUMIFS(tblDaily[Deaths],tblDaily[EntryDate],DATE(2026,1,13),tblDaily[WardCode],"MW")=0,"",SUMIFS(tblDaily[Deaths],tblDaily[EntryDate],DATE(2026,1,13),tblDaily[WardCode],"MW")),"")</f>
        <v>1</v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>
        <f>IFERROR(IF(SUMIFS(tblDaily[TransfersIn],tblDaily[EntryDate],DATE(2026,1,13),tblDaily[WardCode],"MW")=0,"",SUMIFS(tblDaily[TransfersIn],tblDaily[EntryDate],DATE(2026,1,13),tblDaily[WardCode],"MW")),"")</f>
        <v>2</v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>
        <f>IFERROR(IF(SUMIFS(tblDaily[Remaining],tblDaily[EntryDate],DATE(2026,1,13),tblDaily[WardCode],"MW")=0,"",SUMIFS(tblDaily[Remaining],tblDaily[EntryDate],DATE(2026,1,13),tblDaily[WardCode],"MW")),"")</f>
        <v>23</v>
      </c>
    </row>
    <row r="20" spans="1:8" x14ac:dyDescent="0.25">
      <c r="A20" s="4">
        <v>14</v>
      </c>
      <c r="B20" s="4">
        <f>IFERROR(IF(SUMIFS(tblDaily[Admissions],tblDaily[EntryDate],DATE(2026,1,14),tblDaily[WardCode],"MW")=0,"",SUMIFS(tblDaily[Admissions],tblDaily[EntryDate],DATE(2026,1,14),tblDaily[WardCode],"MW")),"")</f>
        <v>1</v>
      </c>
      <c r="C20" s="4">
        <f>IFERROR(IF(SUMIFS(tblDaily[Discharges],tblDaily[EntryDate],DATE(2026,1,14),tblDaily[WardCode],"MW")=0,"",SUMIFS(tblDaily[Discharges],tblDaily[EntryDate],DATE(2026,1,14),tblDaily[WardCode],"MW")),"")</f>
        <v>1</v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>
        <f>IFERROR(IF(SUMIFS(tblDaily[TransfersIn],tblDaily[EntryDate],DATE(2026,1,14),tblDaily[WardCode],"MW")=0,"",SUMIFS(tblDaily[TransfersIn],tblDaily[EntryDate],DATE(2026,1,14),tblDaily[WardCode],"MW")),"")</f>
        <v>1</v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>
        <f>IFERROR(IF(SUMIFS(tblDaily[Remaining],tblDaily[EntryDate],DATE(2026,1,14),tblDaily[WardCode],"MW")=0,"",SUMIFS(tblDaily[Remaining],tblDaily[EntryDate],DATE(2026,1,14),tblDaily[WardCode],"MW")),"")</f>
        <v>24</v>
      </c>
    </row>
    <row r="21" spans="1:8" x14ac:dyDescent="0.25">
      <c r="A21" s="4">
        <v>15</v>
      </c>
      <c r="B21" s="4">
        <f>IFERROR(IF(SUMIFS(tblDaily[Admissions],tblDaily[EntryDate],DATE(2026,1,15),tblDaily[WardCode],"MW")=0,"",SUMIFS(tblDaily[Admissions],tblDaily[EntryDate],DATE(2026,1,15),tblDaily[WardCode],"MW")),"")</f>
        <v>4</v>
      </c>
      <c r="C21" s="4">
        <f>IFERROR(IF(SUMIFS(tblDaily[Discharges],tblDaily[EntryDate],DATE(2026,1,15),tblDaily[WardCode],"MW")=0,"",SUMIFS(tblDaily[Discharges],tblDaily[EntryDate],DATE(2026,1,15),tblDaily[WardCode],"MW")),"")</f>
        <v>4</v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>
        <f>IFERROR(IF(SUMIFS(tblDaily[Remaining],tblDaily[EntryDate],DATE(2026,1,15),tblDaily[WardCode],"MW")=0,"",SUMIFS(tblDaily[Remaining],tblDaily[EntryDate],DATE(2026,1,15),tblDaily[WardCode],"MW")),"")</f>
        <v>24</v>
      </c>
    </row>
    <row r="22" spans="1:8" x14ac:dyDescent="0.25">
      <c r="A22" s="4">
        <v>16</v>
      </c>
      <c r="B22" s="4">
        <f>IFERROR(IF(SUMIFS(tblDaily[Admissions],tblDaily[EntryDate],DATE(2026,1,16),tblDaily[WardCode],"MW")=0,"",SUMIFS(tblDaily[Admissions],tblDaily[EntryDate],DATE(2026,1,16),tblDaily[WardCode],"MW")),"")</f>
        <v>4</v>
      </c>
      <c r="C22" s="4">
        <f>IFERROR(IF(SUMIFS(tblDaily[Discharges],tblDaily[EntryDate],DATE(2026,1,16),tblDaily[WardCode],"MW")=0,"",SUMIFS(tblDaily[Discharges],tblDaily[EntryDate],DATE(2026,1,16),tblDaily[WardCode],"MW")),"")</f>
        <v>2</v>
      </c>
      <c r="D22" s="4">
        <f>IFERROR(IF(SUMIFS(tblDaily[Deaths],tblDaily[EntryDate],DATE(2026,1,16),tblDaily[WardCode],"MW")=0,"",SUMIFS(tblDaily[Deaths],tblDaily[EntryDate],DATE(2026,1,16),tblDaily[WardCode],"MW")),"")</f>
        <v>2</v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>
        <f>IFERROR(IF(SUMIFS(tblDaily[Remaining],tblDaily[EntryDate],DATE(2026,1,16),tblDaily[WardCode],"MW")=0,"",SUMIFS(tblDaily[Remaining],tblDaily[EntryDate],DATE(2026,1,16),tblDaily[WardCode],"MW")),"")</f>
        <v>24</v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>
        <f>IFERROR(IF(SUMIFS(tblDaily[Discharges],tblDaily[EntryDate],DATE(2026,1,17),tblDaily[WardCode],"MW")=0,"",SUMIFS(tblDaily[Discharges],tblDaily[EntryDate],DATE(2026,1,17),tblDaily[WardCode],"MW")),"")</f>
        <v>2</v>
      </c>
      <c r="D23" s="4">
        <f>IFERROR(IF(SUMIFS(tblDaily[Deaths],tblDaily[EntryDate],DATE(2026,1,17),tblDaily[WardCode],"MW")=0,"",SUMIFS(tblDaily[Deaths],tblDaily[EntryDate],DATE(2026,1,17),tblDaily[WardCode],"MW")),"")</f>
        <v>1</v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>
        <f>IFERROR(IF(SUMIFS(tblDaily[TransfersIn],tblDaily[EntryDate],DATE(2026,1,17),tblDaily[WardCode],"MW")=0,"",SUMIFS(tblDaily[TransfersIn],tblDaily[EntryDate],DATE(2026,1,17),tblDaily[WardCode],"MW")),"")</f>
        <v>3</v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>
        <f>IFERROR(IF(SUMIFS(tblDaily[Remaining],tblDaily[EntryDate],DATE(2026,1,17),tblDaily[WardCode],"MW")=0,"",SUMIFS(tblDaily[Remaining],tblDaily[EntryDate],DATE(2026,1,17),tblDaily[WardCode],"MW")),"")</f>
        <v>24</v>
      </c>
    </row>
    <row r="24" spans="1:8" x14ac:dyDescent="0.25">
      <c r="A24" s="4">
        <v>18</v>
      </c>
      <c r="B24" s="4">
        <f>IFERROR(IF(SUMIFS(tblDaily[Admissions],tblDaily[EntryDate],DATE(2026,1,18),tblDaily[WardCode],"MW")=0,"",SUMIFS(tblDaily[Admissions],tblDaily[EntryDate],DATE(2026,1,18),tblDaily[WardCode],"MW")),"")</f>
        <v>1</v>
      </c>
      <c r="C24" s="4">
        <f>IFERROR(IF(SUMIFS(tblDaily[Discharges],tblDaily[EntryDate],DATE(2026,1,18),tblDaily[WardCode],"MW")=0,"",SUMIFS(tblDaily[Discharges],tblDaily[EntryDate],DATE(2026,1,18),tblDaily[WardCode],"MW")),"")</f>
        <v>3</v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>
        <f>IFERROR(IF(SUMIFS(tblDaily[TransfersIn],tblDaily[EntryDate],DATE(2026,1,18),tblDaily[WardCode],"MW")=0,"",SUMIFS(tblDaily[TransfersIn],tblDaily[EntryDate],DATE(2026,1,18),tblDaily[WardCode],"MW")),"")</f>
        <v>1</v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>
        <f>IFERROR(IF(SUMIFS(tblDaily[Remaining],tblDaily[EntryDate],DATE(2026,1,18),tblDaily[WardCode],"MW")=0,"",SUMIFS(tblDaily[Remaining],tblDaily[EntryDate],DATE(2026,1,18),tblDaily[WardCode],"MW")),"")</f>
        <v>23</v>
      </c>
    </row>
    <row r="25" spans="1:8" x14ac:dyDescent="0.25">
      <c r="A25" s="4">
        <v>19</v>
      </c>
      <c r="B25" s="4">
        <f>IFERROR(IF(SUMIFS(tblDaily[Admissions],tblDaily[EntryDate],DATE(2026,1,19),tblDaily[WardCode],"MW")=0,"",SUMIFS(tblDaily[Admissions],tblDaily[EntryDate],DATE(2026,1,19),tblDaily[WardCode],"MW")),"")</f>
        <v>1</v>
      </c>
      <c r="C25" s="4">
        <f>IFERROR(IF(SUMIFS(tblDaily[Discharges],tblDaily[EntryDate],DATE(2026,1,19),tblDaily[WardCode],"MW")=0,"",SUMIFS(tblDaily[Discharges],tblDaily[EntryDate],DATE(2026,1,19),tblDaily[WardCode],"MW")),"")</f>
        <v>5</v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>
        <f>IFERROR(IF(SUMIFS(tblDaily[Remaining],tblDaily[EntryDate],DATE(2026,1,19),tblDaily[WardCode],"MW")=0,"",SUMIFS(tblDaily[Remaining],tblDaily[EntryDate],DATE(2026,1,19),tblDaily[WardCode],"MW")),"")</f>
        <v>19</v>
      </c>
    </row>
    <row r="26" spans="1:8" x14ac:dyDescent="0.25">
      <c r="A26" s="4">
        <v>20</v>
      </c>
      <c r="B26" s="4">
        <f>IFERROR(IF(SUMIFS(tblDaily[Admissions],tblDaily[EntryDate],DATE(2026,1,20),tblDaily[WardCode],"MW")=0,"",SUMIFS(tblDaily[Admissions],tblDaily[EntryDate],DATE(2026,1,20),tblDaily[WardCode],"MW")),"")</f>
        <v>7</v>
      </c>
      <c r="C26" s="4">
        <f>IFERROR(IF(SUMIFS(tblDaily[Discharges],tblDaily[EntryDate],DATE(2026,1,20),tblDaily[WardCode],"MW")=0,"",SUMIFS(tblDaily[Discharges],tblDaily[EntryDate],DATE(2026,1,20),tblDaily[WardCode],"MW")),"")</f>
        <v>7</v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>
        <f>IFERROR(IF(SUMIFS(tblDaily[TransfersIn],tblDaily[EntryDate],DATE(2026,1,20),tblDaily[WardCode],"MW")=0,"",SUMIFS(tblDaily[TransfersIn],tblDaily[EntryDate],DATE(2026,1,20),tblDaily[WardCode],"MW")),"")</f>
        <v>1</v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>
        <f>IFERROR(IF(SUMIFS(tblDaily[Remaining],tblDaily[EntryDate],DATE(2026,1,20),tblDaily[WardCode],"MW")=0,"",SUMIFS(tblDaily[Remaining],tblDaily[EntryDate],DATE(2026,1,20),tblDaily[WardCode],"MW")),"")</f>
        <v>20</v>
      </c>
    </row>
    <row r="27" spans="1:8" x14ac:dyDescent="0.25">
      <c r="A27" s="4">
        <v>21</v>
      </c>
      <c r="B27" s="4">
        <f>IFERROR(IF(SUMIFS(tblDaily[Admissions],tblDaily[EntryDate],DATE(2026,1,21),tblDaily[WardCode],"MW")=0,"",SUMIFS(tblDaily[Admissions],tblDaily[EntryDate],DATE(2026,1,21),tblDaily[WardCode],"MW")),"")</f>
        <v>1</v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>
        <f>IFERROR(IF(SUMIFS(tblDaily[TransfersIn],tblDaily[EntryDate],DATE(2026,1,21),tblDaily[WardCode],"MW")=0,"",SUMIFS(tblDaily[TransfersIn],tblDaily[EntryDate],DATE(2026,1,21),tblDaily[WardCode],"MW")),"")</f>
        <v>1</v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>
        <f>IFERROR(IF(SUMIFS(tblDaily[Remaining],tblDaily[EntryDate],DATE(2026,1,21),tblDaily[WardCode],"MW")=0,"",SUMIFS(tblDaily[Remaining],tblDaily[EntryDate],DATE(2026,1,21),tblDaily[WardCode],"MW")),"")</f>
        <v>22</v>
      </c>
    </row>
    <row r="28" spans="1:8" x14ac:dyDescent="0.25">
      <c r="A28" s="4">
        <v>22</v>
      </c>
      <c r="B28" s="4">
        <f>IFERROR(IF(SUMIFS(tblDaily[Admissions],tblDaily[EntryDate],DATE(2026,1,22),tblDaily[WardCode],"MW")=0,"",SUMIFS(tblDaily[Admissions],tblDaily[EntryDate],DATE(2026,1,22),tblDaily[WardCode],"MW")),"")</f>
        <v>3</v>
      </c>
      <c r="C28" s="4">
        <f>IFERROR(IF(SUMIFS(tblDaily[Discharges],tblDaily[EntryDate],DATE(2026,1,22),tblDaily[WardCode],"MW")=0,"",SUMIFS(tblDaily[Discharges],tblDaily[EntryDate],DATE(2026,1,22),tblDaily[WardCode],"MW")),"")</f>
        <v>5</v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>
        <f>IFERROR(IF(SUMIFS(tblDaily[TransfersIn],tblDaily[EntryDate],DATE(2026,1,22),tblDaily[WardCode],"MW")=0,"",SUMIFS(tblDaily[TransfersIn],tblDaily[EntryDate],DATE(2026,1,22),tblDaily[WardCode],"MW")),"")</f>
        <v>3</v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>
        <f>IFERROR(IF(SUMIFS(tblDaily[Remaining],tblDaily[EntryDate],DATE(2026,1,22),tblDaily[WardCode],"MW")=0,"",SUMIFS(tblDaily[Remaining],tblDaily[EntryDate],DATE(2026,1,22),tblDaily[WardCode],"MW")),"")</f>
        <v>23</v>
      </c>
    </row>
    <row r="29" spans="1:8" x14ac:dyDescent="0.25">
      <c r="A29" s="4">
        <v>23</v>
      </c>
      <c r="B29" s="4">
        <f>IFERROR(IF(SUMIFS(tblDaily[Admissions],tblDaily[EntryDate],DATE(2026,1,23),tblDaily[WardCode],"MW")=0,"",SUMIFS(tblDaily[Admissions],tblDaily[EntryDate],DATE(2026,1,23),tblDaily[WardCode],"MW")),"")</f>
        <v>4</v>
      </c>
      <c r="C29" s="4">
        <f>IFERROR(IF(SUMIFS(tblDaily[Discharges],tblDaily[EntryDate],DATE(2026,1,23),tblDaily[WardCode],"MW")=0,"",SUMIFS(tblDaily[Discharges],tblDaily[EntryDate],DATE(2026,1,23),tblDaily[WardCode],"MW")),"")</f>
        <v>6</v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>
        <f>IFERROR(IF(SUMIFS(tblDaily[TransfersIn],tblDaily[EntryDate],DATE(2026,1,23),tblDaily[WardCode],"MW")=0,"",SUMIFS(tblDaily[TransfersIn],tblDaily[EntryDate],DATE(2026,1,23),tblDaily[WardCode],"MW")),"")</f>
        <v>2</v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>
        <f>IFERROR(IF(SUMIFS(tblDaily[Remaining],tblDaily[EntryDate],DATE(2026,1,23),tblDaily[WardCode],"MW")=0,"",SUMIFS(tblDaily[Remaining],tblDaily[EntryDate],DATE(2026,1,23),tblDaily[WardCode],"MW")),"")</f>
        <v>23</v>
      </c>
    </row>
    <row r="30" spans="1:8" x14ac:dyDescent="0.25">
      <c r="A30" s="4">
        <v>24</v>
      </c>
      <c r="B30" s="4">
        <f>IFERROR(IF(SUMIFS(tblDaily[Admissions],tblDaily[EntryDate],DATE(2026,1,24),tblDaily[WardCode],"MW")=0,"",SUMIFS(tblDaily[Admissions],tblDaily[EntryDate],DATE(2026,1,24),tblDaily[WardCode],"MW")),"")</f>
        <v>3</v>
      </c>
      <c r="C30" s="4">
        <f>IFERROR(IF(SUMIFS(tblDaily[Discharges],tblDaily[EntryDate],DATE(2026,1,24),tblDaily[WardCode],"MW")=0,"",SUMIFS(tblDaily[Discharges],tblDaily[EntryDate],DATE(2026,1,24),tblDaily[WardCode],"MW")),"")</f>
        <v>2</v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>
        <f>IFERROR(IF(SUMIFS(tblDaily[TransfersIn],tblDaily[EntryDate],DATE(2026,1,24),tblDaily[WardCode],"MW")=0,"",SUMIFS(tblDaily[TransfersIn],tblDaily[EntryDate],DATE(2026,1,24),tblDaily[WardCode],"MW")),"")</f>
        <v>2</v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>
        <f>IFERROR(IF(SUMIFS(tblDaily[Remaining],tblDaily[EntryDate],DATE(2026,1,24),tblDaily[WardCode],"MW")=0,"",SUMIFS(tblDaily[Remaining],tblDaily[EntryDate],DATE(2026,1,24),tblDaily[WardCode],"MW")),"")</f>
        <v>26</v>
      </c>
    </row>
    <row r="31" spans="1:8" x14ac:dyDescent="0.25">
      <c r="A31" s="4">
        <v>25</v>
      </c>
      <c r="B31" s="4">
        <f>IFERROR(IF(SUMIFS(tblDaily[Admissions],tblDaily[EntryDate],DATE(2026,1,25),tblDaily[WardCode],"MW")=0,"",SUMIFS(tblDaily[Admissions],tblDaily[EntryDate],DATE(2026,1,25),tblDaily[WardCode],"MW")),"")</f>
        <v>1</v>
      </c>
      <c r="C31" s="4">
        <f>IFERROR(IF(SUMIFS(tblDaily[Discharges],tblDaily[EntryDate],DATE(2026,1,25),tblDaily[WardCode],"MW")=0,"",SUMIFS(tblDaily[Discharges],tblDaily[EntryDate],DATE(2026,1,25),tblDaily[WardCode],"MW")),"")</f>
        <v>4</v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>
        <f>IFERROR(IF(SUMIFS(tblDaily[TransfersIn],tblDaily[EntryDate],DATE(2026,1,25),tblDaily[WardCode],"MW")=0,"",SUMIFS(tblDaily[TransfersIn],tblDaily[EntryDate],DATE(2026,1,25),tblDaily[WardCode],"MW")),"")</f>
        <v>2</v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>
        <f>IFERROR(IF(SUMIFS(tblDaily[Remaining],tblDaily[EntryDate],DATE(2026,1,25),tblDaily[WardCode],"MW")=0,"",SUMIFS(tblDaily[Remaining],tblDaily[EntryDate],DATE(2026,1,25),tblDaily[WardCode],"MW")),"")</f>
        <v>25</v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>
        <f>IFERROR(IF(SUMIFS(tblDaily[Discharges],tblDaily[EntryDate],DATE(2026,1,26),tblDaily[WardCode],"MW")=0,"",SUMIFS(tblDaily[Discharges],tblDaily[EntryDate],DATE(2026,1,26),tblDaily[WardCode],"MW")),"")</f>
        <v>4</v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>
        <f>IFERROR(IF(SUMIFS(tblDaily[TransfersIn],tblDaily[EntryDate],DATE(2026,1,26),tblDaily[WardCode],"MW")=0,"",SUMIFS(tblDaily[TransfersIn],tblDaily[EntryDate],DATE(2026,1,26),tblDaily[WardCode],"MW")),"")</f>
        <v>1</v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>
        <f>IFERROR(IF(SUMIFS(tblDaily[Remaining],tblDaily[EntryDate],DATE(2026,1,26),tblDaily[WardCode],"MW")=0,"",SUMIFS(tblDaily[Remaining],tblDaily[EntryDate],DATE(2026,1,26),tblDaily[WardCode],"MW")),"")</f>
        <v>22</v>
      </c>
    </row>
    <row r="33" spans="1:8" x14ac:dyDescent="0.25">
      <c r="A33" s="4">
        <v>27</v>
      </c>
      <c r="B33" s="4">
        <f>IFERROR(IF(SUMIFS(tblDaily[Admissions],tblDaily[EntryDate],DATE(2026,1,27),tblDaily[WardCode],"MW")=0,"",SUMIFS(tblDaily[Admissions],tblDaily[EntryDate],DATE(2026,1,27),tblDaily[WardCode],"MW")),"")</f>
        <v>2</v>
      </c>
      <c r="C33" s="4">
        <f>IFERROR(IF(SUMIFS(tblDaily[Discharges],tblDaily[EntryDate],DATE(2026,1,27),tblDaily[WardCode],"MW")=0,"",SUMIFS(tblDaily[Discharges],tblDaily[EntryDate],DATE(2026,1,27),tblDaily[WardCode],"MW")),"")</f>
        <v>5</v>
      </c>
      <c r="D33" s="4">
        <f>IFERROR(IF(SUMIFS(tblDaily[Deaths],tblDaily[EntryDate],DATE(2026,1,27),tblDaily[WardCode],"MW")=0,"",SUMIFS(tblDaily[Deaths],tblDaily[EntryDate],DATE(2026,1,27),tblDaily[WardCode],"MW")),"")</f>
        <v>1</v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>
        <f>IFERROR(IF(SUMIFS(tblDaily[TransfersIn],tblDaily[EntryDate],DATE(2026,1,27),tblDaily[WardCode],"MW")=0,"",SUMIFS(tblDaily[TransfersIn],tblDaily[EntryDate],DATE(2026,1,27),tblDaily[WardCode],"MW")),"")</f>
        <v>2</v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>
        <f>IFERROR(IF(SUMIFS(tblDaily[Remaining],tblDaily[EntryDate],DATE(2026,1,27),tblDaily[WardCode],"MW")=0,"",SUMIFS(tblDaily[Remaining],tblDaily[EntryDate],DATE(2026,1,27),tblDaily[WardCode],"MW")),"")</f>
        <v>20</v>
      </c>
    </row>
    <row r="34" spans="1:8" x14ac:dyDescent="0.25">
      <c r="A34" s="4">
        <v>28</v>
      </c>
      <c r="B34" s="4">
        <f>IFERROR(IF(SUMIFS(tblDaily[Admissions],tblDaily[EntryDate],DATE(2026,1,28),tblDaily[WardCode],"MW")=0,"",SUMIFS(tblDaily[Admissions],tblDaily[EntryDate],DATE(2026,1,28),tblDaily[WardCode],"MW")),"")</f>
        <v>3</v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>
        <f>IFERROR(IF(SUMIFS(tblDaily[TransfersIn],tblDaily[EntryDate],DATE(2026,1,28),tblDaily[WardCode],"MW")=0,"",SUMIFS(tblDaily[TransfersIn],tblDaily[EntryDate],DATE(2026,1,28),tblDaily[WardCode],"MW")),"")</f>
        <v>2</v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>
        <f>IFERROR(IF(SUMIFS(tblDaily[Remaining],tblDaily[EntryDate],DATE(2026,1,28),tblDaily[WardCode],"MW")=0,"",SUMIFS(tblDaily[Remaining],tblDaily[EntryDate],DATE(2026,1,28),tblDaily[WardCode],"MW")),"")</f>
        <v>25</v>
      </c>
    </row>
    <row r="35" spans="1:8" x14ac:dyDescent="0.25">
      <c r="A35" s="4">
        <v>29</v>
      </c>
      <c r="B35" s="4">
        <f>IFERROR(IF(SUMIFS(tblDaily[Admissions],tblDaily[EntryDate],DATE(2026,1,29),tblDaily[WardCode],"MW")=0,"",SUMIFS(tblDaily[Admissions],tblDaily[EntryDate],DATE(2026,1,29),tblDaily[WardCode],"MW")),"")</f>
        <v>1</v>
      </c>
      <c r="C35" s="4">
        <f>IFERROR(IF(SUMIFS(tblDaily[Discharges],tblDaily[EntryDate],DATE(2026,1,29),tblDaily[WardCode],"MW")=0,"",SUMIFS(tblDaily[Discharges],tblDaily[EntryDate],DATE(2026,1,29),tblDaily[WardCode],"MW")),"")</f>
        <v>6</v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>
        <f>IFERROR(IF(SUMIFS(tblDaily[Remaining],tblDaily[EntryDate],DATE(2026,1,29),tblDaily[WardCode],"MW")=0,"",SUMIFS(tblDaily[Remaining],tblDaily[EntryDate],DATE(2026,1,29),tblDaily[WardCode],"MW")),"")</f>
        <v>20</v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>
        <f>IFERROR(IF(SUMIFS(tblDaily[Discharges],tblDaily[EntryDate],DATE(2026,1,30),tblDaily[WardCode],"MW")=0,"",SUMIFS(tblDaily[Discharges],tblDaily[EntryDate],DATE(2026,1,30),tblDaily[WardCode],"MW")),"")</f>
        <v>6</v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>
        <f>IFERROR(IF(SUMIFS(tblDaily[Remaining],tblDaily[EntryDate],DATE(2026,1,30),tblDaily[WardCode],"MW")=0,"",SUMIFS(tblDaily[Remaining],tblDaily[EntryDate],DATE(2026,1,30),tblDaily[WardCode],"MW")),"")</f>
        <v>14</v>
      </c>
    </row>
    <row r="37" spans="1:8" x14ac:dyDescent="0.25">
      <c r="A37" s="4">
        <v>31</v>
      </c>
      <c r="B37" s="4">
        <f>IFERROR(IF(SUMIFS(tblDaily[Admissions],tblDaily[EntryDate],DATE(2026,1,31),tblDaily[WardCode],"MW")=0,"",SUMIFS(tblDaily[Admissions],tblDaily[EntryDate],DATE(2026,1,31),tblDaily[WardCode],"MW")),"")</f>
        <v>3</v>
      </c>
      <c r="C37" s="4">
        <f>IFERROR(IF(SUMIFS(tblDaily[Discharges],tblDaily[EntryDate],DATE(2026,1,31),tblDaily[WardCode],"MW")=0,"",SUMIFS(tblDaily[Discharges],tblDaily[EntryDate],DATE(2026,1,31),tblDaily[WardCode],"MW")),"")</f>
        <v>1</v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>
        <f>IFERROR(IF(SUMIFS(tblDaily[TransfersIn],tblDaily[EntryDate],DATE(2026,1,31),tblDaily[WardCode],"MW")=0,"",SUMIFS(tblDaily[TransfersIn],tblDaily[EntryDate],DATE(2026,1,31),tblDaily[WardCode],"MW")),"")</f>
        <v>3</v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>
        <f>IFERROR(IF(SUMIFS(tblDaily[Remaining],tblDaily[EntryDate],DATE(2026,1,31),tblDaily[WardCode],"MW")=0,"",SUMIFS(tblDaily[Remaining],tblDaily[EntryDate],DATE(2026,1,31),tblDaily[WardCode],"MW")),"")</f>
        <v>19</v>
      </c>
    </row>
    <row r="38" spans="1:8" x14ac:dyDescent="0.25">
      <c r="A38" s="9" t="s">
        <v>112</v>
      </c>
      <c r="B38" s="9">
        <f>SUMIFS(tblDaily[Admissions],tblDaily[Month],1,tblDaily[WardCode],"MW") - SUMIFS(tblDaily[DeathsUnder24Hrs],tblDaily[Month],1,tblDaily[WardCode],"MW")</f>
        <v>65</v>
      </c>
      <c r="C38" s="9">
        <f>SUMIFS(tblDaily[Discharges],tblDaily[Month],1,tblDaily[WardCode],"MW")</f>
        <v>103</v>
      </c>
      <c r="D38" s="9">
        <f>SUMIFS(tblDaily[Deaths],tblDaily[Month],1,tblDaily[WardCode],"MW")</f>
        <v>11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43</v>
      </c>
      <c r="G38" s="9">
        <f>SUMIFS(tblDaily[TransfersOut],tblDaily[Month],1,tblDaily[WardCode],"MW")</f>
        <v>0</v>
      </c>
      <c r="H38" s="9">
        <f>SUMIFS(tblDaily[Remaining],tblDaily[Month],1,tblDaily[WardCode],"MW")</f>
        <v>653</v>
      </c>
    </row>
    <row r="40" spans="1:8" ht="18.75" x14ac:dyDescent="0.25">
      <c r="A40" s="28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5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103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IFERROR(SUMIFS(tblDaily[Remaining],tblDaily[EntryDate],DATE(2026,1,31),tblDaily[WardCode],"MW"),0)</f>
        <v>19</v>
      </c>
    </row>
    <row r="44" spans="1:8" x14ac:dyDescent="0.25">
      <c r="A44" s="1" t="s">
        <v>106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>
        <f>IFERROR(IF(SUMIFS(tblDaily[Remaining],tblDaily[EntryDate],DATE(2026,2,1),tblDaily[WardCode],"MW")=0,"",SUMIFS(tblDaily[Remaining],tblDaily[EntryDate],DATE(2026,2,1),tblDaily[WardCode],"MW")),"")</f>
        <v>19</v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>
        <f>IFERROR(IF(SUMIFS(tblDaily[Remaining],tblDaily[EntryDate],DATE(2026,2,3),tblDaily[WardCode],"MW")=0,"",SUMIFS(tblDaily[Remaining],tblDaily[EntryDate],DATE(2026,2,3),tblDaily[WardCode],"MW")),"")</f>
        <v>19</v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>
        <f>IFERROR(IF(SUMIFS(tblDaily[Remaining],tblDaily[EntryDate],DATE(2026,2,4),tblDaily[WardCode],"MW")=0,"",SUMIFS(tblDaily[Remaining],tblDaily[EntryDate],DATE(2026,2,4),tblDaily[WardCode],"MW")),"")</f>
        <v>19</v>
      </c>
    </row>
    <row r="50" spans="1:8" x14ac:dyDescent="0.25">
      <c r="A50" s="4">
        <v>5</v>
      </c>
      <c r="B50" s="4">
        <f>IFERROR(IF(SUMIFS(tblDaily[Admissions],tblDaily[EntryDate],DATE(2026,2,5),tblDaily[WardCode],"MW")=0,"",SUMIFS(tblDaily[Admissions],tblDaily[EntryDate],DATE(2026,2,5),tblDaily[WardCode],"MW")),"")</f>
        <v>3</v>
      </c>
      <c r="C50" s="4">
        <f>IFERROR(IF(SUMIFS(tblDaily[Discharges],tblDaily[EntryDate],DATE(2026,2,5),tblDaily[WardCode],"MW")=0,"",SUMIFS(tblDaily[Discharges],tblDaily[EntryDate],DATE(2026,2,5),tblDaily[WardCode],"MW")),"")</f>
        <v>4</v>
      </c>
      <c r="D50" s="4">
        <f>IFERROR(IF(SUMIFS(tblDaily[Deaths],tblDaily[EntryDate],DATE(2026,2,5),tblDaily[WardCode],"MW")=0,"",SUMIFS(tblDaily[Deaths],tblDaily[EntryDate],DATE(2026,2,5),tblDaily[WardCode],"MW")),"")</f>
        <v>1</v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>
        <f>IFERROR(IF(SUMIFS(tblDaily[Remaining],tblDaily[EntryDate],DATE(2026,2,5),tblDaily[WardCode],"MW")=0,"",SUMIFS(tblDaily[Remaining],tblDaily[EntryDate],DATE(2026,2,5),tblDaily[WardCode],"MW")),"")</f>
        <v>17</v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>
        <f>IFERROR(IF(SUMIFS(tblDaily[Discharges],tblDaily[EntryDate],DATE(2026,2,6),tblDaily[WardCode],"MW")=0,"",SUMIFS(tblDaily[Discharges],tblDaily[EntryDate],DATE(2026,2,6),tblDaily[WardCode],"MW")),"")</f>
        <v>8</v>
      </c>
      <c r="D51" s="4">
        <f>IFERROR(IF(SUMIFS(tblDaily[Deaths],tblDaily[EntryDate],DATE(2026,2,6),tblDaily[WardCode],"MW")=0,"",SUMIFS(tblDaily[Deaths],tblDaily[EntryDate],DATE(2026,2,6),tblDaily[WardCode],"MW")),"")</f>
        <v>1</v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>
        <f>IFERROR(IF(SUMIFS(tblDaily[TransfersIn],tblDaily[EntryDate],DATE(2026,2,6),tblDaily[WardCode],"MW")=0,"",SUMIFS(tblDaily[TransfersIn],tblDaily[EntryDate],DATE(2026,2,6),tblDaily[WardCode],"MW")),"")</f>
        <v>2</v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>
        <f>IFERROR(IF(SUMIFS(tblDaily[Remaining],tblDaily[EntryDate],DATE(2026,2,6),tblDaily[WardCode],"MW")=0,"",SUMIFS(tblDaily[Remaining],tblDaily[EntryDate],DATE(2026,2,6),tblDaily[WardCode],"MW")),"")</f>
        <v>10</v>
      </c>
    </row>
    <row r="52" spans="1:8" x14ac:dyDescent="0.25">
      <c r="A52" s="4">
        <v>7</v>
      </c>
      <c r="B52" s="4">
        <f>IFERROR(IF(SUMIFS(tblDaily[Admissions],tblDaily[EntryDate],DATE(2026,2,7),tblDaily[WardCode],"MW")=0,"",SUMIFS(tblDaily[Admissions],tblDaily[EntryDate],DATE(2026,2,7),tblDaily[WardCode],"MW")),"")</f>
        <v>3</v>
      </c>
      <c r="C52" s="4">
        <f>IFERROR(IF(SUMIFS(tblDaily[Discharges],tblDaily[EntryDate],DATE(2026,2,7),tblDaily[WardCode],"MW")=0,"",SUMIFS(tblDaily[Discharges],tblDaily[EntryDate],DATE(2026,2,7),tblDaily[WardCode],"MW")),"")</f>
        <v>3</v>
      </c>
      <c r="D52" s="4">
        <f>IFERROR(IF(SUMIFS(tblDaily[Deaths],tblDaily[EntryDate],DATE(2026,2,7),tblDaily[WardCode],"MW")=0,"",SUMIFS(tblDaily[Deaths],tblDaily[EntryDate],DATE(2026,2,7),tblDaily[WardCode],"MW")),"")</f>
        <v>2</v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>
        <f>IFERROR(IF(SUMIFS(tblDaily[TransfersIn],tblDaily[EntryDate],DATE(2026,2,7),tblDaily[WardCode],"MW")=0,"",SUMIFS(tblDaily[TransfersIn],tblDaily[EntryDate],DATE(2026,2,7),tblDaily[WardCode],"MW")),"")</f>
        <v>1</v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>
        <f>IFERROR(IF(SUMIFS(tblDaily[Remaining],tblDaily[EntryDate],DATE(2026,2,7),tblDaily[WardCode],"MW")=0,"",SUMIFS(tblDaily[Remaining],tblDaily[EntryDate],DATE(2026,2,7),tblDaily[WardCode],"MW")),"")</f>
        <v>9</v>
      </c>
    </row>
    <row r="53" spans="1:8" x14ac:dyDescent="0.25">
      <c r="A53" s="4">
        <v>8</v>
      </c>
      <c r="B53" s="4">
        <f>IFERROR(IF(SUMIFS(tblDaily[Admissions],tblDaily[EntryDate],DATE(2026,2,8),tblDaily[WardCode],"MW")=0,"",SUMIFS(tblDaily[Admissions],tblDaily[EntryDate],DATE(2026,2,8),tblDaily[WardCode],"MW")),"")</f>
        <v>4</v>
      </c>
      <c r="C53" s="4">
        <f>IFERROR(IF(SUMIFS(tblDaily[Discharges],tblDaily[EntryDate],DATE(2026,2,8),tblDaily[WardCode],"MW")=0,"",SUMIFS(tblDaily[Discharges],tblDaily[EntryDate],DATE(2026,2,8),tblDaily[WardCode],"MW")),"")</f>
        <v>1</v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>
        <f>IFERROR(IF(SUMIFS(tblDaily[Remaining],tblDaily[EntryDate],DATE(2026,2,8),tblDaily[WardCode],"MW")=0,"",SUMIFS(tblDaily[Remaining],tblDaily[EntryDate],DATE(2026,2,8),tblDaily[WardCode],"MW")),"")</f>
        <v>12</v>
      </c>
    </row>
    <row r="54" spans="1:8" x14ac:dyDescent="0.25">
      <c r="A54" s="4">
        <v>9</v>
      </c>
      <c r="B54" s="4">
        <f>IFERROR(IF(SUMIFS(tblDaily[Admissions],tblDaily[EntryDate],DATE(2026,2,9),tblDaily[WardCode],"MW")=0,"",SUMIFS(tblDaily[Admissions],tblDaily[EntryDate],DATE(2026,2,9),tblDaily[WardCode],"MW")),"")</f>
        <v>1</v>
      </c>
      <c r="C54" s="4">
        <f>IFERROR(IF(SUMIFS(tblDaily[Discharges],tblDaily[EntryDate],DATE(2026,2,9),tblDaily[WardCode],"MW")=0,"",SUMIFS(tblDaily[Discharges],tblDaily[EntryDate],DATE(2026,2,9),tblDaily[WardCode],"MW")),"")</f>
        <v>3</v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>
        <f>IFERROR(IF(SUMIFS(tblDaily[TransfersIn],tblDaily[EntryDate],DATE(2026,2,9),tblDaily[WardCode],"MW")=0,"",SUMIFS(tblDaily[TransfersIn],tblDaily[EntryDate],DATE(2026,2,9),tblDaily[WardCode],"MW")),"")</f>
        <v>2</v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>
        <f>IFERROR(IF(SUMIFS(tblDaily[Remaining],tblDaily[EntryDate],DATE(2026,2,9),tblDaily[WardCode],"MW")=0,"",SUMIFS(tblDaily[Remaining],tblDaily[EntryDate],DATE(2026,2,9),tblDaily[WardCode],"MW")),"")</f>
        <v>12</v>
      </c>
    </row>
    <row r="55" spans="1:8" x14ac:dyDescent="0.25">
      <c r="A55" s="4">
        <v>10</v>
      </c>
      <c r="B55" s="4">
        <f>IFERROR(IF(SUMIFS(tblDaily[Admissions],tblDaily[EntryDate],DATE(2026,2,10),tblDaily[WardCode],"MW")=0,"",SUMIFS(tblDaily[Admissions],tblDaily[EntryDate],DATE(2026,2,10),tblDaily[WardCode],"MW")),"")</f>
        <v>1</v>
      </c>
      <c r="C55" s="4">
        <f>IFERROR(IF(SUMIFS(tblDaily[Discharges],tblDaily[EntryDate],DATE(2026,2,10),tblDaily[WardCode],"MW")=0,"",SUMIFS(tblDaily[Discharges],tblDaily[EntryDate],DATE(2026,2,10),tblDaily[WardCode],"MW")),"")</f>
        <v>3</v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>
        <f>IFERROR(IF(SUMIFS(tblDaily[Remaining],tblDaily[EntryDate],DATE(2026,2,10),tblDaily[WardCode],"MW")=0,"",SUMIFS(tblDaily[Remaining],tblDaily[EntryDate],DATE(2026,2,10),tblDaily[WardCode],"MW")),"")</f>
        <v>10</v>
      </c>
    </row>
    <row r="56" spans="1:8" x14ac:dyDescent="0.25">
      <c r="A56" s="4">
        <v>11</v>
      </c>
      <c r="B56" s="4">
        <f>IFERROR(IF(SUMIFS(tblDaily[Admissions],tblDaily[EntryDate],DATE(2026,2,11),tblDaily[WardCode],"MW")=0,"",SUMIFS(tblDaily[Admissions],tblDaily[EntryDate],DATE(2026,2,11),tblDaily[WardCode],"MW")),"")</f>
        <v>1</v>
      </c>
      <c r="C56" s="4">
        <f>IFERROR(IF(SUMIFS(tblDaily[Discharges],tblDaily[EntryDate],DATE(2026,2,11),tblDaily[WardCode],"MW")=0,"",SUMIFS(tblDaily[Discharges],tblDaily[EntryDate],DATE(2026,2,11),tblDaily[WardCode],"MW")),"")</f>
        <v>3</v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>
        <f>IFERROR(IF(SUMIFS(tblDaily[TransfersIn],tblDaily[EntryDate],DATE(2026,2,11),tblDaily[WardCode],"MW")=0,"",SUMIFS(tblDaily[TransfersIn],tblDaily[EntryDate],DATE(2026,2,11),tblDaily[WardCode],"MW")),"")</f>
        <v>4</v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>
        <f>IFERROR(IF(SUMIFS(tblDaily[Remaining],tblDaily[EntryDate],DATE(2026,2,11),tblDaily[WardCode],"MW")=0,"",SUMIFS(tblDaily[Remaining],tblDaily[EntryDate],DATE(2026,2,11),tblDaily[WardCode],"MW")),"")</f>
        <v>12</v>
      </c>
    </row>
    <row r="57" spans="1:8" x14ac:dyDescent="0.25">
      <c r="A57" s="4">
        <v>12</v>
      </c>
      <c r="B57" s="4">
        <f>IFERROR(IF(SUMIFS(tblDaily[Admissions],tblDaily[EntryDate],DATE(2026,2,12),tblDaily[WardCode],"MW")=0,"",SUMIFS(tblDaily[Admissions],tblDaily[EntryDate],DATE(2026,2,12),tblDaily[WardCode],"MW")),"")</f>
        <v>6</v>
      </c>
      <c r="C57" s="4">
        <f>IFERROR(IF(SUMIFS(tblDaily[Discharges],tblDaily[EntryDate],DATE(2026,2,12),tblDaily[WardCode],"MW")=0,"",SUMIFS(tblDaily[Discharges],tblDaily[EntryDate],DATE(2026,2,12),tblDaily[WardCode],"MW")),"")</f>
        <v>3</v>
      </c>
      <c r="D57" s="4">
        <f>IFERROR(IF(SUMIFS(tblDaily[Deaths],tblDaily[EntryDate],DATE(2026,2,12),tblDaily[WardCode],"MW")=0,"",SUMIFS(tblDaily[Deaths],tblDaily[EntryDate],DATE(2026,2,12),tblDaily[WardCode],"MW")),"")</f>
        <v>1</v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>
        <f>IFERROR(IF(SUMIFS(tblDaily[TransfersIn],tblDaily[EntryDate],DATE(2026,2,12),tblDaily[WardCode],"MW")=0,"",SUMIFS(tblDaily[TransfersIn],tblDaily[EntryDate],DATE(2026,2,12),tblDaily[WardCode],"MW")),"")</f>
        <v>2</v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>
        <f>IFERROR(IF(SUMIFS(tblDaily[Remaining],tblDaily[EntryDate],DATE(2026,2,12),tblDaily[WardCode],"MW")=0,"",SUMIFS(tblDaily[Remaining],tblDaily[EntryDate],DATE(2026,2,12),tblDaily[WardCode],"MW")),"")</f>
        <v>16</v>
      </c>
    </row>
    <row r="58" spans="1:8" x14ac:dyDescent="0.25">
      <c r="A58" s="4">
        <v>13</v>
      </c>
      <c r="B58" s="4">
        <f>IFERROR(IF(SUMIFS(tblDaily[Admissions],tblDaily[EntryDate],DATE(2026,2,13),tblDaily[WardCode],"MW")=0,"",SUMIFS(tblDaily[Admissions],tblDaily[EntryDate],DATE(2026,2,13),tblDaily[WardCode],"MW")),"")</f>
        <v>4</v>
      </c>
      <c r="C58" s="4">
        <f>IFERROR(IF(SUMIFS(tblDaily[Discharges],tblDaily[EntryDate],DATE(2026,2,13),tblDaily[WardCode],"MW")=0,"",SUMIFS(tblDaily[Discharges],tblDaily[EntryDate],DATE(2026,2,13),tblDaily[WardCode],"MW")),"")</f>
        <v>3</v>
      </c>
      <c r="D58" s="4">
        <f>IFERROR(IF(SUMIFS(tblDaily[Deaths],tblDaily[EntryDate],DATE(2026,2,13),tblDaily[WardCode],"MW")=0,"",SUMIFS(tblDaily[Deaths],tblDaily[EntryDate],DATE(2026,2,13),tblDaily[WardCode],"MW")),"")</f>
        <v>1</v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>
        <f>IFERROR(IF(SUMIFS(tblDaily[TransfersIn],tblDaily[EntryDate],DATE(2026,2,13),tblDaily[WardCode],"MW")=0,"",SUMIFS(tblDaily[TransfersIn],tblDaily[EntryDate],DATE(2026,2,13),tblDaily[WardCode],"MW")),"")</f>
        <v>2</v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>
        <f>IFERROR(IF(SUMIFS(tblDaily[Remaining],tblDaily[EntryDate],DATE(2026,2,13),tblDaily[WardCode],"MW")=0,"",SUMIFS(tblDaily[Remaining],tblDaily[EntryDate],DATE(2026,2,13),tblDaily[WardCode],"MW")),"")</f>
        <v>18</v>
      </c>
    </row>
    <row r="59" spans="1:8" x14ac:dyDescent="0.25">
      <c r="A59" s="4">
        <v>14</v>
      </c>
      <c r="B59" s="4">
        <f>IFERROR(IF(SUMIFS(tblDaily[Admissions],tblDaily[EntryDate],DATE(2026,2,14),tblDaily[WardCode],"MW")=0,"",SUMIFS(tblDaily[Admissions],tblDaily[EntryDate],DATE(2026,2,14),tblDaily[WardCode],"MW")),"")</f>
        <v>1</v>
      </c>
      <c r="C59" s="4">
        <f>IFERROR(IF(SUMIFS(tblDaily[Discharges],tblDaily[EntryDate],DATE(2026,2,14),tblDaily[WardCode],"MW")=0,"",SUMIFS(tblDaily[Discharges],tblDaily[EntryDate],DATE(2026,2,14),tblDaily[WardCode],"MW")),"")</f>
        <v>1</v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>
        <f>IFERROR(IF(SUMIFS(tblDaily[TransfersIn],tblDaily[EntryDate],DATE(2026,2,14),tblDaily[WardCode],"MW")=0,"",SUMIFS(tblDaily[TransfersIn],tblDaily[EntryDate],DATE(2026,2,14),tblDaily[WardCode],"MW")),"")</f>
        <v>1</v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>
        <f>IFERROR(IF(SUMIFS(tblDaily[Remaining],tblDaily[EntryDate],DATE(2026,2,14),tblDaily[WardCode],"MW")=0,"",SUMIFS(tblDaily[Remaining],tblDaily[EntryDate],DATE(2026,2,14),tblDaily[WardCode],"MW")),"")</f>
        <v>19</v>
      </c>
    </row>
    <row r="60" spans="1:8" x14ac:dyDescent="0.25">
      <c r="A60" s="4">
        <v>15</v>
      </c>
      <c r="B60" s="4">
        <f>IFERROR(IF(SUMIFS(tblDaily[Admissions],tblDaily[EntryDate],DATE(2026,2,15),tblDaily[WardCode],"MW")=0,"",SUMIFS(tblDaily[Admissions],tblDaily[EntryDate],DATE(2026,2,15),tblDaily[WardCode],"MW")),"")</f>
        <v>4</v>
      </c>
      <c r="C60" s="4">
        <f>IFERROR(IF(SUMIFS(tblDaily[Discharges],tblDaily[EntryDate],DATE(2026,2,15),tblDaily[WardCode],"MW")=0,"",SUMIFS(tblDaily[Discharges],tblDaily[EntryDate],DATE(2026,2,15),tblDaily[WardCode],"MW")),"")</f>
        <v>4</v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>
        <f>IFERROR(IF(SUMIFS(tblDaily[Remaining],tblDaily[EntryDate],DATE(2026,2,15),tblDaily[WardCode],"MW")=0,"",SUMIFS(tblDaily[Remaining],tblDaily[EntryDate],DATE(2026,2,15),tblDaily[WardCode],"MW")),"")</f>
        <v>19</v>
      </c>
    </row>
    <row r="61" spans="1:8" x14ac:dyDescent="0.25">
      <c r="A61" s="4">
        <v>16</v>
      </c>
      <c r="B61" s="4">
        <f>IFERROR(IF(SUMIFS(tblDaily[Admissions],tblDaily[EntryDate],DATE(2026,2,16),tblDaily[WardCode],"MW")=0,"",SUMIFS(tblDaily[Admissions],tblDaily[EntryDate],DATE(2026,2,16),tblDaily[WardCode],"MW")),"")</f>
        <v>4</v>
      </c>
      <c r="C61" s="4">
        <f>IFERROR(IF(SUMIFS(tblDaily[Discharges],tblDaily[EntryDate],DATE(2026,2,16),tblDaily[WardCode],"MW")=0,"",SUMIFS(tblDaily[Discharges],tblDaily[EntryDate],DATE(2026,2,16),tblDaily[WardCode],"MW")),"")</f>
        <v>2</v>
      </c>
      <c r="D61" s="4">
        <f>IFERROR(IF(SUMIFS(tblDaily[Deaths],tblDaily[EntryDate],DATE(2026,2,16),tblDaily[WardCode],"MW")=0,"",SUMIFS(tblDaily[Deaths],tblDaily[EntryDate],DATE(2026,2,16),tblDaily[WardCode],"MW")),"")</f>
        <v>2</v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>
        <f>IFERROR(IF(SUMIFS(tblDaily[Remaining],tblDaily[EntryDate],DATE(2026,2,16),tblDaily[WardCode],"MW")=0,"",SUMIFS(tblDaily[Remaining],tblDaily[EntryDate],DATE(2026,2,16),tblDaily[WardCode],"MW")),"")</f>
        <v>19</v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>
        <f>IFERROR(IF(SUMIFS(tblDaily[Remaining],tblDaily[EntryDate],DATE(2026,2,17),tblDaily[WardCode],"MW")=0,"",SUMIFS(tblDaily[Remaining],tblDaily[EntryDate],DATE(2026,2,17),tblDaily[WardCode],"MW")),"")</f>
        <v>19</v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SUMIFS(tblDaily[Admissions],tblDaily[Month],2,tblDaily[WardCode],"MW") - SUMIFS(tblDaily[DeathsUnder24Hrs],tblDaily[Month],2,tblDaily[WardCode],"MW")</f>
        <v>32</v>
      </c>
      <c r="C77" s="9">
        <f>SUMIFS(tblDaily[Discharges],tblDaily[Month],2,tblDaily[WardCode],"MW")</f>
        <v>38</v>
      </c>
      <c r="D77" s="9">
        <f>SUMIFS(tblDaily[Deaths],tblDaily[Month],2,tblDaily[WardCode],"MW")</f>
        <v>8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14</v>
      </c>
      <c r="G77" s="9">
        <f>SUMIFS(tblDaily[TransfersOut],tblDaily[Month],2,tblDaily[WardCode],"MW")</f>
        <v>0</v>
      </c>
      <c r="H77" s="9">
        <f>SUMIFS(tblDaily[Remaining],tblDaily[Month],2,tblDaily[WardCode],"MW")</f>
        <v>249</v>
      </c>
    </row>
    <row r="79" spans="1:8" ht="18.75" x14ac:dyDescent="0.25">
      <c r="A79" s="28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5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103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106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112</v>
      </c>
      <c r="B116" s="9">
        <f>SUMIFS(tblDaily[Admissions],tblDaily[Month],3,tblDaily[WardCode],"MW") - SUMIFS(tblDaily[DeathsUnder24Hrs],tblDaily[Month],3,tblDaily[WardCode],"MW")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28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5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103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106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SUMIFS(tblDaily[Admissions],tblDaily[Month],4,tblDaily[WardCode],"MW") - SUMIFS(tblDaily[DeathsUnder24Hrs],tblDaily[Month],4,tblDaily[WardCode],"MW")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28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5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103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106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112</v>
      </c>
      <c r="B194" s="9">
        <f>SUMIFS(tblDaily[Admissions],tblDaily[Month],5,tblDaily[WardCode],"MW") - SUMIFS(tblDaily[DeathsUnder24Hrs],tblDaily[Month],5,tblDaily[WardCode],"MW")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28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5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103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106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SUMIFS(tblDaily[Admissions],tblDaily[Month],6,tblDaily[WardCode],"MW") - SUMIFS(tblDaily[DeathsUnder24Hrs],tblDaily[Month],6,tblDaily[WardCode],"MW")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28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5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103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106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112</v>
      </c>
      <c r="B272" s="9">
        <f>SUMIFS(tblDaily[Admissions],tblDaily[Month],7,tblDaily[WardCode],"MW") - SUMIFS(tblDaily[DeathsUnder24Hrs],tblDaily[Month],7,tblDaily[WardCode],"MW")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28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5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103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106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112</v>
      </c>
      <c r="B311" s="9">
        <f>SUMIFS(tblDaily[Admissions],tblDaily[Month],8,tblDaily[WardCode],"MW") - SUMIFS(tblDaily[DeathsUnder24Hrs],tblDaily[Month],8,tblDaily[WardCode],"MW")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28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5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103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106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SUMIFS(tblDaily[Admissions],tblDaily[Month],9,tblDaily[WardCode],"MW") - SUMIFS(tblDaily[DeathsUnder24Hrs],tblDaily[Month],9,tblDaily[WardCode],"MW")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28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5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103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106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112</v>
      </c>
      <c r="B389" s="9">
        <f>SUMIFS(tblDaily[Admissions],tblDaily[Month],10,tblDaily[WardCode],"MW") - SUMIFS(tblDaily[DeathsUnder24Hrs],tblDaily[Month],10,tblDaily[WardCode],"MW")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28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5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103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106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SUMIFS(tblDaily[Admissions],tblDaily[Month],11,tblDaily[WardCode],"MW") - SUMIFS(tblDaily[DeathsUnder24Hrs],tblDaily[Month],11,tblDaily[WardCode],"MW")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28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5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103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106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112</v>
      </c>
      <c r="B467" s="9">
        <f>SUMIFS(tblDaily[Admissions],tblDaily[Month],12,tblDaily[WardCode],"MW") - SUMIFS(tblDaily[DeathsUnder24Hrs],tblDaily[Month],12,tblDaily[WardCode],"MW")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topLeftCell="A13" workbookViewId="0">
      <selection sqref="A1:G1"/>
    </sheetView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8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5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113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IFERROR(INDEX(tblWardConfig[PrevYearRemaining],MATCH("FW",tblWardConfig[WardCode],0)),0)</f>
        <v>16</v>
      </c>
    </row>
    <row r="5" spans="1:8" x14ac:dyDescent="0.25">
      <c r="A5" s="1" t="s">
        <v>106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>
        <f>IFERROR(IF(SUMIFS(tblDaily[Admissions],tblDaily[EntryDate],DATE(2026,1,1),tblDaily[WardCode],"FW")=0,"",SUMIFS(tblDaily[Admissions],tblDaily[EntryDate],DATE(2026,1,1),tblDaily[WardCode],"FW")),"")</f>
        <v>4</v>
      </c>
      <c r="C7" s="4">
        <f>IFERROR(IF(SUMIFS(tblDaily[Discharges],tblDaily[EntryDate],DATE(2026,1,1),tblDaily[WardCode],"FW")=0,"",SUMIFS(tblDaily[Discharges],tblDaily[EntryDate],DATE(2026,1,1),tblDaily[WardCode],"FW")),"")</f>
        <v>2</v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>
        <f>IFERROR(IF(SUMIFS(tblDaily[TransfersIn],tblDaily[EntryDate],DATE(2026,1,1),tblDaily[WardCode],"FW")=0,"",SUMIFS(tblDaily[TransfersIn],tblDaily[EntryDate],DATE(2026,1,1),tblDaily[WardCode],"FW")),"")</f>
        <v>1</v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>
        <f>IFERROR(IF(SUMIFS(tblDaily[Remaining],tblDaily[EntryDate],DATE(2026,1,1),tblDaily[WardCode],"FW")=0,"",SUMIFS(tblDaily[Remaining],tblDaily[EntryDate],DATE(2026,1,1),tblDaily[WardCode],"FW")),"")</f>
        <v>19</v>
      </c>
    </row>
    <row r="8" spans="1:8" x14ac:dyDescent="0.25">
      <c r="A8" s="4">
        <v>2</v>
      </c>
      <c r="B8" s="4">
        <f>IFERROR(IF(SUMIFS(tblDaily[Admissions],tblDaily[EntryDate],DATE(2026,1,2),tblDaily[WardCode],"FW")=0,"",SUMIFS(tblDaily[Admissions],tblDaily[EntryDate],DATE(2026,1,2),tblDaily[WardCode],"FW")),"")</f>
        <v>2</v>
      </c>
      <c r="C8" s="4">
        <f>IFERROR(IF(SUMIFS(tblDaily[Discharges],tblDaily[EntryDate],DATE(2026,1,2),tblDaily[WardCode],"FW")=0,"",SUMIFS(tblDaily[Discharges],tblDaily[EntryDate],DATE(2026,1,2),tblDaily[WardCode],"FW")),"")</f>
        <v>4</v>
      </c>
      <c r="D8" s="4">
        <f>IFERROR(IF(SUMIFS(tblDaily[Deaths],tblDaily[EntryDate],DATE(2026,1,2),tblDaily[WardCode],"FW")=0,"",SUMIFS(tblDaily[Deaths],tblDaily[EntryDate],DATE(2026,1,2),tblDaily[WardCode],"FW")),"")</f>
        <v>1</v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>
        <f>IFERROR(IF(SUMIFS(tblDaily[Remaining],tblDaily[EntryDate],DATE(2026,1,2),tblDaily[WardCode],"FW")=0,"",SUMIFS(tblDaily[Remaining],tblDaily[EntryDate],DATE(2026,1,2),tblDaily[WardCode],"FW")),"")</f>
        <v>16</v>
      </c>
    </row>
    <row r="9" spans="1:8" x14ac:dyDescent="0.25">
      <c r="A9" s="4">
        <v>3</v>
      </c>
      <c r="B9" s="4">
        <f>IFERROR(IF(SUMIFS(tblDaily[Admissions],tblDaily[EntryDate],DATE(2026,1,3),tblDaily[WardCode],"FW")=0,"",SUMIFS(tblDaily[Admissions],tblDaily[EntryDate],DATE(2026,1,3),tblDaily[WardCode],"FW")),"")</f>
        <v>2</v>
      </c>
      <c r="C9" s="4">
        <f>IFERROR(IF(SUMIFS(tblDaily[Discharges],tblDaily[EntryDate],DATE(2026,1,3),tblDaily[WardCode],"FW")=0,"",SUMIFS(tblDaily[Discharges],tblDaily[EntryDate],DATE(2026,1,3),tblDaily[WardCode],"FW")),"")</f>
        <v>1</v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>
        <f>IFERROR(IF(SUMIFS(tblDaily[TransfersIn],tblDaily[EntryDate],DATE(2026,1,3),tblDaily[WardCode],"FW")=0,"",SUMIFS(tblDaily[TransfersIn],tblDaily[EntryDate],DATE(2026,1,3),tblDaily[WardCode],"FW")),"")</f>
        <v>1</v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>
        <f>IFERROR(IF(SUMIFS(tblDaily[Remaining],tblDaily[EntryDate],DATE(2026,1,3),tblDaily[WardCode],"FW")=0,"",SUMIFS(tblDaily[Remaining],tblDaily[EntryDate],DATE(2026,1,3),tblDaily[WardCode],"FW")),"")</f>
        <v>18</v>
      </c>
    </row>
    <row r="10" spans="1:8" x14ac:dyDescent="0.25">
      <c r="A10" s="4">
        <v>4</v>
      </c>
      <c r="B10" s="4">
        <f>IFERROR(IF(SUMIFS(tblDaily[Admissions],tblDaily[EntryDate],DATE(2026,1,4),tblDaily[WardCode],"FW")=0,"",SUMIFS(tblDaily[Admissions],tblDaily[EntryDate],DATE(2026,1,4),tblDaily[WardCode],"FW")),"")</f>
        <v>6</v>
      </c>
      <c r="C10" s="4">
        <f>IFERROR(IF(SUMIFS(tblDaily[Discharges],tblDaily[EntryDate],DATE(2026,1,4),tblDaily[WardCode],"FW")=0,"",SUMIFS(tblDaily[Discharges],tblDaily[EntryDate],DATE(2026,1,4),tblDaily[WardCode],"FW")),"")</f>
        <v>1</v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>
        <f>IFERROR(IF(SUMIFS(tblDaily[Remaining],tblDaily[EntryDate],DATE(2026,1,4),tblDaily[WardCode],"FW")=0,"",SUMIFS(tblDaily[Remaining],tblDaily[EntryDate],DATE(2026,1,4),tblDaily[WardCode],"FW")),"")</f>
        <v>23</v>
      </c>
    </row>
    <row r="11" spans="1:8" x14ac:dyDescent="0.25">
      <c r="A11" s="4">
        <v>5</v>
      </c>
      <c r="B11" s="4">
        <f>IFERROR(IF(SUMIFS(tblDaily[Admissions],tblDaily[EntryDate],DATE(2026,1,5),tblDaily[WardCode],"FW")=0,"",SUMIFS(tblDaily[Admissions],tblDaily[EntryDate],DATE(2026,1,5),tblDaily[WardCode],"FW")),"")</f>
        <v>4</v>
      </c>
      <c r="C11" s="4">
        <f>IFERROR(IF(SUMIFS(tblDaily[Discharges],tblDaily[EntryDate],DATE(2026,1,5),tblDaily[WardCode],"FW")=0,"",SUMIFS(tblDaily[Discharges],tblDaily[EntryDate],DATE(2026,1,5),tblDaily[WardCode],"FW")),"")</f>
        <v>5</v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>
        <f>IFERROR(IF(SUMIFS(tblDaily[TransfersIn],tblDaily[EntryDate],DATE(2026,1,5),tblDaily[WardCode],"FW")=0,"",SUMIFS(tblDaily[TransfersIn],tblDaily[EntryDate],DATE(2026,1,5),tblDaily[WardCode],"FW")),"")</f>
        <v>1</v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>
        <f>IFERROR(IF(SUMIFS(tblDaily[Remaining],tblDaily[EntryDate],DATE(2026,1,5),tblDaily[WardCode],"FW")=0,"",SUMIFS(tblDaily[Remaining],tblDaily[EntryDate],DATE(2026,1,5),tblDaily[WardCode],"FW")),"")</f>
        <v>23</v>
      </c>
    </row>
    <row r="12" spans="1:8" x14ac:dyDescent="0.25">
      <c r="A12" s="4">
        <v>6</v>
      </c>
      <c r="B12" s="4">
        <f>IFERROR(IF(SUMIFS(tblDaily[Admissions],tblDaily[EntryDate],DATE(2026,1,6),tblDaily[WardCode],"FW")=0,"",SUMIFS(tblDaily[Admissions],tblDaily[EntryDate],DATE(2026,1,6),tblDaily[WardCode],"FW")),"")</f>
        <v>2</v>
      </c>
      <c r="C12" s="4">
        <f>IFERROR(IF(SUMIFS(tblDaily[Discharges],tblDaily[EntryDate],DATE(2026,1,6),tblDaily[WardCode],"FW")=0,"",SUMIFS(tblDaily[Discharges],tblDaily[EntryDate],DATE(2026,1,6),tblDaily[WardCode],"FW")),"")</f>
        <v>5</v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>
        <f>IFERROR(IF(SUMIFS(tblDaily[Remaining],tblDaily[EntryDate],DATE(2026,1,6),tblDaily[WardCode],"FW")=0,"",SUMIFS(tblDaily[Remaining],tblDaily[EntryDate],DATE(2026,1,6),tblDaily[WardCode],"FW")),"")</f>
        <v>20</v>
      </c>
    </row>
    <row r="13" spans="1:8" x14ac:dyDescent="0.25">
      <c r="A13" s="4">
        <v>7</v>
      </c>
      <c r="B13" s="4">
        <f>IFERROR(IF(SUMIFS(tblDaily[Admissions],tblDaily[EntryDate],DATE(2026,1,7),tblDaily[WardCode],"FW")=0,"",SUMIFS(tblDaily[Admissions],tblDaily[EntryDate],DATE(2026,1,7),tblDaily[WardCode],"FW")),"")</f>
        <v>5</v>
      </c>
      <c r="C13" s="4">
        <f>IFERROR(IF(SUMIFS(tblDaily[Discharges],tblDaily[EntryDate],DATE(2026,1,7),tblDaily[WardCode],"FW")=0,"",SUMIFS(tblDaily[Discharges],tblDaily[EntryDate],DATE(2026,1,7),tblDaily[WardCode],"FW")),"")</f>
        <v>2</v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>
        <f>IFERROR(IF(SUMIFS(tblDaily[Remaining],tblDaily[EntryDate],DATE(2026,1,7),tblDaily[WardCode],"FW")=0,"",SUMIFS(tblDaily[Remaining],tblDaily[EntryDate],DATE(2026,1,7),tblDaily[WardCode],"FW")),"")</f>
        <v>23</v>
      </c>
    </row>
    <row r="14" spans="1:8" x14ac:dyDescent="0.25">
      <c r="A14" s="4">
        <v>8</v>
      </c>
      <c r="B14" s="4">
        <f>IFERROR(IF(SUMIFS(tblDaily[Admissions],tblDaily[EntryDate],DATE(2026,1,8),tblDaily[WardCode],"FW")=0,"",SUMIFS(tblDaily[Admissions],tblDaily[EntryDate],DATE(2026,1,8),tblDaily[WardCode],"FW")),"")</f>
        <v>1</v>
      </c>
      <c r="C14" s="4">
        <f>IFERROR(IF(SUMIFS(tblDaily[Discharges],tblDaily[EntryDate],DATE(2026,1,8),tblDaily[WardCode],"FW")=0,"",SUMIFS(tblDaily[Discharges],tblDaily[EntryDate],DATE(2026,1,8),tblDaily[WardCode],"FW")),"")</f>
        <v>7</v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>
        <f>IFERROR(IF(SUMIFS(tblDaily[TransfersIn],tblDaily[EntryDate],DATE(2026,1,8),tblDaily[WardCode],"FW")=0,"",SUMIFS(tblDaily[TransfersIn],tblDaily[EntryDate],DATE(2026,1,8),tblDaily[WardCode],"FW")),"")</f>
        <v>2</v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>
        <f>IFERROR(IF(SUMIFS(tblDaily[Remaining],tblDaily[EntryDate],DATE(2026,1,8),tblDaily[WardCode],"FW")=0,"",SUMIFS(tblDaily[Remaining],tblDaily[EntryDate],DATE(2026,1,8),tblDaily[WardCode],"FW")),"")</f>
        <v>19</v>
      </c>
    </row>
    <row r="15" spans="1:8" x14ac:dyDescent="0.25">
      <c r="A15" s="4">
        <v>9</v>
      </c>
      <c r="B15" s="4">
        <f>IFERROR(IF(SUMIFS(tblDaily[Admissions],tblDaily[EntryDate],DATE(2026,1,9),tblDaily[WardCode],"FW")=0,"",SUMIFS(tblDaily[Admissions],tblDaily[EntryDate],DATE(2026,1,9),tblDaily[WardCode],"FW")),"")</f>
        <v>4</v>
      </c>
      <c r="C15" s="4">
        <f>IFERROR(IF(SUMIFS(tblDaily[Discharges],tblDaily[EntryDate],DATE(2026,1,9),tblDaily[WardCode],"FW")=0,"",SUMIFS(tblDaily[Discharges],tblDaily[EntryDate],DATE(2026,1,9),tblDaily[WardCode],"FW")),"")</f>
        <v>3</v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>
        <f>IFERROR(IF(SUMIFS(tblDaily[Remaining],tblDaily[EntryDate],DATE(2026,1,9),tblDaily[WardCode],"FW")=0,"",SUMIFS(tblDaily[Remaining],tblDaily[EntryDate],DATE(2026,1,9),tblDaily[WardCode],"FW")),"")</f>
        <v>20</v>
      </c>
    </row>
    <row r="16" spans="1:8" x14ac:dyDescent="0.25">
      <c r="A16" s="4">
        <v>10</v>
      </c>
      <c r="B16" s="4">
        <f>IFERROR(IF(SUMIFS(tblDaily[Admissions],tblDaily[EntryDate],DATE(2026,1,10),tblDaily[WardCode],"FW")=0,"",SUMIFS(tblDaily[Admissions],tblDaily[EntryDate],DATE(2026,1,10),tblDaily[WardCode],"FW")),"")</f>
        <v>2</v>
      </c>
      <c r="C16" s="4">
        <f>IFERROR(IF(SUMIFS(tblDaily[Discharges],tblDaily[EntryDate],DATE(2026,1,10),tblDaily[WardCode],"FW")=0,"",SUMIFS(tblDaily[Discharges],tblDaily[EntryDate],DATE(2026,1,10),tblDaily[WardCode],"FW")),"")</f>
        <v>6</v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>
        <f>IFERROR(IF(SUMIFS(tblDaily[Remaining],tblDaily[EntryDate],DATE(2026,1,10),tblDaily[WardCode],"FW")=0,"",SUMIFS(tblDaily[Remaining],tblDaily[EntryDate],DATE(2026,1,10),tblDaily[WardCode],"FW")),"")</f>
        <v>16</v>
      </c>
    </row>
    <row r="17" spans="1:8" x14ac:dyDescent="0.25">
      <c r="A17" s="4">
        <v>11</v>
      </c>
      <c r="B17" s="4">
        <f>IFERROR(IF(SUMIFS(tblDaily[Admissions],tblDaily[EntryDate],DATE(2026,1,11),tblDaily[WardCode],"FW")=0,"",SUMIFS(tblDaily[Admissions],tblDaily[EntryDate],DATE(2026,1,11),tblDaily[WardCode],"FW")),"")</f>
        <v>1</v>
      </c>
      <c r="C17" s="4">
        <f>IFERROR(IF(SUMIFS(tblDaily[Discharges],tblDaily[EntryDate],DATE(2026,1,11),tblDaily[WardCode],"FW")=0,"",SUMIFS(tblDaily[Discharges],tblDaily[EntryDate],DATE(2026,1,11),tblDaily[WardCode],"FW")),"")</f>
        <v>2</v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>
        <f>IFERROR(IF(SUMIFS(tblDaily[TransfersIn],tblDaily[EntryDate],DATE(2026,1,11),tblDaily[WardCode],"FW")=0,"",SUMIFS(tblDaily[TransfersIn],tblDaily[EntryDate],DATE(2026,1,11),tblDaily[WardCode],"FW")),"")</f>
        <v>1</v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>
        <f>IFERROR(IF(SUMIFS(tblDaily[Remaining],tblDaily[EntryDate],DATE(2026,1,11),tblDaily[WardCode],"FW")=0,"",SUMIFS(tblDaily[Remaining],tblDaily[EntryDate],DATE(2026,1,11),tblDaily[WardCode],"FW")),"")</f>
        <v>16</v>
      </c>
    </row>
    <row r="18" spans="1:8" x14ac:dyDescent="0.25">
      <c r="A18" s="4">
        <v>12</v>
      </c>
      <c r="B18" s="4">
        <f>IFERROR(IF(SUMIFS(tblDaily[Admissions],tblDaily[EntryDate],DATE(2026,1,12),tblDaily[WardCode],"FW")=0,"",SUMIFS(tblDaily[Admissions],tblDaily[EntryDate],DATE(2026,1,12),tblDaily[WardCode],"FW")),"")</f>
        <v>5</v>
      </c>
      <c r="C18" s="4">
        <f>IFERROR(IF(SUMIFS(tblDaily[Discharges],tblDaily[EntryDate],DATE(2026,1,12),tblDaily[WardCode],"FW")=0,"",SUMIFS(tblDaily[Discharges],tblDaily[EntryDate],DATE(2026,1,12),tblDaily[WardCode],"FW")),"")</f>
        <v>4</v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>
        <f>IFERROR(IF(SUMIFS(tblDaily[Remaining],tblDaily[EntryDate],DATE(2026,1,12),tblDaily[WardCode],"FW")=0,"",SUMIFS(tblDaily[Remaining],tblDaily[EntryDate],DATE(2026,1,12),tblDaily[WardCode],"FW")),"")</f>
        <v>17</v>
      </c>
    </row>
    <row r="19" spans="1:8" x14ac:dyDescent="0.25">
      <c r="A19" s="4">
        <v>13</v>
      </c>
      <c r="B19" s="4">
        <f>IFERROR(IF(SUMIFS(tblDaily[Admissions],tblDaily[EntryDate],DATE(2026,1,13),tblDaily[WardCode],"FW")=0,"",SUMIFS(tblDaily[Admissions],tblDaily[EntryDate],DATE(2026,1,13),tblDaily[WardCode],"FW")),"")</f>
        <v>5</v>
      </c>
      <c r="C19" s="4">
        <f>IFERROR(IF(SUMIFS(tblDaily[Discharges],tblDaily[EntryDate],DATE(2026,1,13),tblDaily[WardCode],"FW")=0,"",SUMIFS(tblDaily[Discharges],tblDaily[EntryDate],DATE(2026,1,13),tblDaily[WardCode],"FW")),"")</f>
        <v>5</v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>
        <f>IFERROR(IF(SUMIFS(tblDaily[Remaining],tblDaily[EntryDate],DATE(2026,1,13),tblDaily[WardCode],"FW")=0,"",SUMIFS(tblDaily[Remaining],tblDaily[EntryDate],DATE(2026,1,13),tblDaily[WardCode],"FW")),"")</f>
        <v>17</v>
      </c>
    </row>
    <row r="20" spans="1:8" x14ac:dyDescent="0.25">
      <c r="A20" s="4">
        <v>14</v>
      </c>
      <c r="B20" s="4">
        <f>IFERROR(IF(SUMIFS(tblDaily[Admissions],tblDaily[EntryDate],DATE(2026,1,14),tblDaily[WardCode],"FW")=0,"",SUMIFS(tblDaily[Admissions],tblDaily[EntryDate],DATE(2026,1,14),tblDaily[WardCode],"FW")),"")</f>
        <v>1</v>
      </c>
      <c r="C20" s="4">
        <f>IFERROR(IF(SUMIFS(tblDaily[Discharges],tblDaily[EntryDate],DATE(2026,1,14),tblDaily[WardCode],"FW")=0,"",SUMIFS(tblDaily[Discharges],tblDaily[EntryDate],DATE(2026,1,14),tblDaily[WardCode],"FW")),"")</f>
        <v>3</v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>
        <f>IFERROR(IF(SUMIFS(tblDaily[TransfersIn],tblDaily[EntryDate],DATE(2026,1,14),tblDaily[WardCode],"FW")=0,"",SUMIFS(tblDaily[TransfersIn],tblDaily[EntryDate],DATE(2026,1,14),tblDaily[WardCode],"FW")),"")</f>
        <v>1</v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>
        <f>IFERROR(IF(SUMIFS(tblDaily[Remaining],tblDaily[EntryDate],DATE(2026,1,14),tblDaily[WardCode],"FW")=0,"",SUMIFS(tblDaily[Remaining],tblDaily[EntryDate],DATE(2026,1,14),tblDaily[WardCode],"FW")),"")</f>
        <v>16</v>
      </c>
    </row>
    <row r="21" spans="1:8" x14ac:dyDescent="0.25">
      <c r="A21" s="4">
        <v>15</v>
      </c>
      <c r="B21" s="4">
        <f>IFERROR(IF(SUMIFS(tblDaily[Admissions],tblDaily[EntryDate],DATE(2026,1,15),tblDaily[WardCode],"FW")=0,"",SUMIFS(tblDaily[Admissions],tblDaily[EntryDate],DATE(2026,1,15),tblDaily[WardCode],"FW")),"")</f>
        <v>2</v>
      </c>
      <c r="C21" s="4">
        <f>IFERROR(IF(SUMIFS(tblDaily[Discharges],tblDaily[EntryDate],DATE(2026,1,15),tblDaily[WardCode],"FW")=0,"",SUMIFS(tblDaily[Discharges],tblDaily[EntryDate],DATE(2026,1,15),tblDaily[WardCode],"FW")),"")</f>
        <v>2</v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>
        <f>IFERROR(IF(SUMIFS(tblDaily[TransfersIn],tblDaily[EntryDate],DATE(2026,1,15),tblDaily[WardCode],"FW")=0,"",SUMIFS(tblDaily[TransfersIn],tblDaily[EntryDate],DATE(2026,1,15),tblDaily[WardCode],"FW")),"")</f>
        <v>1</v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>
        <f>IFERROR(IF(SUMIFS(tblDaily[Remaining],tblDaily[EntryDate],DATE(2026,1,15),tblDaily[WardCode],"FW")=0,"",SUMIFS(tblDaily[Remaining],tblDaily[EntryDate],DATE(2026,1,15),tblDaily[WardCode],"FW")),"")</f>
        <v>17</v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>
        <f>IFERROR(IF(SUMIFS(tblDaily[Discharges],tblDaily[EntryDate],DATE(2026,1,16),tblDaily[WardCode],"FW")=0,"",SUMIFS(tblDaily[Discharges],tblDaily[EntryDate],DATE(2026,1,16),tblDaily[WardCode],"FW")),"")</f>
        <v>1</v>
      </c>
      <c r="D22" s="4">
        <f>IFERROR(IF(SUMIFS(tblDaily[Deaths],tblDaily[EntryDate],DATE(2026,1,16),tblDaily[WardCode],"FW")=0,"",SUMIFS(tblDaily[Deaths],tblDaily[EntryDate],DATE(2026,1,16),tblDaily[WardCode],"FW")),"")</f>
        <v>2</v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>
        <f>IFERROR(IF(SUMIFS(tblDaily[TransfersIn],tblDaily[EntryDate],DATE(2026,1,16),tblDaily[WardCode],"FW")=0,"",SUMIFS(tblDaily[TransfersIn],tblDaily[EntryDate],DATE(2026,1,16),tblDaily[WardCode],"FW")),"")</f>
        <v>2</v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>
        <f>IFERROR(IF(SUMIFS(tblDaily[Remaining],tblDaily[EntryDate],DATE(2026,1,16),tblDaily[WardCode],"FW")=0,"",SUMIFS(tblDaily[Remaining],tblDaily[EntryDate],DATE(2026,1,16),tblDaily[WardCode],"FW")),"")</f>
        <v>16</v>
      </c>
    </row>
    <row r="23" spans="1:8" x14ac:dyDescent="0.25">
      <c r="A23" s="4">
        <v>17</v>
      </c>
      <c r="B23" s="4">
        <f>IFERROR(IF(SUMIFS(tblDaily[Admissions],tblDaily[EntryDate],DATE(2026,1,17),tblDaily[WardCode],"FW")=0,"",SUMIFS(tblDaily[Admissions],tblDaily[EntryDate],DATE(2026,1,17),tblDaily[WardCode],"FW")),"")</f>
        <v>3</v>
      </c>
      <c r="C23" s="4">
        <f>IFERROR(IF(SUMIFS(tblDaily[Discharges],tblDaily[EntryDate],DATE(2026,1,17),tblDaily[WardCode],"FW")=0,"",SUMIFS(tblDaily[Discharges],tblDaily[EntryDate],DATE(2026,1,17),tblDaily[WardCode],"FW")),"")</f>
        <v>2</v>
      </c>
      <c r="D23" s="4">
        <f>IFERROR(IF(SUMIFS(tblDaily[Deaths],tblDaily[EntryDate],DATE(2026,1,17),tblDaily[WardCode],"FW")=0,"",SUMIFS(tblDaily[Deaths],tblDaily[EntryDate],DATE(2026,1,17),tblDaily[WardCode],"FW")),"")</f>
        <v>1</v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>
        <f>IFERROR(IF(SUMIFS(tblDaily[TransfersIn],tblDaily[EntryDate],DATE(2026,1,17),tblDaily[WardCode],"FW")=0,"",SUMIFS(tblDaily[TransfersIn],tblDaily[EntryDate],DATE(2026,1,17),tblDaily[WardCode],"FW")),"")</f>
        <v>2</v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>
        <f>IFERROR(IF(SUMIFS(tblDaily[Remaining],tblDaily[EntryDate],DATE(2026,1,17),tblDaily[WardCode],"FW")=0,"",SUMIFS(tblDaily[Remaining],tblDaily[EntryDate],DATE(2026,1,17),tblDaily[WardCode],"FW")),"")</f>
        <v>18</v>
      </c>
    </row>
    <row r="24" spans="1:8" x14ac:dyDescent="0.25">
      <c r="A24" s="4">
        <v>18</v>
      </c>
      <c r="B24" s="4">
        <f>IFERROR(IF(SUMIFS(tblDaily[Admissions],tblDaily[EntryDate],DATE(2026,1,18),tblDaily[WardCode],"FW")=0,"",SUMIFS(tblDaily[Admissions],tblDaily[EntryDate],DATE(2026,1,18),tblDaily[WardCode],"FW")),"")</f>
        <v>4</v>
      </c>
      <c r="C24" s="4">
        <f>IFERROR(IF(SUMIFS(tblDaily[Discharges],tblDaily[EntryDate],DATE(2026,1,18),tblDaily[WardCode],"FW")=0,"",SUMIFS(tblDaily[Discharges],tblDaily[EntryDate],DATE(2026,1,18),tblDaily[WardCode],"FW")),"")</f>
        <v>2</v>
      </c>
      <c r="D24" s="4">
        <f>IFERROR(IF(SUMIFS(tblDaily[Deaths],tblDaily[EntryDate],DATE(2026,1,18),tblDaily[WardCode],"FW")=0,"",SUMIFS(tblDaily[Deaths],tblDaily[EntryDate],DATE(2026,1,18),tblDaily[WardCode],"FW")),"")</f>
        <v>1</v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>
        <f>IFERROR(IF(SUMIFS(tblDaily[TransfersIn],tblDaily[EntryDate],DATE(2026,1,18),tblDaily[WardCode],"FW")=0,"",SUMIFS(tblDaily[TransfersIn],tblDaily[EntryDate],DATE(2026,1,18),tblDaily[WardCode],"FW")),"")</f>
        <v>1</v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>
        <f>IFERROR(IF(SUMIFS(tblDaily[Remaining],tblDaily[EntryDate],DATE(2026,1,18),tblDaily[WardCode],"FW")=0,"",SUMIFS(tblDaily[Remaining],tblDaily[EntryDate],DATE(2026,1,18),tblDaily[WardCode],"FW")),"")</f>
        <v>20</v>
      </c>
    </row>
    <row r="25" spans="1:8" x14ac:dyDescent="0.25">
      <c r="A25" s="4">
        <v>19</v>
      </c>
      <c r="B25" s="4">
        <f>IFERROR(IF(SUMIFS(tblDaily[Admissions],tblDaily[EntryDate],DATE(2026,1,19),tblDaily[WardCode],"FW")=0,"",SUMIFS(tblDaily[Admissions],tblDaily[EntryDate],DATE(2026,1,19),tblDaily[WardCode],"FW")),"")</f>
        <v>3</v>
      </c>
      <c r="C25" s="4">
        <f>IFERROR(IF(SUMIFS(tblDaily[Discharges],tblDaily[EntryDate],DATE(2026,1,19),tblDaily[WardCode],"FW")=0,"",SUMIFS(tblDaily[Discharges],tblDaily[EntryDate],DATE(2026,1,19),tblDaily[WardCode],"FW")),"")</f>
        <v>1</v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>
        <f>IFERROR(IF(SUMIFS(tblDaily[TransfersIn],tblDaily[EntryDate],DATE(2026,1,19),tblDaily[WardCode],"FW")=0,"",SUMIFS(tblDaily[TransfersIn],tblDaily[EntryDate],DATE(2026,1,19),tblDaily[WardCode],"FW")),"")</f>
        <v>1</v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>
        <f>IFERROR(IF(SUMIFS(tblDaily[Remaining],tblDaily[EntryDate],DATE(2026,1,19),tblDaily[WardCode],"FW")=0,"",SUMIFS(tblDaily[Remaining],tblDaily[EntryDate],DATE(2026,1,19),tblDaily[WardCode],"FW")),"")</f>
        <v>23</v>
      </c>
    </row>
    <row r="26" spans="1:8" x14ac:dyDescent="0.25">
      <c r="A26" s="4">
        <v>20</v>
      </c>
      <c r="B26" s="4">
        <f>IFERROR(IF(SUMIFS(tblDaily[Admissions],tblDaily[EntryDate],DATE(2026,1,20),tblDaily[WardCode],"FW")=0,"",SUMIFS(tblDaily[Admissions],tblDaily[EntryDate],DATE(2026,1,20),tblDaily[WardCode],"FW")),"")</f>
        <v>4</v>
      </c>
      <c r="C26" s="4">
        <f>IFERROR(IF(SUMIFS(tblDaily[Discharges],tblDaily[EntryDate],DATE(2026,1,20),tblDaily[WardCode],"FW")=0,"",SUMIFS(tblDaily[Discharges],tblDaily[EntryDate],DATE(2026,1,20),tblDaily[WardCode],"FW")),"")</f>
        <v>11</v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>
        <f>IFERROR(IF(SUMIFS(tblDaily[Remaining],tblDaily[EntryDate],DATE(2026,1,20),tblDaily[WardCode],"FW")=0,"",SUMIFS(tblDaily[Remaining],tblDaily[EntryDate],DATE(2026,1,20),tblDaily[WardCode],"FW")),"")</f>
        <v>16</v>
      </c>
    </row>
    <row r="27" spans="1:8" x14ac:dyDescent="0.25">
      <c r="A27" s="4">
        <v>21</v>
      </c>
      <c r="B27" s="4">
        <f>IFERROR(IF(SUMIFS(tblDaily[Admissions],tblDaily[EntryDate],DATE(2026,1,21),tblDaily[WardCode],"FW")=0,"",SUMIFS(tblDaily[Admissions],tblDaily[EntryDate],DATE(2026,1,21),tblDaily[WardCode],"FW")),"")</f>
        <v>1</v>
      </c>
      <c r="C27" s="4">
        <f>IFERROR(IF(SUMIFS(tblDaily[Discharges],tblDaily[EntryDate],DATE(2026,1,21),tblDaily[WardCode],"FW")=0,"",SUMIFS(tblDaily[Discharges],tblDaily[EntryDate],DATE(2026,1,21),tblDaily[WardCode],"FW")),"")</f>
        <v>3</v>
      </c>
      <c r="D27" s="4">
        <f>IFERROR(IF(SUMIFS(tblDaily[Deaths],tblDaily[EntryDate],DATE(2026,1,21),tblDaily[WardCode],"FW")=0,"",SUMIFS(tblDaily[Deaths],tblDaily[EntryDate],DATE(2026,1,21),tblDaily[WardCode],"FW")),"")</f>
        <v>1</v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>
        <f>IFERROR(IF(SUMIFS(tblDaily[TransfersIn],tblDaily[EntryDate],DATE(2026,1,21),tblDaily[WardCode],"FW")=0,"",SUMIFS(tblDaily[TransfersIn],tblDaily[EntryDate],DATE(2026,1,21),tblDaily[WardCode],"FW")),"")</f>
        <v>1</v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>
        <f>IFERROR(IF(SUMIFS(tblDaily[Remaining],tblDaily[EntryDate],DATE(2026,1,21),tblDaily[WardCode],"FW")=0,"",SUMIFS(tblDaily[Remaining],tblDaily[EntryDate],DATE(2026,1,21),tblDaily[WardCode],"FW")),"")</f>
        <v>14</v>
      </c>
    </row>
    <row r="28" spans="1:8" x14ac:dyDescent="0.25">
      <c r="A28" s="4">
        <v>22</v>
      </c>
      <c r="B28" s="4">
        <f>IFERROR(IF(SUMIFS(tblDaily[Admissions],tblDaily[EntryDate],DATE(2026,1,22),tblDaily[WardCode],"FW")=0,"",SUMIFS(tblDaily[Admissions],tblDaily[EntryDate],DATE(2026,1,22),tblDaily[WardCode],"FW")),"")</f>
        <v>2</v>
      </c>
      <c r="C28" s="4">
        <f>IFERROR(IF(SUMIFS(tblDaily[Discharges],tblDaily[EntryDate],DATE(2026,1,22),tblDaily[WardCode],"FW")=0,"",SUMIFS(tblDaily[Discharges],tblDaily[EntryDate],DATE(2026,1,22),tblDaily[WardCode],"FW")),"")</f>
        <v>3</v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>
        <f>IFERROR(IF(SUMIFS(tblDaily[TransfersIn],tblDaily[EntryDate],DATE(2026,1,22),tblDaily[WardCode],"FW")=0,"",SUMIFS(tblDaily[TransfersIn],tblDaily[EntryDate],DATE(2026,1,22),tblDaily[WardCode],"FW")),"")</f>
        <v>2</v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>
        <f>IFERROR(IF(SUMIFS(tblDaily[Remaining],tblDaily[EntryDate],DATE(2026,1,22),tblDaily[WardCode],"FW")=0,"",SUMIFS(tblDaily[Remaining],tblDaily[EntryDate],DATE(2026,1,22),tblDaily[WardCode],"FW")),"")</f>
        <v>15</v>
      </c>
    </row>
    <row r="29" spans="1:8" x14ac:dyDescent="0.25">
      <c r="A29" s="4">
        <v>23</v>
      </c>
      <c r="B29" s="4">
        <f>IFERROR(IF(SUMIFS(tblDaily[Admissions],tblDaily[EntryDate],DATE(2026,1,23),tblDaily[WardCode],"FW")=0,"",SUMIFS(tblDaily[Admissions],tblDaily[EntryDate],DATE(2026,1,23),tblDaily[WardCode],"FW")),"")</f>
        <v>4</v>
      </c>
      <c r="C29" s="4">
        <f>IFERROR(IF(SUMIFS(tblDaily[Discharges],tblDaily[EntryDate],DATE(2026,1,23),tblDaily[WardCode],"FW")=0,"",SUMIFS(tblDaily[Discharges],tblDaily[EntryDate],DATE(2026,1,23),tblDaily[WardCode],"FW")),"")</f>
        <v>2</v>
      </c>
      <c r="D29" s="4">
        <f>IFERROR(IF(SUMIFS(tblDaily[Deaths],tblDaily[EntryDate],DATE(2026,1,23),tblDaily[WardCode],"FW")=0,"",SUMIFS(tblDaily[Deaths],tblDaily[EntryDate],DATE(2026,1,23),tblDaily[WardCode],"FW")),"")</f>
        <v>2</v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>
        <f>IFERROR(IF(SUMIFS(tblDaily[Remaining],tblDaily[EntryDate],DATE(2026,1,23),tblDaily[WardCode],"FW")=0,"",SUMIFS(tblDaily[Remaining],tblDaily[EntryDate],DATE(2026,1,23),tblDaily[WardCode],"FW")),"")</f>
        <v>15</v>
      </c>
    </row>
    <row r="30" spans="1:8" x14ac:dyDescent="0.25">
      <c r="A30" s="4">
        <v>24</v>
      </c>
      <c r="B30" s="4">
        <f>IFERROR(IF(SUMIFS(tblDaily[Admissions],tblDaily[EntryDate],DATE(2026,1,24),tblDaily[WardCode],"FW")=0,"",SUMIFS(tblDaily[Admissions],tblDaily[EntryDate],DATE(2026,1,24),tblDaily[WardCode],"FW")),"")</f>
        <v>2</v>
      </c>
      <c r="C30" s="4">
        <f>IFERROR(IF(SUMIFS(tblDaily[Discharges],tblDaily[EntryDate],DATE(2026,1,24),tblDaily[WardCode],"FW")=0,"",SUMIFS(tblDaily[Discharges],tblDaily[EntryDate],DATE(2026,1,24),tblDaily[WardCode],"FW")),"")</f>
        <v>1</v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>
        <f>IFERROR(IF(SUMIFS(tblDaily[TransfersIn],tblDaily[EntryDate],DATE(2026,1,24),tblDaily[WardCode],"FW")=0,"",SUMIFS(tblDaily[TransfersIn],tblDaily[EntryDate],DATE(2026,1,24),tblDaily[WardCode],"FW")),"")</f>
        <v>1</v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>
        <f>IFERROR(IF(SUMIFS(tblDaily[Remaining],tblDaily[EntryDate],DATE(2026,1,24),tblDaily[WardCode],"FW")=0,"",SUMIFS(tblDaily[Remaining],tblDaily[EntryDate],DATE(2026,1,24),tblDaily[WardCode],"FW")),"")</f>
        <v>17</v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>
        <f>IFERROR(IF(SUMIFS(tblDaily[Discharges],tblDaily[EntryDate],DATE(2026,1,25),tblDaily[WardCode],"FW")=0,"",SUMIFS(tblDaily[Discharges],tblDaily[EntryDate],DATE(2026,1,25),tblDaily[WardCode],"FW")),"")</f>
        <v>4</v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>
        <f>IFERROR(IF(SUMIFS(tblDaily[Remaining],tblDaily[EntryDate],DATE(2026,1,25),tblDaily[WardCode],"FW")=0,"",SUMIFS(tblDaily[Remaining],tblDaily[EntryDate],DATE(2026,1,25),tblDaily[WardCode],"FW")),"")</f>
        <v>13</v>
      </c>
    </row>
    <row r="32" spans="1:8" x14ac:dyDescent="0.25">
      <c r="A32" s="4">
        <v>26</v>
      </c>
      <c r="B32" s="4">
        <f>IFERROR(IF(SUMIFS(tblDaily[Admissions],tblDaily[EntryDate],DATE(2026,1,26),tblDaily[WardCode],"FW")=0,"",SUMIFS(tblDaily[Admissions],tblDaily[EntryDate],DATE(2026,1,26),tblDaily[WardCode],"FW")),"")</f>
        <v>2</v>
      </c>
      <c r="C32" s="4">
        <f>IFERROR(IF(SUMIFS(tblDaily[Discharges],tblDaily[EntryDate],DATE(2026,1,26),tblDaily[WardCode],"FW")=0,"",SUMIFS(tblDaily[Discharges],tblDaily[EntryDate],DATE(2026,1,26),tblDaily[WardCode],"FW")),"")</f>
        <v>2</v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>
        <f>IFERROR(IF(SUMIFS(tblDaily[TransfersIn],tblDaily[EntryDate],DATE(2026,1,26),tblDaily[WardCode],"FW")=0,"",SUMIFS(tblDaily[TransfersIn],tblDaily[EntryDate],DATE(2026,1,26),tblDaily[WardCode],"FW")),"")</f>
        <v>1</v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>
        <f>IFERROR(IF(SUMIFS(tblDaily[Remaining],tblDaily[EntryDate],DATE(2026,1,26),tblDaily[WardCode],"FW")=0,"",SUMIFS(tblDaily[Remaining],tblDaily[EntryDate],DATE(2026,1,26),tblDaily[WardCode],"FW")),"")</f>
        <v>14</v>
      </c>
    </row>
    <row r="33" spans="1:8" x14ac:dyDescent="0.25">
      <c r="A33" s="4">
        <v>27</v>
      </c>
      <c r="B33" s="4">
        <f>IFERROR(IF(SUMIFS(tblDaily[Admissions],tblDaily[EntryDate],DATE(2026,1,27),tblDaily[WardCode],"FW")=0,"",SUMIFS(tblDaily[Admissions],tblDaily[EntryDate],DATE(2026,1,27),tblDaily[WardCode],"FW")),"")</f>
        <v>3</v>
      </c>
      <c r="C33" s="4">
        <f>IFERROR(IF(SUMIFS(tblDaily[Discharges],tblDaily[EntryDate],DATE(2026,1,27),tblDaily[WardCode],"FW")=0,"",SUMIFS(tblDaily[Discharges],tblDaily[EntryDate],DATE(2026,1,27),tblDaily[WardCode],"FW")),"")</f>
        <v>7</v>
      </c>
      <c r="D33" s="4">
        <f>IFERROR(IF(SUMIFS(tblDaily[Deaths],tblDaily[EntryDate],DATE(2026,1,27),tblDaily[WardCode],"FW")=0,"",SUMIFS(tblDaily[Deaths],tblDaily[EntryDate],DATE(2026,1,27),tblDaily[WardCode],"FW")),"")</f>
        <v>1</v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>
        <f>IFERROR(IF(SUMIFS(tblDaily[TransfersIn],tblDaily[EntryDate],DATE(2026,1,27),tblDaily[WardCode],"FW")=0,"",SUMIFS(tblDaily[TransfersIn],tblDaily[EntryDate],DATE(2026,1,27),tblDaily[WardCode],"FW")),"")</f>
        <v>1</v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>
        <f>IFERROR(IF(SUMIFS(tblDaily[Remaining],tblDaily[EntryDate],DATE(2026,1,27),tblDaily[WardCode],"FW")=0,"",SUMIFS(tblDaily[Remaining],tblDaily[EntryDate],DATE(2026,1,27),tblDaily[WardCode],"FW")),"")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IFERROR(IF(SUMIFS(tblDaily[Admissions],tblDaily[EntryDate],DATE(2026,1,28),tblDaily[WardCode],"FW")=0,"",SUMIFS(tblDaily[Admissions],tblDaily[EntryDate],DATE(2026,1,28),tblDaily[WardCode],"FW")),"")</f>
        <v>1</v>
      </c>
      <c r="C34" s="4">
        <f>IFERROR(IF(SUMIFS(tblDaily[Discharges],tblDaily[EntryDate],DATE(2026,1,28),tblDaily[WardCode],"FW")=0,"",SUMIFS(tblDaily[Discharges],tblDaily[EntryDate],DATE(2026,1,28),tblDaily[WardCode],"FW")),"")</f>
        <v>1</v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>
        <f>IFERROR(IF(SUMIFS(tblDaily[TransfersIn],tblDaily[EntryDate],DATE(2026,1,28),tblDaily[WardCode],"FW")=0,"",SUMIFS(tblDaily[TransfersIn],tblDaily[EntryDate],DATE(2026,1,28),tblDaily[WardCode],"FW")),"")</f>
        <v>1</v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>
        <f>IFERROR(IF(SUMIFS(tblDaily[Remaining],tblDaily[EntryDate],DATE(2026,1,28),tblDaily[WardCode],"FW")=0,"",SUMIFS(tblDaily[Remaining],tblDaily[EntryDate],DATE(2026,1,28),tblDaily[WardCode],"FW")),"")</f>
        <v>11</v>
      </c>
    </row>
    <row r="35" spans="1:8" x14ac:dyDescent="0.25">
      <c r="A35" s="4">
        <v>29</v>
      </c>
      <c r="B35" s="4">
        <f>IFERROR(IF(SUMIFS(tblDaily[Admissions],tblDaily[EntryDate],DATE(2026,1,29),tblDaily[WardCode],"FW")=0,"",SUMIFS(tblDaily[Admissions],tblDaily[EntryDate],DATE(2026,1,29),tblDaily[WardCode],"FW")),"")</f>
        <v>2</v>
      </c>
      <c r="C35" s="4">
        <f>IFERROR(IF(SUMIFS(tblDaily[Discharges],tblDaily[EntryDate],DATE(2026,1,29),tblDaily[WardCode],"FW")=0,"",SUMIFS(tblDaily[Discharges],tblDaily[EntryDate],DATE(2026,1,29),tblDaily[WardCode],"FW")),"")</f>
        <v>1</v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>
        <f>IFERROR(IF(SUMIFS(tblDaily[TransfersIn],tblDaily[EntryDate],DATE(2026,1,29),tblDaily[WardCode],"FW")=0,"",SUMIFS(tblDaily[TransfersIn],tblDaily[EntryDate],DATE(2026,1,29),tblDaily[WardCode],"FW")),"")</f>
        <v>2</v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>
        <f>IFERROR(IF(SUMIFS(tblDaily[Remaining],tblDaily[EntryDate],DATE(2026,1,29),tblDaily[WardCode],"FW")=0,"",SUMIFS(tblDaily[Remaining],tblDaily[EntryDate],DATE(2026,1,29),tblDaily[WardCode],"FW")),"")</f>
        <v>14</v>
      </c>
    </row>
    <row r="36" spans="1:8" x14ac:dyDescent="0.25">
      <c r="A36" s="4">
        <v>30</v>
      </c>
      <c r="B36" s="4">
        <f>IFERROR(IF(SUMIFS(tblDaily[Admissions],tblDaily[EntryDate],DATE(2026,1,30),tblDaily[WardCode],"FW")=0,"",SUMIFS(tblDaily[Admissions],tblDaily[EntryDate],DATE(2026,1,30),tblDaily[WardCode],"FW")),"")</f>
        <v>2</v>
      </c>
      <c r="C36" s="4">
        <f>IFERROR(IF(SUMIFS(tblDaily[Discharges],tblDaily[EntryDate],DATE(2026,1,30),tblDaily[WardCode],"FW")=0,"",SUMIFS(tblDaily[Discharges],tblDaily[EntryDate],DATE(2026,1,30),tblDaily[WardCode],"FW")),"")</f>
        <v>1</v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>
        <f>IFERROR(IF(SUMIFS(tblDaily[TransfersIn],tblDaily[EntryDate],DATE(2026,1,30),tblDaily[WardCode],"FW")=0,"",SUMIFS(tblDaily[TransfersIn],tblDaily[EntryDate],DATE(2026,1,30),tblDaily[WardCode],"FW")),"")</f>
        <v>2</v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>
        <f>IFERROR(IF(SUMIFS(tblDaily[Remaining],tblDaily[EntryDate],DATE(2026,1,30),tblDaily[WardCode],"FW")=0,"",SUMIFS(tblDaily[Remaining],tblDaily[EntryDate],DATE(2026,1,30),tblDaily[WardCode],"FW")),"")</f>
        <v>17</v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>
        <f>IFERROR(IF(SUMIFS(tblDaily[Discharges],tblDaily[EntryDate],DATE(2026,1,31),tblDaily[WardCode],"FW")=0,"",SUMIFS(tblDaily[Discharges],tblDaily[EntryDate],DATE(2026,1,31),tblDaily[WardCode],"FW")),"")</f>
        <v>6</v>
      </c>
      <c r="D37" s="4">
        <f>IFERROR(IF(SUMIFS(tblDaily[Deaths],tblDaily[EntryDate],DATE(2026,1,31),tblDaily[WardCode],"FW")=0,"",SUMIFS(tblDaily[Deaths],tblDaily[EntryDate],DATE(2026,1,31),tblDaily[WardCode],"FW")),"")</f>
        <v>1</v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>
        <f>IFERROR(IF(SUMIFS(tblDaily[TransfersIn],tblDaily[EntryDate],DATE(2026,1,31),tblDaily[WardCode],"FW")=0,"",SUMIFS(tblDaily[TransfersIn],tblDaily[EntryDate],DATE(2026,1,31),tblDaily[WardCode],"FW")),"")</f>
        <v>2</v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>
        <f>IFERROR(IF(SUMIFS(tblDaily[Remaining],tblDaily[EntryDate],DATE(2026,1,31),tblDaily[WardCode],"FW")=0,"",SUMIFS(tblDaily[Remaining],tblDaily[EntryDate],DATE(2026,1,31),tblDaily[WardCode],"FW")),"")</f>
        <v>12</v>
      </c>
    </row>
    <row r="38" spans="1:8" x14ac:dyDescent="0.25">
      <c r="A38" s="9" t="s">
        <v>112</v>
      </c>
      <c r="B38" s="9">
        <f>SUMIFS(tblDaily[Admissions],tblDaily[Month],1,tblDaily[WardCode],"FW") - SUMIFS(tblDaily[DeathsUnder24Hrs],tblDaily[Month],1,tblDaily[WardCode],"FW")</f>
        <v>79</v>
      </c>
      <c r="C38" s="9">
        <f>SUMIFS(tblDaily[Discharges],tblDaily[Month],1,tblDaily[WardCode],"FW")</f>
        <v>100</v>
      </c>
      <c r="D38" s="9">
        <f>SUMIFS(tblDaily[Deaths],tblDaily[Month],1,tblDaily[WardCode],"FW")</f>
        <v>10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27</v>
      </c>
      <c r="G38" s="9">
        <f>SUMIFS(tblDaily[TransfersOut],tblDaily[Month],1,tblDaily[WardCode],"FW")</f>
        <v>0</v>
      </c>
      <c r="H38" s="9">
        <f>SUMIFS(tblDaily[Remaining],tblDaily[Month],1,tblDaily[WardCode],"FW")</f>
        <v>525</v>
      </c>
    </row>
    <row r="40" spans="1:8" ht="18.75" x14ac:dyDescent="0.25">
      <c r="A40" s="28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5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113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IFERROR(SUMIFS(tblDaily[Remaining],tblDaily[EntryDate],DATE(2026,1,31),tblDaily[WardCode],"FW"),0)</f>
        <v>12</v>
      </c>
    </row>
    <row r="44" spans="1:8" x14ac:dyDescent="0.25">
      <c r="A44" s="1" t="s">
        <v>106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IFERROR(IF(SUMIFS(tblDaily[Admissions],tblDaily[EntryDate],DATE(2026,2,3),tblDaily[WardCode],"FW")=0,"",SUMIFS(tblDaily[Admissions],tblDaily[EntryDate],DATE(2026,2,3),tblDaily[WardCode],"FW")),"")</f>
        <v>4</v>
      </c>
      <c r="C48" s="4">
        <f>IFERROR(IF(SUMIFS(tblDaily[Discharges],tblDaily[EntryDate],DATE(2026,2,3),tblDaily[WardCode],"FW")=0,"",SUMIFS(tblDaily[Discharges],tblDaily[EntryDate],DATE(2026,2,3),tblDaily[WardCode],"FW")),"")</f>
        <v>2</v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>
        <f>IFERROR(IF(SUMIFS(tblDaily[TransfersIn],tblDaily[EntryDate],DATE(2026,2,3),tblDaily[WardCode],"FW")=0,"",SUMIFS(tblDaily[TransfersIn],tblDaily[EntryDate],DATE(2026,2,3),tblDaily[WardCode],"FW")),"")</f>
        <v>1</v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>
        <f>IFERROR(IF(SUMIFS(tblDaily[Remaining],tblDaily[EntryDate],DATE(2026,2,3),tblDaily[WardCode],"FW")=0,"",SUMIFS(tblDaily[Remaining],tblDaily[EntryDate],DATE(2026,2,3),tblDaily[WardCode],"FW")),"")</f>
        <v>15</v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>
        <f>IFERROR(IF(SUMIFS(tblDaily[Remaining],tblDaily[EntryDate],DATE(2026,2,13),tblDaily[WardCode],"FW")=0,"",SUMIFS(tblDaily[Remaining],tblDaily[EntryDate],DATE(2026,2,13),tblDaily[WardCode],"FW")),"")</f>
        <v>15</v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SUMIFS(tblDaily[Admissions],tblDaily[Month],2,tblDaily[WardCode],"FW") - SUMIFS(tblDaily[DeathsUnder24Hrs],tblDaily[Month],2,tblDaily[WardCode],"FW")</f>
        <v>4</v>
      </c>
      <c r="C77" s="9">
        <f>SUMIFS(tblDaily[Discharges],tblDaily[Month],2,tblDaily[WardCode],"FW")</f>
        <v>2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1</v>
      </c>
      <c r="G77" s="9">
        <f>SUMIFS(tblDaily[TransfersOut],tblDaily[Month],2,tblDaily[WardCode],"FW")</f>
        <v>0</v>
      </c>
      <c r="H77" s="9">
        <f>SUMIFS(tblDaily[Remaining],tblDaily[Month],2,tblDaily[WardCode],"FW")</f>
        <v>30</v>
      </c>
    </row>
    <row r="79" spans="1:8" ht="18.75" x14ac:dyDescent="0.25">
      <c r="A79" s="28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5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113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106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112</v>
      </c>
      <c r="B116" s="9">
        <f>SUMIFS(tblDaily[Admissions],tblDaily[Month],3,tblDaily[WardCode],"FW") - SUMIFS(tblDaily[DeathsUnder24Hrs],tblDaily[Month],3,tblDaily[WardCode],"FW")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28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5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113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106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SUMIFS(tblDaily[Admissions],tblDaily[Month],4,tblDaily[WardCode],"FW") - SUMIFS(tblDaily[DeathsUnder24Hrs],tblDaily[Month],4,tblDaily[WardCode],"FW")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28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5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113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106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112</v>
      </c>
      <c r="B194" s="9">
        <f>SUMIFS(tblDaily[Admissions],tblDaily[Month],5,tblDaily[WardCode],"FW") - SUMIFS(tblDaily[DeathsUnder24Hrs],tblDaily[Month],5,tblDaily[WardCode],"FW")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28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5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113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106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SUMIFS(tblDaily[Admissions],tblDaily[Month],6,tblDaily[WardCode],"FW") - SUMIFS(tblDaily[DeathsUnder24Hrs],tblDaily[Month],6,tblDaily[WardCode],"FW")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28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5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113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106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112</v>
      </c>
      <c r="B272" s="9">
        <f>SUMIFS(tblDaily[Admissions],tblDaily[Month],7,tblDaily[WardCode],"FW") - SUMIFS(tblDaily[DeathsUnder24Hrs],tblDaily[Month],7,tblDaily[WardCode],"FW")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28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5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113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106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112</v>
      </c>
      <c r="B311" s="9">
        <f>SUMIFS(tblDaily[Admissions],tblDaily[Month],8,tblDaily[WardCode],"FW") - SUMIFS(tblDaily[DeathsUnder24Hrs],tblDaily[Month],8,tblDaily[WardCode],"FW")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28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5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113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106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SUMIFS(tblDaily[Admissions],tblDaily[Month],9,tblDaily[WardCode],"FW") - SUMIFS(tblDaily[DeathsUnder24Hrs],tblDaily[Month],9,tblDaily[WardCode],"FW")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28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5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113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106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112</v>
      </c>
      <c r="B389" s="9">
        <f>SUMIFS(tblDaily[Admissions],tblDaily[Month],10,tblDaily[WardCode],"FW") - SUMIFS(tblDaily[DeathsUnder24Hrs],tblDaily[Month],10,tblDaily[WardCode],"FW")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28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5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113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106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SUMIFS(tblDaily[Admissions],tblDaily[Month],11,tblDaily[WardCode],"FW") - SUMIFS(tblDaily[DeathsUnder24Hrs],tblDaily[Month],11,tblDaily[WardCode],"FW")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28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5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113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106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112</v>
      </c>
      <c r="B467" s="9">
        <f>SUMIFS(tblDaily[Admissions],tblDaily[Month],12,tblDaily[WardCode],"FW") - SUMIFS(tblDaily[DeathsUnder24Hrs],tblDaily[Month],12,tblDaily[WardCode],"FW")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8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5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114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IFERROR(INDEX(tblWardConfig[PrevYearRemaining],MATCH("CW",tblWardConfig[WardCode],0)),0)</f>
        <v>7</v>
      </c>
    </row>
    <row r="5" spans="1:8" x14ac:dyDescent="0.25">
      <c r="A5" s="1" t="s">
        <v>106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>
        <f>IFERROR(IF(SUMIFS(tblDaily[Admissions],tblDaily[EntryDate],DATE(2026,1,1),tblDaily[WardCode],"CW")=0,"",SUMIFS(tblDaily[Admissions],tblDaily[EntryDate],DATE(2026,1,1),tblDaily[WardCode],"CW")),"")</f>
        <v>1</v>
      </c>
      <c r="C7" s="4">
        <f>IFERROR(IF(SUMIFS(tblDaily[Discharges],tblDaily[EntryDate],DATE(2026,1,1),tblDaily[WardCode],"CW")=0,"",SUMIFS(tblDaily[Discharges],tblDaily[EntryDate],DATE(2026,1,1),tblDaily[WardCode],"CW")),"")</f>
        <v>3</v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>
        <f>IFERROR(IF(SUMIFS(tblDaily[Remaining],tblDaily[EntryDate],DATE(2026,1,1),tblDaily[WardCode],"CW")=0,"",SUMIFS(tblDaily[Remaining],tblDaily[EntryDate],DATE(2026,1,1),tblDaily[WardCode],"CW")),"")</f>
        <v>5</v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>
        <f>IFERROR(IF(SUMIFS(tblDaily[Remaining],tblDaily[EntryDate],DATE(2026,1,2),tblDaily[WardCode],"CW")=0,"",SUMIFS(tblDaily[Remaining],tblDaily[EntryDate],DATE(2026,1,2),tblDaily[WardCode],"CW")),"")</f>
        <v>5</v>
      </c>
    </row>
    <row r="9" spans="1:8" x14ac:dyDescent="0.25">
      <c r="A9" s="4">
        <v>3</v>
      </c>
      <c r="B9" s="4">
        <f>IFERROR(IF(SUMIFS(tblDaily[Admissions],tblDaily[EntryDate],DATE(2026,1,3),tblDaily[WardCode],"CW")=0,"",SUMIFS(tblDaily[Admissions],tblDaily[EntryDate],DATE(2026,1,3),tblDaily[WardCode],"CW")),"")</f>
        <v>3</v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>
        <f>IFERROR(IF(SUMIFS(tblDaily[Remaining],tblDaily[EntryDate],DATE(2026,1,3),tblDaily[WardCode],"CW")=0,"",SUMIFS(tblDaily[Remaining],tblDaily[EntryDate],DATE(2026,1,3),tblDaily[WardCode],"CW")),"")</f>
        <v>8</v>
      </c>
    </row>
    <row r="10" spans="1:8" x14ac:dyDescent="0.25">
      <c r="A10" s="4">
        <v>4</v>
      </c>
      <c r="B10" s="4">
        <f>IFERROR(IF(SUMIFS(tblDaily[Admissions],tblDaily[EntryDate],DATE(2026,1,4),tblDaily[WardCode],"CW")=0,"",SUMIFS(tblDaily[Admissions],tblDaily[EntryDate],DATE(2026,1,4),tblDaily[WardCode],"CW")),"")</f>
        <v>2</v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>
        <f>IFERROR(IF(SUMIFS(tblDaily[Remaining],tblDaily[EntryDate],DATE(2026,1,4),tblDaily[WardCode],"CW")=0,"",SUMIFS(tblDaily[Remaining],tblDaily[EntryDate],DATE(2026,1,4),tblDaily[WardCode],"CW")),"")</f>
        <v>10</v>
      </c>
    </row>
    <row r="11" spans="1:8" x14ac:dyDescent="0.25">
      <c r="A11" s="4">
        <v>5</v>
      </c>
      <c r="B11" s="4">
        <f>IFERROR(IF(SUMIFS(tblDaily[Admissions],tblDaily[EntryDate],DATE(2026,1,5),tblDaily[WardCode],"CW")=0,"",SUMIFS(tblDaily[Admissions],tblDaily[EntryDate],DATE(2026,1,5),tblDaily[WardCode],"CW")),"")</f>
        <v>2</v>
      </c>
      <c r="C11" s="4">
        <f>IFERROR(IF(SUMIFS(tblDaily[Discharges],tblDaily[EntryDate],DATE(2026,1,5),tblDaily[WardCode],"CW")=0,"",SUMIFS(tblDaily[Discharges],tblDaily[EntryDate],DATE(2026,1,5),tblDaily[WardCode],"CW")),"")</f>
        <v>2</v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>
        <f>IFERROR(IF(SUMIFS(tblDaily[Remaining],tblDaily[EntryDate],DATE(2026,1,5),tblDaily[WardCode],"CW")=0,"",SUMIFS(tblDaily[Remaining],tblDaily[EntryDate],DATE(2026,1,5),tblDaily[WardCode],"CW")),"")</f>
        <v>10</v>
      </c>
    </row>
    <row r="12" spans="1:8" x14ac:dyDescent="0.25">
      <c r="A12" s="4">
        <v>6</v>
      </c>
      <c r="B12" s="4">
        <f>IFERROR(IF(SUMIFS(tblDaily[Admissions],tblDaily[EntryDate],DATE(2026,1,6),tblDaily[WardCode],"CW")=0,"",SUMIFS(tblDaily[Admissions],tblDaily[EntryDate],DATE(2026,1,6),tblDaily[WardCode],"CW")),"")</f>
        <v>2</v>
      </c>
      <c r="C12" s="4">
        <f>IFERROR(IF(SUMIFS(tblDaily[Discharges],tblDaily[EntryDate],DATE(2026,1,6),tblDaily[WardCode],"CW")=0,"",SUMIFS(tblDaily[Discharges],tblDaily[EntryDate],DATE(2026,1,6),tblDaily[WardCode],"CW")),"")</f>
        <v>3</v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>
        <f>IFERROR(IF(SUMIFS(tblDaily[Remaining],tblDaily[EntryDate],DATE(2026,1,6),tblDaily[WardCode],"CW")=0,"",SUMIFS(tblDaily[Remaining],tblDaily[EntryDate],DATE(2026,1,6),tblDaily[WardCode],"CW")),"")</f>
        <v>9</v>
      </c>
    </row>
    <row r="13" spans="1:8" x14ac:dyDescent="0.25">
      <c r="A13" s="4">
        <v>7</v>
      </c>
      <c r="B13" s="4">
        <f>IFERROR(IF(SUMIFS(tblDaily[Admissions],tblDaily[EntryDate],DATE(2026,1,7),tblDaily[WardCode],"CW")=0,"",SUMIFS(tblDaily[Admissions],tblDaily[EntryDate],DATE(2026,1,7),tblDaily[WardCode],"CW")),"")</f>
        <v>1</v>
      </c>
      <c r="C13" s="4">
        <f>IFERROR(IF(SUMIFS(tblDaily[Discharges],tblDaily[EntryDate],DATE(2026,1,7),tblDaily[WardCode],"CW")=0,"",SUMIFS(tblDaily[Discharges],tblDaily[EntryDate],DATE(2026,1,7),tblDaily[WardCode],"CW")),"")</f>
        <v>1</v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>
        <f>IFERROR(IF(SUMIFS(tblDaily[Remaining],tblDaily[EntryDate],DATE(2026,1,7),tblDaily[WardCode],"CW")=0,"",SUMIFS(tblDaily[Remaining],tblDaily[EntryDate],DATE(2026,1,7),tblDaily[WardCode],"CW")),"")</f>
        <v>9</v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>
        <f>IFERROR(IF(SUMIFS(tblDaily[Discharges],tblDaily[EntryDate],DATE(2026,1,8),tblDaily[WardCode],"CW")=0,"",SUMIFS(tblDaily[Discharges],tblDaily[EntryDate],DATE(2026,1,8),tblDaily[WardCode],"CW")),"")</f>
        <v>2</v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>
        <f>IFERROR(IF(SUMIFS(tblDaily[Remaining],tblDaily[EntryDate],DATE(2026,1,8),tblDaily[WardCode],"CW")=0,"",SUMIFS(tblDaily[Remaining],tblDaily[EntryDate],DATE(2026,1,8),tblDaily[WardCode],"CW")),"")</f>
        <v>7</v>
      </c>
    </row>
    <row r="15" spans="1:8" x14ac:dyDescent="0.25">
      <c r="A15" s="4">
        <v>9</v>
      </c>
      <c r="B15" s="4">
        <f>IFERROR(IF(SUMIFS(tblDaily[Admissions],tblDaily[EntryDate],DATE(2026,1,9),tblDaily[WardCode],"CW")=0,"",SUMIFS(tblDaily[Admissions],tblDaily[EntryDate],DATE(2026,1,9),tblDaily[WardCode],"CW")),"")</f>
        <v>2</v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>
        <f>IFERROR(IF(SUMIFS(tblDaily[Remaining],tblDaily[EntryDate],DATE(2026,1,9),tblDaily[WardCode],"CW")=0,"",SUMIFS(tblDaily[Remaining],tblDaily[EntryDate],DATE(2026,1,9),tblDaily[WardCode],"CW")),"")</f>
        <v>9</v>
      </c>
    </row>
    <row r="16" spans="1:8" x14ac:dyDescent="0.25">
      <c r="A16" s="4">
        <v>10</v>
      </c>
      <c r="B16" s="4">
        <f>IFERROR(IF(SUMIFS(tblDaily[Admissions],tblDaily[EntryDate],DATE(2026,1,10),tblDaily[WardCode],"CW")=0,"",SUMIFS(tblDaily[Admissions],tblDaily[EntryDate],DATE(2026,1,10),tblDaily[WardCode],"CW")),"")</f>
        <v>2</v>
      </c>
      <c r="C16" s="4">
        <f>IFERROR(IF(SUMIFS(tblDaily[Discharges],tblDaily[EntryDate],DATE(2026,1,10),tblDaily[WardCode],"CW")=0,"",SUMIFS(tblDaily[Discharges],tblDaily[EntryDate],DATE(2026,1,10),tblDaily[WardCode],"CW")),"")</f>
        <v>2</v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>
        <f>IFERROR(IF(SUMIFS(tblDaily[Remaining],tblDaily[EntryDate],DATE(2026,1,10),tblDaily[WardCode],"CW")=0,"",SUMIFS(tblDaily[Remaining],tblDaily[EntryDate],DATE(2026,1,10),tblDaily[WardCode],"CW")),"")</f>
        <v>9</v>
      </c>
    </row>
    <row r="17" spans="1:8" x14ac:dyDescent="0.25">
      <c r="A17" s="4">
        <v>11</v>
      </c>
      <c r="B17" s="4">
        <f>IFERROR(IF(SUMIFS(tblDaily[Admissions],tblDaily[EntryDate],DATE(2026,1,11),tblDaily[WardCode],"CW")=0,"",SUMIFS(tblDaily[Admissions],tblDaily[EntryDate],DATE(2026,1,11),tblDaily[WardCode],"CW")),"")</f>
        <v>5</v>
      </c>
      <c r="C17" s="4">
        <f>IFERROR(IF(SUMIFS(tblDaily[Discharges],tblDaily[EntryDate],DATE(2026,1,11),tblDaily[WardCode],"CW")=0,"",SUMIFS(tblDaily[Discharges],tblDaily[EntryDate],DATE(2026,1,11),tblDaily[WardCode],"CW")),"")</f>
        <v>2</v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>
        <f>IFERROR(IF(SUMIFS(tblDaily[Remaining],tblDaily[EntryDate],DATE(2026,1,11),tblDaily[WardCode],"CW")=0,"",SUMIFS(tblDaily[Remaining],tblDaily[EntryDate],DATE(2026,1,11),tblDaily[WardCode],"CW")),"")</f>
        <v>12</v>
      </c>
    </row>
    <row r="18" spans="1:8" x14ac:dyDescent="0.25">
      <c r="A18" s="4">
        <v>12</v>
      </c>
      <c r="B18" s="4">
        <f>IFERROR(IF(SUMIFS(tblDaily[Admissions],tblDaily[EntryDate],DATE(2026,1,12),tblDaily[WardCode],"CW")=0,"",SUMIFS(tblDaily[Admissions],tblDaily[EntryDate],DATE(2026,1,12),tblDaily[WardCode],"CW")),"")</f>
        <v>4</v>
      </c>
      <c r="C18" s="4">
        <f>IFERROR(IF(SUMIFS(tblDaily[Discharges],tblDaily[EntryDate],DATE(2026,1,12),tblDaily[WardCode],"CW")=0,"",SUMIFS(tblDaily[Discharges],tblDaily[EntryDate],DATE(2026,1,12),tblDaily[WardCode],"CW")),"")</f>
        <v>5</v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>
        <f>IFERROR(IF(SUMIFS(tblDaily[TransfersIn],tblDaily[EntryDate],DATE(2026,1,12),tblDaily[WardCode],"CW")=0,"",SUMIFS(tblDaily[TransfersIn],tblDaily[EntryDate],DATE(2026,1,12),tblDaily[WardCode],"CW")),"")</f>
        <v>1</v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>
        <f>IFERROR(IF(SUMIFS(tblDaily[Remaining],tblDaily[EntryDate],DATE(2026,1,12),tblDaily[WardCode],"CW")=0,"",SUMIFS(tblDaily[Remaining],tblDaily[EntryDate],DATE(2026,1,12),tblDaily[WardCode],"CW")),"")</f>
        <v>12</v>
      </c>
    </row>
    <row r="19" spans="1:8" x14ac:dyDescent="0.25">
      <c r="A19" s="4">
        <v>13</v>
      </c>
      <c r="B19" s="4">
        <f>IFERROR(IF(SUMIFS(tblDaily[Admissions],tblDaily[EntryDate],DATE(2026,1,13),tblDaily[WardCode],"CW")=0,"",SUMIFS(tblDaily[Admissions],tblDaily[EntryDate],DATE(2026,1,13),tblDaily[WardCode],"CW")),"")</f>
        <v>3</v>
      </c>
      <c r="C19" s="4">
        <f>IFERROR(IF(SUMIFS(tblDaily[Discharges],tblDaily[EntryDate],DATE(2026,1,13),tblDaily[WardCode],"CW")=0,"",SUMIFS(tblDaily[Discharges],tblDaily[EntryDate],DATE(2026,1,13),tblDaily[WardCode],"CW")),"")</f>
        <v>3</v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>
        <f>IFERROR(IF(SUMIFS(tblDaily[Remaining],tblDaily[EntryDate],DATE(2026,1,13),tblDaily[WardCode],"CW")=0,"",SUMIFS(tblDaily[Remaining],tblDaily[EntryDate],DATE(2026,1,13),tblDaily[WardCode],"CW")),"")</f>
        <v>12</v>
      </c>
    </row>
    <row r="20" spans="1:8" x14ac:dyDescent="0.25">
      <c r="A20" s="4">
        <v>14</v>
      </c>
      <c r="B20" s="4">
        <f>IFERROR(IF(SUMIFS(tblDaily[Admissions],tblDaily[EntryDate],DATE(2026,1,14),tblDaily[WardCode],"CW")=0,"",SUMIFS(tblDaily[Admissions],tblDaily[EntryDate],DATE(2026,1,14),tblDaily[WardCode],"CW")),"")</f>
        <v>6</v>
      </c>
      <c r="C20" s="4">
        <f>IFERROR(IF(SUMIFS(tblDaily[Discharges],tblDaily[EntryDate],DATE(2026,1,14),tblDaily[WardCode],"CW")=0,"",SUMIFS(tblDaily[Discharges],tblDaily[EntryDate],DATE(2026,1,14),tblDaily[WardCode],"CW")),"")</f>
        <v>1</v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>
        <f>IFERROR(IF(SUMIFS(tblDaily[Remaining],tblDaily[EntryDate],DATE(2026,1,14),tblDaily[WardCode],"CW")=0,"",SUMIFS(tblDaily[Remaining],tblDaily[EntryDate],DATE(2026,1,14),tblDaily[WardCode],"CW")),"")</f>
        <v>17</v>
      </c>
    </row>
    <row r="21" spans="1:8" x14ac:dyDescent="0.25">
      <c r="A21" s="4">
        <v>15</v>
      </c>
      <c r="B21" s="4">
        <f>IFERROR(IF(SUMIFS(tblDaily[Admissions],tblDaily[EntryDate],DATE(2026,1,15),tblDaily[WardCode],"CW")=0,"",SUMIFS(tblDaily[Admissions],tblDaily[EntryDate],DATE(2026,1,15),tblDaily[WardCode],"CW")),"")</f>
        <v>3</v>
      </c>
      <c r="C21" s="4">
        <f>IFERROR(IF(SUMIFS(tblDaily[Discharges],tblDaily[EntryDate],DATE(2026,1,15),tblDaily[WardCode],"CW")=0,"",SUMIFS(tblDaily[Discharges],tblDaily[EntryDate],DATE(2026,1,15),tblDaily[WardCode],"CW")),"")</f>
        <v>5</v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>
        <f>IFERROR(IF(SUMIFS(tblDaily[TransfersIn],tblDaily[EntryDate],DATE(2026,1,15),tblDaily[WardCode],"CW")=0,"",SUMIFS(tblDaily[TransfersIn],tblDaily[EntryDate],DATE(2026,1,15),tblDaily[WardCode],"CW")),"")</f>
        <v>1</v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>
        <f>IFERROR(IF(SUMIFS(tblDaily[Remaining],tblDaily[EntryDate],DATE(2026,1,15),tblDaily[WardCode],"CW")=0,"",SUMIFS(tblDaily[Remaining],tblDaily[EntryDate],DATE(2026,1,15),tblDaily[WardCode],"CW")),"")</f>
        <v>16</v>
      </c>
    </row>
    <row r="22" spans="1:8" x14ac:dyDescent="0.25">
      <c r="A22" s="4">
        <v>16</v>
      </c>
      <c r="B22" s="4">
        <f>IFERROR(IF(SUMIFS(tblDaily[Admissions],tblDaily[EntryDate],DATE(2026,1,16),tblDaily[WardCode],"CW")=0,"",SUMIFS(tblDaily[Admissions],tblDaily[EntryDate],DATE(2026,1,16),tblDaily[WardCode],"CW")),"")</f>
        <v>5</v>
      </c>
      <c r="C22" s="4">
        <f>IFERROR(IF(SUMIFS(tblDaily[Discharges],tblDaily[EntryDate],DATE(2026,1,16),tblDaily[WardCode],"CW")=0,"",SUMIFS(tblDaily[Discharges],tblDaily[EntryDate],DATE(2026,1,16),tblDaily[WardCode],"CW")),"")</f>
        <v>5</v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>
        <f>IFERROR(IF(SUMIFS(tblDaily[Remaining],tblDaily[EntryDate],DATE(2026,1,16),tblDaily[WardCode],"CW")=0,"",SUMIFS(tblDaily[Remaining],tblDaily[EntryDate],DATE(2026,1,16),tblDaily[WardCode],"CW")),"")</f>
        <v>16</v>
      </c>
    </row>
    <row r="23" spans="1:8" x14ac:dyDescent="0.25">
      <c r="A23" s="4">
        <v>17</v>
      </c>
      <c r="B23" s="4">
        <f>IFERROR(IF(SUMIFS(tblDaily[Admissions],tblDaily[EntryDate],DATE(2026,1,17),tblDaily[WardCode],"CW")=0,"",SUMIFS(tblDaily[Admissions],tblDaily[EntryDate],DATE(2026,1,17),tblDaily[WardCode],"CW")),"")</f>
        <v>3</v>
      </c>
      <c r="C23" s="4">
        <f>IFERROR(IF(SUMIFS(tblDaily[Discharges],tblDaily[EntryDate],DATE(2026,1,17),tblDaily[WardCode],"CW")=0,"",SUMIFS(tblDaily[Discharges],tblDaily[EntryDate],DATE(2026,1,17),tblDaily[WardCode],"CW")),"")</f>
        <v>2</v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>
        <f>IFERROR(IF(SUMIFS(tblDaily[Remaining],tblDaily[EntryDate],DATE(2026,1,17),tblDaily[WardCode],"CW")=0,"",SUMIFS(tblDaily[Remaining],tblDaily[EntryDate],DATE(2026,1,17),tblDaily[WardCode],"CW")),"")</f>
        <v>17</v>
      </c>
    </row>
    <row r="24" spans="1:8" x14ac:dyDescent="0.25">
      <c r="A24" s="4">
        <v>18</v>
      </c>
      <c r="B24" s="4">
        <f>IFERROR(IF(SUMIFS(tblDaily[Admissions],tblDaily[EntryDate],DATE(2026,1,18),tblDaily[WardCode],"CW")=0,"",SUMIFS(tblDaily[Admissions],tblDaily[EntryDate],DATE(2026,1,18),tblDaily[WardCode],"CW")),"")</f>
        <v>2</v>
      </c>
      <c r="C24" s="4">
        <f>IFERROR(IF(SUMIFS(tblDaily[Discharges],tblDaily[EntryDate],DATE(2026,1,18),tblDaily[WardCode],"CW")=0,"",SUMIFS(tblDaily[Discharges],tblDaily[EntryDate],DATE(2026,1,18),tblDaily[WardCode],"CW")),"")</f>
        <v>1</v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>
        <f>IFERROR(IF(SUMIFS(tblDaily[TransfersIn],tblDaily[EntryDate],DATE(2026,1,18),tblDaily[WardCode],"CW")=0,"",SUMIFS(tblDaily[TransfersIn],tblDaily[EntryDate],DATE(2026,1,18),tblDaily[WardCode],"CW")),"")</f>
        <v>1</v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>
        <f>IFERROR(IF(SUMIFS(tblDaily[Remaining],tblDaily[EntryDate],DATE(2026,1,18),tblDaily[WardCode],"CW")=0,"",SUMIFS(tblDaily[Remaining],tblDaily[EntryDate],DATE(2026,1,18),tblDaily[WardCode],"CW")),"")</f>
        <v>19</v>
      </c>
    </row>
    <row r="25" spans="1:8" x14ac:dyDescent="0.25">
      <c r="A25" s="4">
        <v>19</v>
      </c>
      <c r="B25" s="4">
        <f>IFERROR(IF(SUMIFS(tblDaily[Admissions],tblDaily[EntryDate],DATE(2026,1,19),tblDaily[WardCode],"CW")=0,"",SUMIFS(tblDaily[Admissions],tblDaily[EntryDate],DATE(2026,1,19),tblDaily[WardCode],"CW")),"")</f>
        <v>2</v>
      </c>
      <c r="C25" s="4">
        <f>IFERROR(IF(SUMIFS(tblDaily[Discharges],tblDaily[EntryDate],DATE(2026,1,19),tblDaily[WardCode],"CW")=0,"",SUMIFS(tblDaily[Discharges],tblDaily[EntryDate],DATE(2026,1,19),tblDaily[WardCode],"CW")),"")</f>
        <v>12</v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>
        <f>IFERROR(IF(SUMIFS(tblDaily[Remaining],tblDaily[EntryDate],DATE(2026,1,19),tblDaily[WardCode],"CW")=0,"",SUMIFS(tblDaily[Remaining],tblDaily[EntryDate],DATE(2026,1,19),tblDaily[WardCode],"CW")),"")</f>
        <v>9</v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>
        <f>IFERROR(IF(SUMIFS(tblDaily[Discharges],tblDaily[EntryDate],DATE(2026,1,20),tblDaily[WardCode],"CW")=0,"",SUMIFS(tblDaily[Discharges],tblDaily[EntryDate],DATE(2026,1,20),tblDaily[WardCode],"CW")),"")</f>
        <v>3</v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>
        <f>IFERROR(IF(SUMIFS(tblDaily[Remaining],tblDaily[EntryDate],DATE(2026,1,20),tblDaily[WardCode],"CW")=0,"",SUMIFS(tblDaily[Remaining],tblDaily[EntryDate],DATE(2026,1,20),tblDaily[WardCode],"CW")),"")</f>
        <v>6</v>
      </c>
    </row>
    <row r="27" spans="1:8" x14ac:dyDescent="0.25">
      <c r="A27" s="4">
        <v>21</v>
      </c>
      <c r="B27" s="4">
        <f>IFERROR(IF(SUMIFS(tblDaily[Admissions],tblDaily[EntryDate],DATE(2026,1,21),tblDaily[WardCode],"CW")=0,"",SUMIFS(tblDaily[Admissions],tblDaily[EntryDate],DATE(2026,1,21),tblDaily[WardCode],"CW")),"")</f>
        <v>1</v>
      </c>
      <c r="C27" s="4">
        <f>IFERROR(IF(SUMIFS(tblDaily[Discharges],tblDaily[EntryDate],DATE(2026,1,21),tblDaily[WardCode],"CW")=0,"",SUMIFS(tblDaily[Discharges],tblDaily[EntryDate],DATE(2026,1,21),tblDaily[WardCode],"CW")),"")</f>
        <v>1</v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>
        <f>IFERROR(IF(SUMIFS(tblDaily[Remaining],tblDaily[EntryDate],DATE(2026,1,21),tblDaily[WardCode],"CW")=0,"",SUMIFS(tblDaily[Remaining],tblDaily[EntryDate],DATE(2026,1,21),tblDaily[WardCode],"CW")),"")</f>
        <v>6</v>
      </c>
    </row>
    <row r="28" spans="1:8" x14ac:dyDescent="0.25">
      <c r="A28" s="4">
        <v>22</v>
      </c>
      <c r="B28" s="4">
        <f>IFERROR(IF(SUMIFS(tblDaily[Admissions],tblDaily[EntryDate],DATE(2026,1,22),tblDaily[WardCode],"CW")=0,"",SUMIFS(tblDaily[Admissions],tblDaily[EntryDate],DATE(2026,1,22),tblDaily[WardCode],"CW")),"")</f>
        <v>5</v>
      </c>
      <c r="C28" s="4">
        <f>IFERROR(IF(SUMIFS(tblDaily[Discharges],tblDaily[EntryDate],DATE(2026,1,22),tblDaily[WardCode],"CW")=0,"",SUMIFS(tblDaily[Discharges],tblDaily[EntryDate],DATE(2026,1,22),tblDaily[WardCode],"CW")),"")</f>
        <v>2</v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>
        <f>IFERROR(IF(SUMIFS(tblDaily[Remaining],tblDaily[EntryDate],DATE(2026,1,22),tblDaily[WardCode],"CW")=0,"",SUMIFS(tblDaily[Remaining],tblDaily[EntryDate],DATE(2026,1,22),tblDaily[WardCode],"CW")),"")</f>
        <v>9</v>
      </c>
    </row>
    <row r="29" spans="1:8" x14ac:dyDescent="0.25">
      <c r="A29" s="4">
        <v>23</v>
      </c>
      <c r="B29" s="4">
        <f>IFERROR(IF(SUMIFS(tblDaily[Admissions],tblDaily[EntryDate],DATE(2026,1,23),tblDaily[WardCode],"CW")=0,"",SUMIFS(tblDaily[Admissions],tblDaily[EntryDate],DATE(2026,1,23),tblDaily[WardCode],"CW")),"")</f>
        <v>4</v>
      </c>
      <c r="C29" s="4">
        <f>IFERROR(IF(SUMIFS(tblDaily[Discharges],tblDaily[EntryDate],DATE(2026,1,23),tblDaily[WardCode],"CW")=0,"",SUMIFS(tblDaily[Discharges],tblDaily[EntryDate],DATE(2026,1,23),tblDaily[WardCode],"CW")),"")</f>
        <v>8</v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>
        <f>IFERROR(IF(SUMIFS(tblDaily[Remaining],tblDaily[EntryDate],DATE(2026,1,23),tblDaily[WardCode],"CW")=0,"",SUMIFS(tblDaily[Remaining],tblDaily[EntryDate],DATE(2026,1,23),tblDaily[WardCode],"CW")),"")</f>
        <v>5</v>
      </c>
    </row>
    <row r="30" spans="1:8" x14ac:dyDescent="0.25">
      <c r="A30" s="4">
        <v>24</v>
      </c>
      <c r="B30" s="4">
        <f>IFERROR(IF(SUMIFS(tblDaily[Admissions],tblDaily[EntryDate],DATE(2026,1,24),tblDaily[WardCode],"CW")=0,"",SUMIFS(tblDaily[Admissions],tblDaily[EntryDate],DATE(2026,1,24),tblDaily[WardCode],"CW")),"")</f>
        <v>1</v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>
        <f>IFERROR(IF(SUMIFS(tblDaily[Remaining],tblDaily[EntryDate],DATE(2026,1,24),tblDaily[WardCode],"CW")=0,"",SUMIFS(tblDaily[Remaining],tblDaily[EntryDate],DATE(2026,1,24),tblDaily[WardCode],"CW")),"")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IFERROR(IF(SUMIFS(tblDaily[Admissions],tblDaily[EntryDate],DATE(2026,1,25),tblDaily[WardCode],"CW")=0,"",SUMIFS(tblDaily[Admissions],tblDaily[EntryDate],DATE(2026,1,25),tblDaily[WardCode],"CW")),"")</f>
        <v>4</v>
      </c>
      <c r="C31" s="4">
        <f>IFERROR(IF(SUMIFS(tblDaily[Discharges],tblDaily[EntryDate],DATE(2026,1,25),tblDaily[WardCode],"CW")=0,"",SUMIFS(tblDaily[Discharges],tblDaily[EntryDate],DATE(2026,1,25),tblDaily[WardCode],"CW")),"")</f>
        <v>3</v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>
        <f>IFERROR(IF(SUMIFS(tblDaily[Remaining],tblDaily[EntryDate],DATE(2026,1,25),tblDaily[WardCode],"CW")=0,"",SUMIFS(tblDaily[Remaining],tblDaily[EntryDate],DATE(2026,1,25),tblDaily[WardCode],"CW")),"")</f>
        <v>7</v>
      </c>
    </row>
    <row r="32" spans="1:8" x14ac:dyDescent="0.25">
      <c r="A32" s="4">
        <v>26</v>
      </c>
      <c r="B32" s="4">
        <f>IFERROR(IF(SUMIFS(tblDaily[Admissions],tblDaily[EntryDate],DATE(2026,1,26),tblDaily[WardCode],"CW")=0,"",SUMIFS(tblDaily[Admissions],tblDaily[EntryDate],DATE(2026,1,26),tblDaily[WardCode],"CW")),"")</f>
        <v>1</v>
      </c>
      <c r="C32" s="4">
        <f>IFERROR(IF(SUMIFS(tblDaily[Discharges],tblDaily[EntryDate],DATE(2026,1,26),tblDaily[WardCode],"CW")=0,"",SUMIFS(tblDaily[Discharges],tblDaily[EntryDate],DATE(2026,1,26),tblDaily[WardCode],"CW")),"")</f>
        <v>2</v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>
        <f>IFERROR(IF(SUMIFS(tblDaily[TransfersIn],tblDaily[EntryDate],DATE(2026,1,26),tblDaily[WardCode],"CW")=0,"",SUMIFS(tblDaily[TransfersIn],tblDaily[EntryDate],DATE(2026,1,26),tblDaily[WardCode],"CW")),"")</f>
        <v>1</v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>
        <f>IFERROR(IF(SUMIFS(tblDaily[Remaining],tblDaily[EntryDate],DATE(2026,1,26),tblDaily[WardCode],"CW")=0,"",SUMIFS(tblDaily[Remaining],tblDaily[EntryDate],DATE(2026,1,26),tblDaily[WardCode],"CW")),"")</f>
        <v>7</v>
      </c>
    </row>
    <row r="33" spans="1:8" x14ac:dyDescent="0.25">
      <c r="A33" s="4">
        <v>27</v>
      </c>
      <c r="B33" s="4">
        <f>IFERROR(IF(SUMIFS(tblDaily[Admissions],tblDaily[EntryDate],DATE(2026,1,27),tblDaily[WardCode],"CW")=0,"",SUMIFS(tblDaily[Admissions],tblDaily[EntryDate],DATE(2026,1,27),tblDaily[WardCode],"CW")),"")</f>
        <v>2</v>
      </c>
      <c r="C33" s="4">
        <f>IFERROR(IF(SUMIFS(tblDaily[Discharges],tblDaily[EntryDate],DATE(2026,1,27),tblDaily[WardCode],"CW")=0,"",SUMIFS(tblDaily[Discharges],tblDaily[EntryDate],DATE(2026,1,27),tblDaily[WardCode],"CW")),"")</f>
        <v>3</v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>
        <f>IFERROR(IF(SUMIFS(tblDaily[Remaining],tblDaily[EntryDate],DATE(2026,1,27),tblDaily[WardCode],"CW")=0,"",SUMIFS(tblDaily[Remaining],tblDaily[EntryDate],DATE(2026,1,27),tblDaily[WardCode],"CW")),"")</f>
        <v>6</v>
      </c>
    </row>
    <row r="34" spans="1:8" x14ac:dyDescent="0.25">
      <c r="A34" s="4">
        <v>28</v>
      </c>
      <c r="B34" s="4">
        <f>IFERROR(IF(SUMIFS(tblDaily[Admissions],tblDaily[EntryDate],DATE(2026,1,28),tblDaily[WardCode],"CW")=0,"",SUMIFS(tblDaily[Admissions],tblDaily[EntryDate],DATE(2026,1,28),tblDaily[WardCode],"CW")),"")</f>
        <v>1</v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>
        <f>IFERROR(IF(SUMIFS(tblDaily[Remaining],tblDaily[EntryDate],DATE(2026,1,28),tblDaily[WardCode],"CW")=0,"",SUMIFS(tblDaily[Remaining],tblDaily[EntryDate],DATE(2026,1,28),tblDaily[WardCode],"CW")),"")</f>
        <v>7</v>
      </c>
    </row>
    <row r="35" spans="1:8" x14ac:dyDescent="0.25">
      <c r="A35" s="4">
        <v>29</v>
      </c>
      <c r="B35" s="4">
        <f>IFERROR(IF(SUMIFS(tblDaily[Admissions],tblDaily[EntryDate],DATE(2026,1,29),tblDaily[WardCode],"CW")=0,"",SUMIFS(tblDaily[Admissions],tblDaily[EntryDate],DATE(2026,1,29),tblDaily[WardCode],"CW")),"")</f>
        <v>2</v>
      </c>
      <c r="C35" s="4">
        <f>IFERROR(IF(SUMIFS(tblDaily[Discharges],tblDaily[EntryDate],DATE(2026,1,29),tblDaily[WardCode],"CW")=0,"",SUMIFS(tblDaily[Discharges],tblDaily[EntryDate],DATE(2026,1,29),tblDaily[WardCode],"CW")),"")</f>
        <v>2</v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>
        <f>IFERROR(IF(SUMIFS(tblDaily[Remaining],tblDaily[EntryDate],DATE(2026,1,29),tblDaily[WardCode],"CW")=0,"",SUMIFS(tblDaily[Remaining],tblDaily[EntryDate],DATE(2026,1,29),tblDaily[WardCode],"CW")),"")</f>
        <v>7</v>
      </c>
    </row>
    <row r="36" spans="1:8" x14ac:dyDescent="0.25">
      <c r="A36" s="4">
        <v>30</v>
      </c>
      <c r="B36" s="4">
        <f>IFERROR(IF(SUMIFS(tblDaily[Admissions],tblDaily[EntryDate],DATE(2026,1,30),tblDaily[WardCode],"CW")=0,"",SUMIFS(tblDaily[Admissions],tblDaily[EntryDate],DATE(2026,1,30),tblDaily[WardCode],"CW")),"")</f>
        <v>4</v>
      </c>
      <c r="C36" s="4">
        <f>IFERROR(IF(SUMIFS(tblDaily[Discharges],tblDaily[EntryDate],DATE(2026,1,30),tblDaily[WardCode],"CW")=0,"",SUMIFS(tblDaily[Discharges],tblDaily[EntryDate],DATE(2026,1,30),tblDaily[WardCode],"CW")),"")</f>
        <v>4</v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>
        <f>IFERROR(IF(SUMIFS(tblDaily[TransfersIn],tblDaily[EntryDate],DATE(2026,1,30),tblDaily[WardCode],"CW")=0,"",SUMIFS(tblDaily[TransfersIn],tblDaily[EntryDate],DATE(2026,1,30),tblDaily[WardCode],"CW")),"")</f>
        <v>1</v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>
        <f>IFERROR(IF(SUMIFS(tblDaily[Remaining],tblDaily[EntryDate],DATE(2026,1,30),tblDaily[WardCode],"CW")=0,"",SUMIFS(tblDaily[Remaining],tblDaily[EntryDate],DATE(2026,1,30),tblDaily[WardCode],"CW")),"")</f>
        <v>8</v>
      </c>
    </row>
    <row r="37" spans="1:8" x14ac:dyDescent="0.25">
      <c r="A37" s="4">
        <v>31</v>
      </c>
      <c r="B37" s="4">
        <f>IFERROR(IF(SUMIFS(tblDaily[Admissions],tblDaily[EntryDate],DATE(2026,1,31),tblDaily[WardCode],"CW")=0,"",SUMIFS(tblDaily[Admissions],tblDaily[EntryDate],DATE(2026,1,31),tblDaily[WardCode],"CW")),"")</f>
        <v>5</v>
      </c>
      <c r="C37" s="4">
        <f>IFERROR(IF(SUMIFS(tblDaily[Discharges],tblDaily[EntryDate],DATE(2026,1,31),tblDaily[WardCode],"CW")=0,"",SUMIFS(tblDaily[Discharges],tblDaily[EntryDate],DATE(2026,1,31),tblDaily[WardCode],"CW")),"")</f>
        <v>1</v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>
        <f>IFERROR(IF(SUMIFS(tblDaily[Remaining],tblDaily[EntryDate],DATE(2026,1,31),tblDaily[WardCode],"CW")=0,"",SUMIFS(tblDaily[Remaining],tblDaily[EntryDate],DATE(2026,1,31),tblDaily[WardCode],"CW")),"")</f>
        <v>12</v>
      </c>
    </row>
    <row r="38" spans="1:8" x14ac:dyDescent="0.25">
      <c r="A38" s="9" t="s">
        <v>112</v>
      </c>
      <c r="B38" s="9">
        <f>SUMIFS(tblDaily[Admissions],tblDaily[Month],1,tblDaily[WardCode],"CW") - SUMIFS(tblDaily[DeathsUnder24Hrs],tblDaily[Month],1,tblDaily[WardCode],"CW")</f>
        <v>78</v>
      </c>
      <c r="C38" s="9">
        <f>SUMIFS(tblDaily[Discharges],tblDaily[Month],1,tblDaily[WardCode],"CW")</f>
        <v>78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5</v>
      </c>
      <c r="G38" s="9">
        <f>SUMIFS(tblDaily[TransfersOut],tblDaily[Month],1,tblDaily[WardCode],"CW")</f>
        <v>0</v>
      </c>
      <c r="H38" s="9">
        <f>SUMIFS(tblDaily[Remaining],tblDaily[Month],1,tblDaily[WardCode],"CW")</f>
        <v>297</v>
      </c>
    </row>
    <row r="40" spans="1:8" ht="18.75" x14ac:dyDescent="0.25">
      <c r="A40" s="28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5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114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IFERROR(SUMIFS(tblDaily[Remaining],tblDaily[EntryDate],DATE(2026,1,31),tblDaily[WardCode],"CW"),0)</f>
        <v>12</v>
      </c>
    </row>
    <row r="44" spans="1:8" x14ac:dyDescent="0.25">
      <c r="A44" s="1" t="s">
        <v>106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>
        <f>IFERROR(IF(SUMIFS(tblDaily[Admissions],tblDaily[EntryDate],DATE(2026,2,1),tblDaily[WardCode],"CW")=0,"",SUMIFS(tblDaily[Admissions],tblDaily[EntryDate],DATE(2026,2,1),tblDaily[WardCode],"CW")),"")</f>
        <v>2</v>
      </c>
      <c r="C46" s="4">
        <f>IFERROR(IF(SUMIFS(tblDaily[Discharges],tblDaily[EntryDate],DATE(2026,2,1),tblDaily[WardCode],"CW")=0,"",SUMIFS(tblDaily[Discharges],tblDaily[EntryDate],DATE(2026,2,1),tblDaily[WardCode],"CW")),"")</f>
        <v>2</v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>
        <f>IFERROR(IF(SUMIFS(tblDaily[Remaining],tblDaily[EntryDate],DATE(2026,2,1),tblDaily[WardCode],"CW")=0,"",SUMIFS(tblDaily[Remaining],tblDaily[EntryDate],DATE(2026,2,1),tblDaily[WardCode],"CW")),"")</f>
        <v>12</v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SUMIFS(tblDaily[Admissions],tblDaily[Month],2,tblDaily[WardCode],"CW") - SUMIFS(tblDaily[DeathsUnder24Hrs],tblDaily[Month],2,tblDaily[WardCode],"CW")</f>
        <v>2</v>
      </c>
      <c r="C77" s="9">
        <f>SUMIFS(tblDaily[Discharges],tblDaily[Month],2,tblDaily[WardCode],"CW")</f>
        <v>2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12</v>
      </c>
    </row>
    <row r="79" spans="1:8" ht="18.75" x14ac:dyDescent="0.25">
      <c r="A79" s="28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5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114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106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112</v>
      </c>
      <c r="B116" s="9">
        <f>SUMIFS(tblDaily[Admissions],tblDaily[Month],3,tblDaily[WardCode],"CW") - SUMIFS(tblDaily[DeathsUnder24Hrs],tblDaily[Month],3,tblDaily[WardCode],"CW")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28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5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114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106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SUMIFS(tblDaily[Admissions],tblDaily[Month],4,tblDaily[WardCode],"CW") - SUMIFS(tblDaily[DeathsUnder24Hrs],tblDaily[Month],4,tblDaily[WardCode],"CW")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28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5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114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106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112</v>
      </c>
      <c r="B194" s="9">
        <f>SUMIFS(tblDaily[Admissions],tblDaily[Month],5,tblDaily[WardCode],"CW") - SUMIFS(tblDaily[DeathsUnder24Hrs],tblDaily[Month],5,tblDaily[WardCode],"CW")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28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5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114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106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SUMIFS(tblDaily[Admissions],tblDaily[Month],6,tblDaily[WardCode],"CW") - SUMIFS(tblDaily[DeathsUnder24Hrs],tblDaily[Month],6,tblDaily[WardCode],"CW")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28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5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114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106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112</v>
      </c>
      <c r="B272" s="9">
        <f>SUMIFS(tblDaily[Admissions],tblDaily[Month],7,tblDaily[WardCode],"CW") - SUMIFS(tblDaily[DeathsUnder24Hrs],tblDaily[Month],7,tblDaily[WardCode],"CW")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28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5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114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106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112</v>
      </c>
      <c r="B311" s="9">
        <f>SUMIFS(tblDaily[Admissions],tblDaily[Month],8,tblDaily[WardCode],"CW") - SUMIFS(tblDaily[DeathsUnder24Hrs],tblDaily[Month],8,tblDaily[WardCode],"CW")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28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5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114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106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SUMIFS(tblDaily[Admissions],tblDaily[Month],9,tblDaily[WardCode],"CW") - SUMIFS(tblDaily[DeathsUnder24Hrs],tblDaily[Month],9,tblDaily[WardCode],"CW")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28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5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114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106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112</v>
      </c>
      <c r="B389" s="9">
        <f>SUMIFS(tblDaily[Admissions],tblDaily[Month],10,tblDaily[WardCode],"CW") - SUMIFS(tblDaily[DeathsUnder24Hrs],tblDaily[Month],10,tblDaily[WardCode],"CW")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28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5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114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106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SUMIFS(tblDaily[Admissions],tblDaily[Month],11,tblDaily[WardCode],"CW") - SUMIFS(tblDaily[DeathsUnder24Hrs],tblDaily[Month],11,tblDaily[WardCode],"CW")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28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5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114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106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112</v>
      </c>
      <c r="B467" s="9">
        <f>SUMIFS(tblDaily[Admissions],tblDaily[Month],12,tblDaily[WardCode],"CW") - SUMIFS(tblDaily[DeathsUnder24Hrs],tblDaily[Month],12,tblDaily[WardCode],"CW")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8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5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115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IFERROR(INDEX(tblWardConfig[PrevYearRemaining],MATCH("BF",tblWardConfig[WardCode],0)),0)</f>
        <v>9</v>
      </c>
    </row>
    <row r="5" spans="1:8" x14ac:dyDescent="0.25">
      <c r="A5" s="1" t="s">
        <v>106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>
        <f>IFERROR(IF(SUMIFS(tblDaily[Admissions],tblDaily[EntryDate],DATE(2026,1,1),tblDaily[WardCode],"BF")=0,"",SUMIFS(tblDaily[Admissions],tblDaily[EntryDate],DATE(2026,1,1),tblDaily[WardCode],"BF")),"")</f>
        <v>2</v>
      </c>
      <c r="C7" s="4">
        <f>IFERROR(IF(SUMIFS(tblDaily[Discharges],tblDaily[EntryDate],DATE(2026,1,1),tblDaily[WardCode],"BF")=0,"",SUMIFS(tblDaily[Discharges],tblDaily[EntryDate],DATE(2026,1,1),tblDaily[WardCode],"BF")),"")</f>
        <v>2</v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>
        <f>IFERROR(IF(SUMIFS(tblDaily[Remaining],tblDaily[EntryDate],DATE(2026,1,1),tblDaily[WardCode],"BF")=0,"",SUMIFS(tblDaily[Remaining],tblDaily[EntryDate],DATE(2026,1,1),tblDaily[WardCode],"BF")),"")</f>
        <v>9</v>
      </c>
    </row>
    <row r="8" spans="1:8" x14ac:dyDescent="0.25">
      <c r="A8" s="4">
        <v>2</v>
      </c>
      <c r="B8" s="4">
        <f>IFERROR(IF(SUMIFS(tblDaily[Admissions],tblDaily[EntryDate],DATE(2026,1,2),tblDaily[WardCode],"BF")=0,"",SUMIFS(tblDaily[Admissions],tblDaily[EntryDate],DATE(2026,1,2),tblDaily[WardCode],"BF")),"")</f>
        <v>4</v>
      </c>
      <c r="C8" s="4">
        <f>IFERROR(IF(SUMIFS(tblDaily[Discharges],tblDaily[EntryDate],DATE(2026,1,2),tblDaily[WardCode],"BF")=0,"",SUMIFS(tblDaily[Discharges],tblDaily[EntryDate],DATE(2026,1,2),tblDaily[WardCode],"BF")),"")</f>
        <v>3</v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>
        <f>IFERROR(IF(SUMIFS(tblDaily[Remaining],tblDaily[EntryDate],DATE(2026,1,2),tblDaily[WardCode],"BF")=0,"",SUMIFS(tblDaily[Remaining],tblDaily[EntryDate],DATE(2026,1,2),tblDaily[WardCode],"BF")),"")</f>
        <v>10</v>
      </c>
    </row>
    <row r="9" spans="1:8" x14ac:dyDescent="0.25">
      <c r="A9" s="4">
        <v>3</v>
      </c>
      <c r="B9" s="4">
        <f>IFERROR(IF(SUMIFS(tblDaily[Admissions],tblDaily[EntryDate],DATE(2026,1,3),tblDaily[WardCode],"BF")=0,"",SUMIFS(tblDaily[Admissions],tblDaily[EntryDate],DATE(2026,1,3),tblDaily[WardCode],"BF")),"")</f>
        <v>2</v>
      </c>
      <c r="C9" s="4">
        <f>IFERROR(IF(SUMIFS(tblDaily[Discharges],tblDaily[EntryDate],DATE(2026,1,3),tblDaily[WardCode],"BF")=0,"",SUMIFS(tblDaily[Discharges],tblDaily[EntryDate],DATE(2026,1,3),tblDaily[WardCode],"BF")),"")</f>
        <v>1</v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>
        <f>IFERROR(IF(SUMIFS(tblDaily[Remaining],tblDaily[EntryDate],DATE(2026,1,3),tblDaily[WardCode],"BF")=0,"",SUMIFS(tblDaily[Remaining],tblDaily[EntryDate],DATE(2026,1,3),tblDaily[WardCode],"BF")),"")</f>
        <v>11</v>
      </c>
    </row>
    <row r="10" spans="1:8" x14ac:dyDescent="0.25">
      <c r="A10" s="4">
        <v>4</v>
      </c>
      <c r="B10" s="4">
        <f>IFERROR(IF(SUMIFS(tblDaily[Admissions],tblDaily[EntryDate],DATE(2026,1,4),tblDaily[WardCode],"BF")=0,"",SUMIFS(tblDaily[Admissions],tblDaily[EntryDate],DATE(2026,1,4),tblDaily[WardCode],"BF")),"")</f>
        <v>3</v>
      </c>
      <c r="C10" s="4">
        <f>IFERROR(IF(SUMIFS(tblDaily[Discharges],tblDaily[EntryDate],DATE(2026,1,4),tblDaily[WardCode],"BF")=0,"",SUMIFS(tblDaily[Discharges],tblDaily[EntryDate],DATE(2026,1,4),tblDaily[WardCode],"BF")),"")</f>
        <v>1</v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>
        <f>IFERROR(IF(SUMIFS(tblDaily[Remaining],tblDaily[EntryDate],DATE(2026,1,4),tblDaily[WardCode],"BF")=0,"",SUMIFS(tblDaily[Remaining],tblDaily[EntryDate],DATE(2026,1,4),tblDaily[WardCode],"BF")),"")</f>
        <v>13</v>
      </c>
    </row>
    <row r="11" spans="1:8" x14ac:dyDescent="0.25">
      <c r="A11" s="4">
        <v>5</v>
      </c>
      <c r="B11" s="4">
        <f>IFERROR(IF(SUMIFS(tblDaily[Admissions],tblDaily[EntryDate],DATE(2026,1,5),tblDaily[WardCode],"BF")=0,"",SUMIFS(tblDaily[Admissions],tblDaily[EntryDate],DATE(2026,1,5),tblDaily[WardCode],"BF")),"")</f>
        <v>2</v>
      </c>
      <c r="C11" s="4">
        <f>IFERROR(IF(SUMIFS(tblDaily[Discharges],tblDaily[EntryDate],DATE(2026,1,5),tblDaily[WardCode],"BF")=0,"",SUMIFS(tblDaily[Discharges],tblDaily[EntryDate],DATE(2026,1,5),tblDaily[WardCode],"BF")),"")</f>
        <v>8</v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>
        <f>IFERROR(IF(SUMIFS(tblDaily[TransfersIn],tblDaily[EntryDate],DATE(2026,1,5),tblDaily[WardCode],"BF")=0,"",SUMIFS(tblDaily[TransfersIn],tblDaily[EntryDate],DATE(2026,1,5),tblDaily[WardCode],"BF")),"")</f>
        <v>1</v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>
        <f>IFERROR(IF(SUMIFS(tblDaily[Remaining],tblDaily[EntryDate],DATE(2026,1,5),tblDaily[WardCode],"BF")=0,"",SUMIFS(tblDaily[Remaining],tblDaily[EntryDate],DATE(2026,1,5),tblDaily[WardCode],"BF")),"")</f>
        <v>8</v>
      </c>
    </row>
    <row r="12" spans="1:8" x14ac:dyDescent="0.25">
      <c r="A12" s="4">
        <v>6</v>
      </c>
      <c r="B12" s="4">
        <f>IFERROR(IF(SUMIFS(tblDaily[Admissions],tblDaily[EntryDate],DATE(2026,1,6),tblDaily[WardCode],"BF")=0,"",SUMIFS(tblDaily[Admissions],tblDaily[EntryDate],DATE(2026,1,6),tblDaily[WardCode],"BF")),"")</f>
        <v>3</v>
      </c>
      <c r="C12" s="4">
        <f>IFERROR(IF(SUMIFS(tblDaily[Discharges],tblDaily[EntryDate],DATE(2026,1,6),tblDaily[WardCode],"BF")=0,"",SUMIFS(tblDaily[Discharges],tblDaily[EntryDate],DATE(2026,1,6),tblDaily[WardCode],"BF")),"")</f>
        <v>5</v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>
        <f>IFERROR(IF(SUMIFS(tblDaily[Remaining],tblDaily[EntryDate],DATE(2026,1,6),tblDaily[WardCode],"BF")=0,"",SUMIFS(tblDaily[Remaining],tblDaily[EntryDate],DATE(2026,1,6),tblDaily[WardCode],"BF")),"")</f>
        <v>6</v>
      </c>
    </row>
    <row r="13" spans="1:8" x14ac:dyDescent="0.25">
      <c r="A13" s="4">
        <v>7</v>
      </c>
      <c r="B13" s="4">
        <f>IFERROR(IF(SUMIFS(tblDaily[Admissions],tblDaily[EntryDate],DATE(2026,1,7),tblDaily[WardCode],"BF")=0,"",SUMIFS(tblDaily[Admissions],tblDaily[EntryDate],DATE(2026,1,7),tblDaily[WardCode],"BF")),"")</f>
        <v>2</v>
      </c>
      <c r="C13" s="4">
        <f>IFERROR(IF(SUMIFS(tblDaily[Discharges],tblDaily[EntryDate],DATE(2026,1,7),tblDaily[WardCode],"BF")=0,"",SUMIFS(tblDaily[Discharges],tblDaily[EntryDate],DATE(2026,1,7),tblDaily[WardCode],"BF")),"")</f>
        <v>3</v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>
        <f>IFERROR(IF(SUMIFS(tblDaily[Remaining],tblDaily[EntryDate],DATE(2026,1,7),tblDaily[WardCode],"BF")=0,"",SUMIFS(tblDaily[Remaining],tblDaily[EntryDate],DATE(2026,1,7),tblDaily[WardCode],"BF")),"")</f>
        <v>5</v>
      </c>
    </row>
    <row r="14" spans="1:8" x14ac:dyDescent="0.25">
      <c r="A14" s="4">
        <v>8</v>
      </c>
      <c r="B14" s="4">
        <f>IFERROR(IF(SUMIFS(tblDaily[Admissions],tblDaily[EntryDate],DATE(2026,1,8),tblDaily[WardCode],"BF")=0,"",SUMIFS(tblDaily[Admissions],tblDaily[EntryDate],DATE(2026,1,8),tblDaily[WardCode],"BF")),"")</f>
        <v>1</v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>
        <f>IFERROR(IF(SUMIFS(tblDaily[Remaining],tblDaily[EntryDate],DATE(2026,1,8),tblDaily[WardCode],"BF")=0,"",SUMIFS(tblDaily[Remaining],tblDaily[EntryDate],DATE(2026,1,8),tblDaily[WardCode],"BF")),"")</f>
        <v>6</v>
      </c>
    </row>
    <row r="15" spans="1:8" x14ac:dyDescent="0.25">
      <c r="A15" s="4">
        <v>9</v>
      </c>
      <c r="B15" s="4">
        <f>IFERROR(IF(SUMIFS(tblDaily[Admissions],tblDaily[EntryDate],DATE(2026,1,9),tblDaily[WardCode],"BF")=0,"",SUMIFS(tblDaily[Admissions],tblDaily[EntryDate],DATE(2026,1,9),tblDaily[WardCode],"BF")),"")</f>
        <v>2</v>
      </c>
      <c r="C15" s="4">
        <f>IFERROR(IF(SUMIFS(tblDaily[Discharges],tblDaily[EntryDate],DATE(2026,1,9),tblDaily[WardCode],"BF")=0,"",SUMIFS(tblDaily[Discharges],tblDaily[EntryDate],DATE(2026,1,9),tblDaily[WardCode],"BF")),"")</f>
        <v>3</v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>
        <f>IFERROR(IF(SUMIFS(tblDaily[TransfersOut],tblDaily[EntryDate],DATE(2026,1,9),tblDaily[WardCode],"BF")=0,"",SUMIFS(tblDaily[TransfersOut],tblDaily[EntryDate],DATE(2026,1,9),tblDaily[WardCode],"BF")),"")</f>
        <v>1</v>
      </c>
      <c r="H15" s="4">
        <f>IFERROR(IF(SUMIFS(tblDaily[Remaining],tblDaily[EntryDate],DATE(2026,1,9),tblDaily[WardCode],"BF")=0,"",SUMIFS(tblDaily[Remaining],tblDaily[EntryDate],DATE(2026,1,9),tblDaily[WardCode],"BF")),"")</f>
        <v>4</v>
      </c>
    </row>
    <row r="16" spans="1:8" x14ac:dyDescent="0.25">
      <c r="A16" s="4">
        <v>10</v>
      </c>
      <c r="B16" s="4">
        <f>IFERROR(IF(SUMIFS(tblDaily[Admissions],tblDaily[EntryDate],DATE(2026,1,10),tblDaily[WardCode],"BF")=0,"",SUMIFS(tblDaily[Admissions],tblDaily[EntryDate],DATE(2026,1,10),tblDaily[WardCode],"BF")),"")</f>
        <v>2</v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>
        <f>IFERROR(IF(SUMIFS(tblDaily[Remaining],tblDaily[EntryDate],DATE(2026,1,10),tblDaily[WardCode],"BF")=0,"",SUMIFS(tblDaily[Remaining],tblDaily[EntryDate],DATE(2026,1,10),tblDaily[WardCode],"BF")),"")</f>
        <v>6</v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>
        <f>IFERROR(IF(SUMIFS(tblDaily[Discharges],tblDaily[EntryDate],DATE(2026,1,11),tblDaily[WardCode],"BF")=0,"",SUMIFS(tblDaily[Discharges],tblDaily[EntryDate],DATE(2026,1,11),tblDaily[WardCode],"BF")),"")</f>
        <v>2</v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>
        <f>IFERROR(IF(SUMIFS(tblDaily[Remaining],tblDaily[EntryDate],DATE(2026,1,11),tblDaily[WardCode],"BF")=0,"",SUMIFS(tblDaily[Remaining],tblDaily[EntryDate],DATE(2026,1,11),tblDaily[WardCode],"BF")),"")</f>
        <v>4</v>
      </c>
    </row>
    <row r="18" spans="1:8" x14ac:dyDescent="0.25">
      <c r="A18" s="4">
        <v>12</v>
      </c>
      <c r="B18" s="4">
        <f>IFERROR(IF(SUMIFS(tblDaily[Admissions],tblDaily[EntryDate],DATE(2026,1,12),tblDaily[WardCode],"BF")=0,"",SUMIFS(tblDaily[Admissions],tblDaily[EntryDate],DATE(2026,1,12),tblDaily[WardCode],"BF")),"")</f>
        <v>4</v>
      </c>
      <c r="C18" s="4">
        <f>IFERROR(IF(SUMIFS(tblDaily[Discharges],tblDaily[EntryDate],DATE(2026,1,12),tblDaily[WardCode],"BF")=0,"",SUMIFS(tblDaily[Discharges],tblDaily[EntryDate],DATE(2026,1,12),tblDaily[WardCode],"BF")),"")</f>
        <v>2</v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>
        <f>IFERROR(IF(SUMIFS(tblDaily[Remaining],tblDaily[EntryDate],DATE(2026,1,12),tblDaily[WardCode],"BF")=0,"",SUMIFS(tblDaily[Remaining],tblDaily[EntryDate],DATE(2026,1,12),tblDaily[WardCode],"BF")),"")</f>
        <v>6</v>
      </c>
    </row>
    <row r="19" spans="1:8" x14ac:dyDescent="0.25">
      <c r="A19" s="4">
        <v>13</v>
      </c>
      <c r="B19" s="4">
        <f>IFERROR(IF(SUMIFS(tblDaily[Admissions],tblDaily[EntryDate],DATE(2026,1,13),tblDaily[WardCode],"BF")=0,"",SUMIFS(tblDaily[Admissions],tblDaily[EntryDate],DATE(2026,1,13),tblDaily[WardCode],"BF")),"")</f>
        <v>3</v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>
        <f>IFERROR(IF(SUMIFS(tblDaily[Remaining],tblDaily[EntryDate],DATE(2026,1,13),tblDaily[WardCode],"BF")=0,"",SUMIFS(tblDaily[Remaining],tblDaily[EntryDate],DATE(2026,1,13),tblDaily[WardCode],"BF")),"")</f>
        <v>9</v>
      </c>
    </row>
    <row r="20" spans="1:8" x14ac:dyDescent="0.25">
      <c r="A20" s="4">
        <v>14</v>
      </c>
      <c r="B20" s="4">
        <f>IFERROR(IF(SUMIFS(tblDaily[Admissions],tblDaily[EntryDate],DATE(2026,1,14),tblDaily[WardCode],"BF")=0,"",SUMIFS(tblDaily[Admissions],tblDaily[EntryDate],DATE(2026,1,14),tblDaily[WardCode],"BF")),"")</f>
        <v>1</v>
      </c>
      <c r="C20" s="4">
        <f>IFERROR(IF(SUMIFS(tblDaily[Discharges],tblDaily[EntryDate],DATE(2026,1,14),tblDaily[WardCode],"BF")=0,"",SUMIFS(tblDaily[Discharges],tblDaily[EntryDate],DATE(2026,1,14),tblDaily[WardCode],"BF")),"")</f>
        <v>3</v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>
        <f>IFERROR(IF(SUMIFS(tblDaily[Remaining],tblDaily[EntryDate],DATE(2026,1,14),tblDaily[WardCode],"BF")=0,"",SUMIFS(tblDaily[Remaining],tblDaily[EntryDate],DATE(2026,1,14),tblDaily[WardCode],"BF")),"")</f>
        <v>7</v>
      </c>
    </row>
    <row r="21" spans="1:8" x14ac:dyDescent="0.25">
      <c r="A21" s="4">
        <v>15</v>
      </c>
      <c r="B21" s="4">
        <f>IFERROR(IF(SUMIFS(tblDaily[Admissions],tblDaily[EntryDate],DATE(2026,1,15),tblDaily[WardCode],"BF")=0,"",SUMIFS(tblDaily[Admissions],tblDaily[EntryDate],DATE(2026,1,15),tblDaily[WardCode],"BF")),"")</f>
        <v>2</v>
      </c>
      <c r="C21" s="4">
        <f>IFERROR(IF(SUMIFS(tblDaily[Discharges],tblDaily[EntryDate],DATE(2026,1,15),tblDaily[WardCode],"BF")=0,"",SUMIFS(tblDaily[Discharges],tblDaily[EntryDate],DATE(2026,1,15),tblDaily[WardCode],"BF")),"")</f>
        <v>2</v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>
        <f>IFERROR(IF(SUMIFS(tblDaily[Remaining],tblDaily[EntryDate],DATE(2026,1,15),tblDaily[WardCode],"BF")=0,"",SUMIFS(tblDaily[Remaining],tblDaily[EntryDate],DATE(2026,1,15),tblDaily[WardCode],"BF")),"")</f>
        <v>7</v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>
        <f>IFERROR(IF(SUMIFS(tblDaily[Discharges],tblDaily[EntryDate],DATE(2026,1,16),tblDaily[WardCode],"BF")=0,"",SUMIFS(tblDaily[Discharges],tblDaily[EntryDate],DATE(2026,1,16),tblDaily[WardCode],"BF")),"")</f>
        <v>3</v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>
        <f>IFERROR(IF(SUMIFS(tblDaily[Remaining],tblDaily[EntryDate],DATE(2026,1,16),tblDaily[WardCode],"BF")=0,"",SUMIFS(tblDaily[Remaining],tblDaily[EntryDate],DATE(2026,1,16),tblDaily[WardCode],"BF")),"")</f>
        <v>4</v>
      </c>
    </row>
    <row r="23" spans="1:8" x14ac:dyDescent="0.25">
      <c r="A23" s="4">
        <v>17</v>
      </c>
      <c r="B23" s="4">
        <f>IFERROR(IF(SUMIFS(tblDaily[Admissions],tblDaily[EntryDate],DATE(2026,1,17),tblDaily[WardCode],"BF")=0,"",SUMIFS(tblDaily[Admissions],tblDaily[EntryDate],DATE(2026,1,17),tblDaily[WardCode],"BF")),"")</f>
        <v>3</v>
      </c>
      <c r="C23" s="4">
        <f>IFERROR(IF(SUMIFS(tblDaily[Discharges],tblDaily[EntryDate],DATE(2026,1,17),tblDaily[WardCode],"BF")=0,"",SUMIFS(tblDaily[Discharges],tblDaily[EntryDate],DATE(2026,1,17),tblDaily[WardCode],"BF")),"")</f>
        <v>1</v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>
        <f>IFERROR(IF(SUMIFS(tblDaily[Remaining],tblDaily[EntryDate],DATE(2026,1,17),tblDaily[WardCode],"BF")=0,"",SUMIFS(tblDaily[Remaining],tblDaily[EntryDate],DATE(2026,1,17),tblDaily[WardCode],"BF")),"")</f>
        <v>6</v>
      </c>
    </row>
    <row r="24" spans="1:8" x14ac:dyDescent="0.25">
      <c r="A24" s="4">
        <v>18</v>
      </c>
      <c r="B24" s="4">
        <f>IFERROR(IF(SUMIFS(tblDaily[Admissions],tblDaily[EntryDate],DATE(2026,1,18),tblDaily[WardCode],"BF")=0,"",SUMIFS(tblDaily[Admissions],tblDaily[EntryDate],DATE(2026,1,18),tblDaily[WardCode],"BF")),"")</f>
        <v>3</v>
      </c>
      <c r="C24" s="4">
        <f>IFERROR(IF(SUMIFS(tblDaily[Discharges],tblDaily[EntryDate],DATE(2026,1,18),tblDaily[WardCode],"BF")=0,"",SUMIFS(tblDaily[Discharges],tblDaily[EntryDate],DATE(2026,1,18),tblDaily[WardCode],"BF")),"")</f>
        <v>2</v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>
        <f>IFERROR(IF(SUMIFS(tblDaily[Remaining],tblDaily[EntryDate],DATE(2026,1,18),tblDaily[WardCode],"BF")=0,"",SUMIFS(tblDaily[Remaining],tblDaily[EntryDate],DATE(2026,1,18),tblDaily[WardCode],"BF")),"")</f>
        <v>7</v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>
        <f>IFERROR(IF(SUMIFS(tblDaily[Discharges],tblDaily[EntryDate],DATE(2026,1,19),tblDaily[WardCode],"BF")=0,"",SUMIFS(tblDaily[Discharges],tblDaily[EntryDate],DATE(2026,1,19),tblDaily[WardCode],"BF")),"")</f>
        <v>2</v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>
        <f>IFERROR(IF(SUMIFS(tblDaily[Remaining],tblDaily[EntryDate],DATE(2026,1,19),tblDaily[WardCode],"BF")=0,"",SUMIFS(tblDaily[Remaining],tblDaily[EntryDate],DATE(2026,1,19),tblDaily[WardCode],"BF")),"")</f>
        <v>5</v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>
        <f>IFERROR(IF(SUMIFS(tblDaily[Discharges],tblDaily[EntryDate],DATE(2026,1,20),tblDaily[WardCode],"BF")=0,"",SUMIFS(tblDaily[Discharges],tblDaily[EntryDate],DATE(2026,1,20),tblDaily[WardCode],"BF")),"")</f>
        <v>2</v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>
        <f>IFERROR(IF(SUMIFS(tblDaily[Remaining],tblDaily[EntryDate],DATE(2026,1,20),tblDaily[WardCode],"BF")=0,"",SUMIFS(tblDaily[Remaining],tblDaily[EntryDate],DATE(2026,1,20),tblDaily[WardCode],"BF")),"")</f>
        <v>3</v>
      </c>
    </row>
    <row r="27" spans="1:8" x14ac:dyDescent="0.25">
      <c r="A27" s="4">
        <v>21</v>
      </c>
      <c r="B27" s="4">
        <f>IFERROR(IF(SUMIFS(tblDaily[Admissions],tblDaily[EntryDate],DATE(2026,1,21),tblDaily[WardCode],"BF")=0,"",SUMIFS(tblDaily[Admissions],tblDaily[EntryDate],DATE(2026,1,21),tblDaily[WardCode],"BF")),"")</f>
        <v>5</v>
      </c>
      <c r="C27" s="4">
        <f>IFERROR(IF(SUMIFS(tblDaily[Discharges],tblDaily[EntryDate],DATE(2026,1,21),tblDaily[WardCode],"BF")=0,"",SUMIFS(tblDaily[Discharges],tblDaily[EntryDate],DATE(2026,1,21),tblDaily[WardCode],"BF")),"")</f>
        <v>1</v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>
        <f>IFERROR(IF(SUMIFS(tblDaily[Remaining],tblDaily[EntryDate],DATE(2026,1,21),tblDaily[WardCode],"BF")=0,"",SUMIFS(tblDaily[Remaining],tblDaily[EntryDate],DATE(2026,1,21),tblDaily[WardCode],"BF")),"")</f>
        <v>7</v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>
        <f>IFERROR(IF(SUMIFS(tblDaily[Discharges],tblDaily[EntryDate],DATE(2026,1,22),tblDaily[WardCode],"BF")=0,"",SUMIFS(tblDaily[Discharges],tblDaily[EntryDate],DATE(2026,1,22),tblDaily[WardCode],"BF")),"")</f>
        <v>3</v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>
        <f>IFERROR(IF(SUMIFS(tblDaily[Remaining],tblDaily[EntryDate],DATE(2026,1,22),tblDaily[WardCode],"BF")=0,"",SUMIFS(tblDaily[Remaining],tblDaily[EntryDate],DATE(2026,1,22),tblDaily[WardCode],"BF")),"")</f>
        <v>4</v>
      </c>
    </row>
    <row r="29" spans="1:8" x14ac:dyDescent="0.25">
      <c r="A29" s="4">
        <v>23</v>
      </c>
      <c r="B29" s="4">
        <f>IFERROR(IF(SUMIFS(tblDaily[Admissions],tblDaily[EntryDate],DATE(2026,1,23),tblDaily[WardCode],"BF")=0,"",SUMIFS(tblDaily[Admissions],tblDaily[EntryDate],DATE(2026,1,23),tblDaily[WardCode],"BF")),"")</f>
        <v>1</v>
      </c>
      <c r="C29" s="4">
        <f>IFERROR(IF(SUMIFS(tblDaily[Discharges],tblDaily[EntryDate],DATE(2026,1,23),tblDaily[WardCode],"BF")=0,"",SUMIFS(tblDaily[Discharges],tblDaily[EntryDate],DATE(2026,1,23),tblDaily[WardCode],"BF")),"")</f>
        <v>3</v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>
        <f>IFERROR(IF(SUMIFS(tblDaily[Remaining],tblDaily[EntryDate],DATE(2026,1,23),tblDaily[WardCode],"BF")=0,"",SUMIFS(tblDaily[Remaining],tblDaily[EntryDate],DATE(2026,1,23),tblDaily[WardCode],"BF")),"")</f>
        <v>2</v>
      </c>
    </row>
    <row r="30" spans="1:8" x14ac:dyDescent="0.25">
      <c r="A30" s="4">
        <v>24</v>
      </c>
      <c r="B30" s="4">
        <f>IFERROR(IF(SUMIFS(tblDaily[Admissions],tblDaily[EntryDate],DATE(2026,1,24),tblDaily[WardCode],"BF")=0,"",SUMIFS(tblDaily[Admissions],tblDaily[EntryDate],DATE(2026,1,24),tblDaily[WardCode],"BF")),"")</f>
        <v>4</v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>
        <f>IFERROR(IF(SUMIFS(tblDaily[Remaining],tblDaily[EntryDate],DATE(2026,1,24),tblDaily[WardCode],"BF")=0,"",SUMIFS(tblDaily[Remaining],tblDaily[EntryDate],DATE(2026,1,24),tblDaily[WardCode],"BF")),"")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IFERROR(IF(SUMIFS(tblDaily[Admissions],tblDaily[EntryDate],DATE(2026,1,25),tblDaily[WardCode],"BF")=0,"",SUMIFS(tblDaily[Admissions],tblDaily[EntryDate],DATE(2026,1,25),tblDaily[WardCode],"BF")),"")</f>
        <v>1</v>
      </c>
      <c r="C31" s="4">
        <f>IFERROR(IF(SUMIFS(tblDaily[Discharges],tblDaily[EntryDate],DATE(2026,1,25),tblDaily[WardCode],"BF")=0,"",SUMIFS(tblDaily[Discharges],tblDaily[EntryDate],DATE(2026,1,25),tblDaily[WardCode],"BF")),"")</f>
        <v>1</v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>
        <f>IFERROR(IF(SUMIFS(tblDaily[Remaining],tblDaily[EntryDate],DATE(2026,1,25),tblDaily[WardCode],"BF")=0,"",SUMIFS(tblDaily[Remaining],tblDaily[EntryDate],DATE(2026,1,25),tblDaily[WardCode],"BF")),"")</f>
        <v>6</v>
      </c>
    </row>
    <row r="32" spans="1:8" x14ac:dyDescent="0.25">
      <c r="A32" s="4">
        <v>26</v>
      </c>
      <c r="B32" s="4">
        <f>IFERROR(IF(SUMIFS(tblDaily[Admissions],tblDaily[EntryDate],DATE(2026,1,26),tblDaily[WardCode],"BF")=0,"",SUMIFS(tblDaily[Admissions],tblDaily[EntryDate],DATE(2026,1,26),tblDaily[WardCode],"BF")),"")</f>
        <v>3</v>
      </c>
      <c r="C32" s="4">
        <f>IFERROR(IF(SUMIFS(tblDaily[Discharges],tblDaily[EntryDate],DATE(2026,1,26),tblDaily[WardCode],"BF")=0,"",SUMIFS(tblDaily[Discharges],tblDaily[EntryDate],DATE(2026,1,26),tblDaily[WardCode],"BF")),"")</f>
        <v>1</v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>
        <f>IFERROR(IF(SUMIFS(tblDaily[Remaining],tblDaily[EntryDate],DATE(2026,1,26),tblDaily[WardCode],"BF")=0,"",SUMIFS(tblDaily[Remaining],tblDaily[EntryDate],DATE(2026,1,26),tblDaily[WardCode],"BF")),"")</f>
        <v>8</v>
      </c>
    </row>
    <row r="33" spans="1:8" x14ac:dyDescent="0.25">
      <c r="A33" s="4">
        <v>27</v>
      </c>
      <c r="B33" s="4">
        <f>IFERROR(IF(SUMIFS(tblDaily[Admissions],tblDaily[EntryDate],DATE(2026,1,27),tblDaily[WardCode],"BF")=0,"",SUMIFS(tblDaily[Admissions],tblDaily[EntryDate],DATE(2026,1,27),tblDaily[WardCode],"BF")),"")</f>
        <v>1</v>
      </c>
      <c r="C33" s="4">
        <f>IFERROR(IF(SUMIFS(tblDaily[Discharges],tblDaily[EntryDate],DATE(2026,1,27),tblDaily[WardCode],"BF")=0,"",SUMIFS(tblDaily[Discharges],tblDaily[EntryDate],DATE(2026,1,27),tblDaily[WardCode],"BF")),"")</f>
        <v>1</v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>
        <f>IFERROR(IF(SUMIFS(tblDaily[Remaining],tblDaily[EntryDate],DATE(2026,1,27),tblDaily[WardCode],"BF")=0,"",SUMIFS(tblDaily[Remaining],tblDaily[EntryDate],DATE(2026,1,27),tblDaily[WardCode],"BF")),"")</f>
        <v>8</v>
      </c>
    </row>
    <row r="34" spans="1:8" x14ac:dyDescent="0.25">
      <c r="A34" s="4">
        <v>28</v>
      </c>
      <c r="B34" s="4">
        <f>IFERROR(IF(SUMIFS(tblDaily[Admissions],tblDaily[EntryDate],DATE(2026,1,28),tblDaily[WardCode],"BF")=0,"",SUMIFS(tblDaily[Admissions],tblDaily[EntryDate],DATE(2026,1,28),tblDaily[WardCode],"BF")),"")</f>
        <v>2</v>
      </c>
      <c r="C34" s="4">
        <f>IFERROR(IF(SUMIFS(tblDaily[Discharges],tblDaily[EntryDate],DATE(2026,1,28),tblDaily[WardCode],"BF")=0,"",SUMIFS(tblDaily[Discharges],tblDaily[EntryDate],DATE(2026,1,28),tblDaily[WardCode],"BF")),"")</f>
        <v>2</v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>
        <f>IFERROR(IF(SUMIFS(tblDaily[Remaining],tblDaily[EntryDate],DATE(2026,1,28),tblDaily[WardCode],"BF")=0,"",SUMIFS(tblDaily[Remaining],tblDaily[EntryDate],DATE(2026,1,28),tblDaily[WardCode],"BF")),"")</f>
        <v>8</v>
      </c>
    </row>
    <row r="35" spans="1:8" x14ac:dyDescent="0.25">
      <c r="A35" s="4">
        <v>29</v>
      </c>
      <c r="B35" s="4">
        <f>IFERROR(IF(SUMIFS(tblDaily[Admissions],tblDaily[EntryDate],DATE(2026,1,29),tblDaily[WardCode],"BF")=0,"",SUMIFS(tblDaily[Admissions],tblDaily[EntryDate],DATE(2026,1,29),tblDaily[WardCode],"BF")),"")</f>
        <v>1</v>
      </c>
      <c r="C35" s="4">
        <f>IFERROR(IF(SUMIFS(tblDaily[Discharges],tblDaily[EntryDate],DATE(2026,1,29),tblDaily[WardCode],"BF")=0,"",SUMIFS(tblDaily[Discharges],tblDaily[EntryDate],DATE(2026,1,29),tblDaily[WardCode],"BF")),"")</f>
        <v>4</v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>
        <f>IFERROR(IF(SUMIFS(tblDaily[Remaining],tblDaily[EntryDate],DATE(2026,1,29),tblDaily[WardCode],"BF")=0,"",SUMIFS(tblDaily[Remaining],tblDaily[EntryDate],DATE(2026,1,29),tblDaily[WardCode],"BF")),"")</f>
        <v>5</v>
      </c>
    </row>
    <row r="36" spans="1:8" x14ac:dyDescent="0.25">
      <c r="A36" s="4">
        <v>30</v>
      </c>
      <c r="B36" s="4">
        <f>IFERROR(IF(SUMIFS(tblDaily[Admissions],tblDaily[EntryDate],DATE(2026,1,30),tblDaily[WardCode],"BF")=0,"",SUMIFS(tblDaily[Admissions],tblDaily[EntryDate],DATE(2026,1,30),tblDaily[WardCode],"BF")),"")</f>
        <v>3</v>
      </c>
      <c r="C36" s="4">
        <f>IFERROR(IF(SUMIFS(tblDaily[Discharges],tblDaily[EntryDate],DATE(2026,1,30),tblDaily[WardCode],"BF")=0,"",SUMIFS(tblDaily[Discharges],tblDaily[EntryDate],DATE(2026,1,30),tblDaily[WardCode],"BF")),"")</f>
        <v>3</v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>
        <f>IFERROR(IF(SUMIFS(tblDaily[Remaining],tblDaily[EntryDate],DATE(2026,1,30),tblDaily[WardCode],"BF")=0,"",SUMIFS(tblDaily[Remaining],tblDaily[EntryDate],DATE(2026,1,30),tblDaily[WardCode],"BF")),"")</f>
        <v>5</v>
      </c>
    </row>
    <row r="37" spans="1:8" x14ac:dyDescent="0.25">
      <c r="A37" s="4">
        <v>31</v>
      </c>
      <c r="B37" s="4">
        <f>IFERROR(IF(SUMIFS(tblDaily[Admissions],tblDaily[EntryDate],DATE(2026,1,31),tblDaily[WardCode],"BF")=0,"",SUMIFS(tblDaily[Admissions],tblDaily[EntryDate],DATE(2026,1,31),tblDaily[WardCode],"BF")),"")</f>
        <v>2</v>
      </c>
      <c r="C37" s="4">
        <f>IFERROR(IF(SUMIFS(tblDaily[Discharges],tblDaily[EntryDate],DATE(2026,1,31),tblDaily[WardCode],"BF")=0,"",SUMIFS(tblDaily[Discharges],tblDaily[EntryDate],DATE(2026,1,31),tblDaily[WardCode],"BF")),"")</f>
        <v>1</v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>
        <f>IFERROR(IF(SUMIFS(tblDaily[Remaining],tblDaily[EntryDate],DATE(2026,1,31),tblDaily[WardCode],"BF")=0,"",SUMIFS(tblDaily[Remaining],tblDaily[EntryDate],DATE(2026,1,31),tblDaily[WardCode],"BF")),"")</f>
        <v>6</v>
      </c>
    </row>
    <row r="38" spans="1:8" x14ac:dyDescent="0.25">
      <c r="A38" s="9" t="s">
        <v>112</v>
      </c>
      <c r="B38" s="9">
        <f>SUMIFS(tblDaily[Admissions],tblDaily[Month],1,tblDaily[WardCode],"BF") - SUMIFS(tblDaily[DeathsUnder24Hrs],tblDaily[Month],1,tblDaily[WardCode],"BF")</f>
        <v>62</v>
      </c>
      <c r="C38" s="9">
        <f>SUMIFS(tblDaily[Discharges],tblDaily[Month],1,tblDaily[WardCode],"BF")</f>
        <v>65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1</v>
      </c>
      <c r="G38" s="9">
        <f>SUMIFS(tblDaily[TransfersOut],tblDaily[Month],1,tblDaily[WardCode],"BF")</f>
        <v>1</v>
      </c>
      <c r="H38" s="9">
        <f>SUMIFS(tblDaily[Remaining],tblDaily[Month],1,tblDaily[WardCode],"BF")</f>
        <v>201</v>
      </c>
    </row>
    <row r="40" spans="1:8" ht="18.75" x14ac:dyDescent="0.25">
      <c r="A40" s="28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5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115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IFERROR(SUMIFS(tblDaily[Remaining],tblDaily[EntryDate],DATE(2026,1,31),tblDaily[WardCode],"BF"),0)</f>
        <v>6</v>
      </c>
    </row>
    <row r="44" spans="1:8" x14ac:dyDescent="0.25">
      <c r="A44" s="1" t="s">
        <v>106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IFERROR(IF(SUMIFS(tblDaily[Admissions],tblDaily[EntryDate],DATE(2026,2,3),tblDaily[WardCode],"BF")=0,"",SUMIFS(tblDaily[Admissions],tblDaily[EntryDate],DATE(2026,2,3),tblDaily[WardCode],"BF")),"")</f>
        <v>3</v>
      </c>
      <c r="C48" s="4">
        <f>IFERROR(IF(SUMIFS(tblDaily[Discharges],tblDaily[EntryDate],DATE(2026,2,3),tblDaily[WardCode],"BF")=0,"",SUMIFS(tblDaily[Discharges],tblDaily[EntryDate],DATE(2026,2,3),tblDaily[WardCode],"BF")),"")</f>
        <v>1</v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>
        <f>IFERROR(IF(SUMIFS(tblDaily[Remaining],tblDaily[EntryDate],DATE(2026,2,3),tblDaily[WardCode],"BF")=0,"",SUMIFS(tblDaily[Remaining],tblDaily[EntryDate],DATE(2026,2,3),tblDaily[WardCode],"BF")),"")</f>
        <v>8</v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SUMIFS(tblDaily[Admissions],tblDaily[Month],2,tblDaily[WardCode],"BF") - SUMIFS(tblDaily[DeathsUnder24Hrs],tblDaily[Month],2,tblDaily[WardCode],"BF")</f>
        <v>3</v>
      </c>
      <c r="C77" s="9">
        <f>SUMIFS(tblDaily[Discharges],tblDaily[Month],2,tblDaily[WardCode],"BF")</f>
        <v>1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8</v>
      </c>
    </row>
    <row r="79" spans="1:8" ht="18.75" x14ac:dyDescent="0.25">
      <c r="A79" s="28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5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115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106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112</v>
      </c>
      <c r="B116" s="9">
        <f>SUMIFS(tblDaily[Admissions],tblDaily[Month],3,tblDaily[WardCode],"BF") - SUMIFS(tblDaily[DeathsUnder24Hrs],tblDaily[Month],3,tblDaily[WardCode],"BF")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28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5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115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106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SUMIFS(tblDaily[Admissions],tblDaily[Month],4,tblDaily[WardCode],"BF") - SUMIFS(tblDaily[DeathsUnder24Hrs],tblDaily[Month],4,tblDaily[WardCode],"BF")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28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5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115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106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112</v>
      </c>
      <c r="B194" s="9">
        <f>SUMIFS(tblDaily[Admissions],tblDaily[Month],5,tblDaily[WardCode],"BF") - SUMIFS(tblDaily[DeathsUnder24Hrs],tblDaily[Month],5,tblDaily[WardCode],"BF")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28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5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115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106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SUMIFS(tblDaily[Admissions],tblDaily[Month],6,tblDaily[WardCode],"BF") - SUMIFS(tblDaily[DeathsUnder24Hrs],tblDaily[Month],6,tblDaily[WardCode],"BF")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28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5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115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106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112</v>
      </c>
      <c r="B272" s="9">
        <f>SUMIFS(tblDaily[Admissions],tblDaily[Month],7,tblDaily[WardCode],"BF") - SUMIFS(tblDaily[DeathsUnder24Hrs],tblDaily[Month],7,tblDaily[WardCode],"BF")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28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5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115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106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112</v>
      </c>
      <c r="B311" s="9">
        <f>SUMIFS(tblDaily[Admissions],tblDaily[Month],8,tblDaily[WardCode],"BF") - SUMIFS(tblDaily[DeathsUnder24Hrs],tblDaily[Month],8,tblDaily[WardCode],"BF")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28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5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115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106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SUMIFS(tblDaily[Admissions],tblDaily[Month],9,tblDaily[WardCode],"BF") - SUMIFS(tblDaily[DeathsUnder24Hrs],tblDaily[Month],9,tblDaily[WardCode],"BF")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28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5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115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106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112</v>
      </c>
      <c r="B389" s="9">
        <f>SUMIFS(tblDaily[Admissions],tblDaily[Month],10,tblDaily[WardCode],"BF") - SUMIFS(tblDaily[DeathsUnder24Hrs],tblDaily[Month],10,tblDaily[WardCode],"BF")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28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5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115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106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SUMIFS(tblDaily[Admissions],tblDaily[Month],11,tblDaily[WardCode],"BF") - SUMIFS(tblDaily[DeathsUnder24Hrs],tblDaily[Month],11,tblDaily[WardCode],"BF")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28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5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115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106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112</v>
      </c>
      <c r="B467" s="9">
        <f>SUMIFS(tblDaily[Admissions],tblDaily[Month],12,tblDaily[WardCode],"BF") - SUMIFS(tblDaily[DeathsUnder24Hrs],tblDaily[Month],12,tblDaily[WardCode],"BF")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8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5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116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IFERROR(INDEX(tblWardConfig[PrevYearRemaining],MATCH("BG",tblWardConfig[WardCode],0)),0)</f>
        <v>9</v>
      </c>
    </row>
    <row r="5" spans="1:8" x14ac:dyDescent="0.25">
      <c r="A5" s="1" t="s">
        <v>106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>
        <f>IFERROR(IF(SUMIFS(tblDaily[Admissions],tblDaily[EntryDate],DATE(2026,1,1),tblDaily[WardCode],"BG")=0,"",SUMIFS(tblDaily[Admissions],tblDaily[EntryDate],DATE(2026,1,1),tblDaily[WardCode],"BG")),"")</f>
        <v>4</v>
      </c>
      <c r="C7" s="4">
        <f>IFERROR(IF(SUMIFS(tblDaily[Discharges],tblDaily[EntryDate],DATE(2026,1,1),tblDaily[WardCode],"BG")=0,"",SUMIFS(tblDaily[Discharges],tblDaily[EntryDate],DATE(2026,1,1),tblDaily[WardCode],"BG")),"")</f>
        <v>6</v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>
        <f>IFERROR(IF(SUMIFS(tblDaily[TransfersOut],tblDaily[EntryDate],DATE(2026,1,1),tblDaily[WardCode],"BG")=0,"",SUMIFS(tblDaily[TransfersOut],tblDaily[EntryDate],DATE(2026,1,1),tblDaily[WardCode],"BG")),"")</f>
        <v>1</v>
      </c>
      <c r="H7" s="4">
        <f>IFERROR(IF(SUMIFS(tblDaily[Remaining],tblDaily[EntryDate],DATE(2026,1,1),tblDaily[WardCode],"BG")=0,"",SUMIFS(tblDaily[Remaining],tblDaily[EntryDate],DATE(2026,1,1),tblDaily[WardCode],"BG")),"")</f>
        <v>6</v>
      </c>
    </row>
    <row r="8" spans="1:8" x14ac:dyDescent="0.25">
      <c r="A8" s="4">
        <v>2</v>
      </c>
      <c r="B8" s="4">
        <f>IFERROR(IF(SUMIFS(tblDaily[Admissions],tblDaily[EntryDate],DATE(2026,1,2),tblDaily[WardCode],"BG")=0,"",SUMIFS(tblDaily[Admissions],tblDaily[EntryDate],DATE(2026,1,2),tblDaily[WardCode],"BG")),"")</f>
        <v>4</v>
      </c>
      <c r="C8" s="4">
        <f>IFERROR(IF(SUMIFS(tblDaily[Discharges],tblDaily[EntryDate],DATE(2026,1,2),tblDaily[WardCode],"BG")=0,"",SUMIFS(tblDaily[Discharges],tblDaily[EntryDate],DATE(2026,1,2),tblDaily[WardCode],"BG")),"")</f>
        <v>3</v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>
        <f>IFERROR(IF(SUMIFS(tblDaily[TransfersIn],tblDaily[EntryDate],DATE(2026,1,2),tblDaily[WardCode],"BG")=0,"",SUMIFS(tblDaily[TransfersIn],tblDaily[EntryDate],DATE(2026,1,2),tblDaily[WardCode],"BG")),"")</f>
        <v>2</v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>
        <f>IFERROR(IF(SUMIFS(tblDaily[Remaining],tblDaily[EntryDate],DATE(2026,1,2),tblDaily[WardCode],"BG")=0,"",SUMIFS(tblDaily[Remaining],tblDaily[EntryDate],DATE(2026,1,2),tblDaily[WardCode],"BG")),"")</f>
        <v>9</v>
      </c>
    </row>
    <row r="9" spans="1:8" x14ac:dyDescent="0.25">
      <c r="A9" s="4">
        <v>3</v>
      </c>
      <c r="B9" s="4">
        <f>IFERROR(IF(SUMIFS(tblDaily[Admissions],tblDaily[EntryDate],DATE(2026,1,3),tblDaily[WardCode],"BG")=0,"",SUMIFS(tblDaily[Admissions],tblDaily[EntryDate],DATE(2026,1,3),tblDaily[WardCode],"BG")),"")</f>
        <v>3</v>
      </c>
      <c r="C9" s="4">
        <f>IFERROR(IF(SUMIFS(tblDaily[Discharges],tblDaily[EntryDate],DATE(2026,1,3),tblDaily[WardCode],"BG")=0,"",SUMIFS(tblDaily[Discharges],tblDaily[EntryDate],DATE(2026,1,3),tblDaily[WardCode],"BG")),"")</f>
        <v>4</v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>
        <f>IFERROR(IF(SUMIFS(tblDaily[TransfersIn],tblDaily[EntryDate],DATE(2026,1,3),tblDaily[WardCode],"BG")=0,"",SUMIFS(tblDaily[TransfersIn],tblDaily[EntryDate],DATE(2026,1,3),tblDaily[WardCode],"BG")),"")</f>
        <v>2</v>
      </c>
      <c r="G9" s="4">
        <f>IFERROR(IF(SUMIFS(tblDaily[TransfersOut],tblDaily[EntryDate],DATE(2026,1,3),tblDaily[WardCode],"BG")=0,"",SUMIFS(tblDaily[TransfersOut],tblDaily[EntryDate],DATE(2026,1,3),tblDaily[WardCode],"BG")),"")</f>
        <v>1</v>
      </c>
      <c r="H9" s="4">
        <f>IFERROR(IF(SUMIFS(tblDaily[Remaining],tblDaily[EntryDate],DATE(2026,1,3),tblDaily[WardCode],"BG")=0,"",SUMIFS(tblDaily[Remaining],tblDaily[EntryDate],DATE(2026,1,3),tblDaily[WardCode],"BG")),"")</f>
        <v>9</v>
      </c>
    </row>
    <row r="10" spans="1:8" x14ac:dyDescent="0.25">
      <c r="A10" s="4">
        <v>4</v>
      </c>
      <c r="B10" s="4">
        <f>IFERROR(IF(SUMIFS(tblDaily[Admissions],tblDaily[EntryDate],DATE(2026,1,4),tblDaily[WardCode],"BG")=0,"",SUMIFS(tblDaily[Admissions],tblDaily[EntryDate],DATE(2026,1,4),tblDaily[WardCode],"BG")),"")</f>
        <v>7</v>
      </c>
      <c r="C10" s="4">
        <f>IFERROR(IF(SUMIFS(tblDaily[Discharges],tblDaily[EntryDate],DATE(2026,1,4),tblDaily[WardCode],"BG")=0,"",SUMIFS(tblDaily[Discharges],tblDaily[EntryDate],DATE(2026,1,4),tblDaily[WardCode],"BG")),"")</f>
        <v>2</v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>
        <f>IFERROR(IF(SUMIFS(tblDaily[TransfersIn],tblDaily[EntryDate],DATE(2026,1,4),tblDaily[WardCode],"BG")=0,"",SUMIFS(tblDaily[TransfersIn],tblDaily[EntryDate],DATE(2026,1,4),tblDaily[WardCode],"BG")),"")</f>
        <v>1</v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>
        <f>IFERROR(IF(SUMIFS(tblDaily[Remaining],tblDaily[EntryDate],DATE(2026,1,4),tblDaily[WardCode],"BG")=0,"",SUMIFS(tblDaily[Remaining],tblDaily[EntryDate],DATE(2026,1,4),tblDaily[WardCode],"BG")),"")</f>
        <v>15</v>
      </c>
    </row>
    <row r="11" spans="1:8" x14ac:dyDescent="0.25">
      <c r="A11" s="4">
        <v>5</v>
      </c>
      <c r="B11" s="4">
        <f>IFERROR(IF(SUMIFS(tblDaily[Admissions],tblDaily[EntryDate],DATE(2026,1,5),tblDaily[WardCode],"BG")=0,"",SUMIFS(tblDaily[Admissions],tblDaily[EntryDate],DATE(2026,1,5),tblDaily[WardCode],"BG")),"")</f>
        <v>5</v>
      </c>
      <c r="C11" s="4">
        <f>IFERROR(IF(SUMIFS(tblDaily[Discharges],tblDaily[EntryDate],DATE(2026,1,5),tblDaily[WardCode],"BG")=0,"",SUMIFS(tblDaily[Discharges],tblDaily[EntryDate],DATE(2026,1,5),tblDaily[WardCode],"BG")),"")</f>
        <v>7</v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>
        <f>IFERROR(IF(SUMIFS(tblDaily[TransfersIn],tblDaily[EntryDate],DATE(2026,1,5),tblDaily[WardCode],"BG")=0,"",SUMIFS(tblDaily[TransfersIn],tblDaily[EntryDate],DATE(2026,1,5),tblDaily[WardCode],"BG")),"")</f>
        <v>2</v>
      </c>
      <c r="G11" s="4">
        <f>IFERROR(IF(SUMIFS(tblDaily[TransfersOut],tblDaily[EntryDate],DATE(2026,1,5),tblDaily[WardCode],"BG")=0,"",SUMIFS(tblDaily[TransfersOut],tblDaily[EntryDate],DATE(2026,1,5),tblDaily[WardCode],"BG")),"")</f>
        <v>1</v>
      </c>
      <c r="H11" s="4">
        <f>IFERROR(IF(SUMIFS(tblDaily[Remaining],tblDaily[EntryDate],DATE(2026,1,5),tblDaily[WardCode],"BG")=0,"",SUMIFS(tblDaily[Remaining],tblDaily[EntryDate],DATE(2026,1,5),tblDaily[WardCode],"BG")),"")</f>
        <v>14</v>
      </c>
    </row>
    <row r="12" spans="1:8" x14ac:dyDescent="0.25">
      <c r="A12" s="4">
        <v>6</v>
      </c>
      <c r="B12" s="4">
        <f>IFERROR(IF(SUMIFS(tblDaily[Admissions],tblDaily[EntryDate],DATE(2026,1,6),tblDaily[WardCode],"BG")=0,"",SUMIFS(tblDaily[Admissions],tblDaily[EntryDate],DATE(2026,1,6),tblDaily[WardCode],"BG")),"")</f>
        <v>6</v>
      </c>
      <c r="C12" s="4">
        <f>IFERROR(IF(SUMIFS(tblDaily[Discharges],tblDaily[EntryDate],DATE(2026,1,6),tblDaily[WardCode],"BG")=0,"",SUMIFS(tblDaily[Discharges],tblDaily[EntryDate],DATE(2026,1,6),tblDaily[WardCode],"BG")),"")</f>
        <v>6</v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>
        <f>IFERROR(IF(SUMIFS(tblDaily[TransfersOut],tblDaily[EntryDate],DATE(2026,1,6),tblDaily[WardCode],"BG")=0,"",SUMIFS(tblDaily[TransfersOut],tblDaily[EntryDate],DATE(2026,1,6),tblDaily[WardCode],"BG")),"")</f>
        <v>2</v>
      </c>
      <c r="H12" s="4">
        <f>IFERROR(IF(SUMIFS(tblDaily[Remaining],tblDaily[EntryDate],DATE(2026,1,6),tblDaily[WardCode],"BG")=0,"",SUMIFS(tblDaily[Remaining],tblDaily[EntryDate],DATE(2026,1,6),tblDaily[WardCode],"BG")),"")</f>
        <v>12</v>
      </c>
    </row>
    <row r="13" spans="1:8" x14ac:dyDescent="0.25">
      <c r="A13" s="4">
        <v>7</v>
      </c>
      <c r="B13" s="4">
        <f>IFERROR(IF(SUMIFS(tblDaily[Admissions],tblDaily[EntryDate],DATE(2026,1,7),tblDaily[WardCode],"BG")=0,"",SUMIFS(tblDaily[Admissions],tblDaily[EntryDate],DATE(2026,1,7),tblDaily[WardCode],"BG")),"")</f>
        <v>3</v>
      </c>
      <c r="C13" s="4">
        <f>IFERROR(IF(SUMIFS(tblDaily[Discharges],tblDaily[EntryDate],DATE(2026,1,7),tblDaily[WardCode],"BG")=0,"",SUMIFS(tblDaily[Discharges],tblDaily[EntryDate],DATE(2026,1,7),tblDaily[WardCode],"BG")),"")</f>
        <v>7</v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>
        <f>IFERROR(IF(SUMIFS(tblDaily[TransfersIn],tblDaily[EntryDate],DATE(2026,1,7),tblDaily[WardCode],"BG")=0,"",SUMIFS(tblDaily[TransfersIn],tblDaily[EntryDate],DATE(2026,1,7),tblDaily[WardCode],"BG")),"")</f>
        <v>1</v>
      </c>
      <c r="G13" s="4">
        <f>IFERROR(IF(SUMIFS(tblDaily[TransfersOut],tblDaily[EntryDate],DATE(2026,1,7),tblDaily[WardCode],"BG")=0,"",SUMIFS(tblDaily[TransfersOut],tblDaily[EntryDate],DATE(2026,1,7),tblDaily[WardCode],"BG")),"")</f>
        <v>1</v>
      </c>
      <c r="H13" s="4">
        <f>IFERROR(IF(SUMIFS(tblDaily[Remaining],tblDaily[EntryDate],DATE(2026,1,7),tblDaily[WardCode],"BG")=0,"",SUMIFS(tblDaily[Remaining],tblDaily[EntryDate],DATE(2026,1,7),tblDaily[WardCode],"BG")),"")</f>
        <v>8</v>
      </c>
    </row>
    <row r="14" spans="1:8" x14ac:dyDescent="0.25">
      <c r="A14" s="4">
        <v>8</v>
      </c>
      <c r="B14" s="4">
        <f>IFERROR(IF(SUMIFS(tblDaily[Admissions],tblDaily[EntryDate],DATE(2026,1,8),tblDaily[WardCode],"BG")=0,"",SUMIFS(tblDaily[Admissions],tblDaily[EntryDate],DATE(2026,1,8),tblDaily[WardCode],"BG")),"")</f>
        <v>7</v>
      </c>
      <c r="C14" s="4">
        <f>IFERROR(IF(SUMIFS(tblDaily[Discharges],tblDaily[EntryDate],DATE(2026,1,8),tblDaily[WardCode],"BG")=0,"",SUMIFS(tblDaily[Discharges],tblDaily[EntryDate],DATE(2026,1,8),tblDaily[WardCode],"BG")),"")</f>
        <v>2</v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>
        <f>IFERROR(IF(SUMIFS(tblDaily[TransfersOut],tblDaily[EntryDate],DATE(2026,1,8),tblDaily[WardCode],"BG")=0,"",SUMIFS(tblDaily[TransfersOut],tblDaily[EntryDate],DATE(2026,1,8),tblDaily[WardCode],"BG")),"")</f>
        <v>1</v>
      </c>
      <c r="H14" s="4">
        <f>IFERROR(IF(SUMIFS(tblDaily[Remaining],tblDaily[EntryDate],DATE(2026,1,8),tblDaily[WardCode],"BG")=0,"",SUMIFS(tblDaily[Remaining],tblDaily[EntryDate],DATE(2026,1,8),tblDaily[WardCode],"BG")),"")</f>
        <v>12</v>
      </c>
    </row>
    <row r="15" spans="1:8" x14ac:dyDescent="0.25">
      <c r="A15" s="4">
        <v>9</v>
      </c>
      <c r="B15" s="4">
        <f>IFERROR(IF(SUMIFS(tblDaily[Admissions],tblDaily[EntryDate],DATE(2026,1,9),tblDaily[WardCode],"BG")=0,"",SUMIFS(tblDaily[Admissions],tblDaily[EntryDate],DATE(2026,1,9),tblDaily[WardCode],"BG")),"")</f>
        <v>3</v>
      </c>
      <c r="C15" s="4">
        <f>IFERROR(IF(SUMIFS(tblDaily[Discharges],tblDaily[EntryDate],DATE(2026,1,9),tblDaily[WardCode],"BG")=0,"",SUMIFS(tblDaily[Discharges],tblDaily[EntryDate],DATE(2026,1,9),tblDaily[WardCode],"BG")),"")</f>
        <v>6</v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>
        <f>IFERROR(IF(SUMIFS(tblDaily[TransfersIn],tblDaily[EntryDate],DATE(2026,1,9),tblDaily[WardCode],"BG")=0,"",SUMIFS(tblDaily[TransfersIn],tblDaily[EntryDate],DATE(2026,1,9),tblDaily[WardCode],"BG")),"")</f>
        <v>1</v>
      </c>
      <c r="G15" s="4">
        <f>IFERROR(IF(SUMIFS(tblDaily[TransfersOut],tblDaily[EntryDate],DATE(2026,1,9),tblDaily[WardCode],"BG")=0,"",SUMIFS(tblDaily[TransfersOut],tblDaily[EntryDate],DATE(2026,1,9),tblDaily[WardCode],"BG")),"")</f>
        <v>1</v>
      </c>
      <c r="H15" s="4">
        <f>IFERROR(IF(SUMIFS(tblDaily[Remaining],tblDaily[EntryDate],DATE(2026,1,9),tblDaily[WardCode],"BG")=0,"",SUMIFS(tblDaily[Remaining],tblDaily[EntryDate],DATE(2026,1,9),tblDaily[WardCode],"BG")),"")</f>
        <v>9</v>
      </c>
    </row>
    <row r="16" spans="1:8" x14ac:dyDescent="0.25">
      <c r="A16" s="4">
        <v>10</v>
      </c>
      <c r="B16" s="4">
        <f>IFERROR(IF(SUMIFS(tblDaily[Admissions],tblDaily[EntryDate],DATE(2026,1,10),tblDaily[WardCode],"BG")=0,"",SUMIFS(tblDaily[Admissions],tblDaily[EntryDate],DATE(2026,1,10),tblDaily[WardCode],"BG")),"")</f>
        <v>4</v>
      </c>
      <c r="C16" s="4">
        <f>IFERROR(IF(SUMIFS(tblDaily[Discharges],tblDaily[EntryDate],DATE(2026,1,10),tblDaily[WardCode],"BG")=0,"",SUMIFS(tblDaily[Discharges],tblDaily[EntryDate],DATE(2026,1,10),tblDaily[WardCode],"BG")),"")</f>
        <v>2</v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>
        <f>IFERROR(IF(SUMIFS(tblDaily[TransfersOut],tblDaily[EntryDate],DATE(2026,1,10),tblDaily[WardCode],"BG")=0,"",SUMIFS(tblDaily[TransfersOut],tblDaily[EntryDate],DATE(2026,1,10),tblDaily[WardCode],"BG")),"")</f>
        <v>1</v>
      </c>
      <c r="H16" s="4">
        <f>IFERROR(IF(SUMIFS(tblDaily[Remaining],tblDaily[EntryDate],DATE(2026,1,10),tblDaily[WardCode],"BG")=0,"",SUMIFS(tblDaily[Remaining],tblDaily[EntryDate],DATE(2026,1,10),tblDaily[WardCode],"BG")),"")</f>
        <v>10</v>
      </c>
    </row>
    <row r="17" spans="1:8" x14ac:dyDescent="0.25">
      <c r="A17" s="4">
        <v>11</v>
      </c>
      <c r="B17" s="4">
        <f>IFERROR(IF(SUMIFS(tblDaily[Admissions],tblDaily[EntryDate],DATE(2026,1,11),tblDaily[WardCode],"BG")=0,"",SUMIFS(tblDaily[Admissions],tblDaily[EntryDate],DATE(2026,1,11),tblDaily[WardCode],"BG")),"")</f>
        <v>6</v>
      </c>
      <c r="C17" s="4">
        <f>IFERROR(IF(SUMIFS(tblDaily[Discharges],tblDaily[EntryDate],DATE(2026,1,11),tblDaily[WardCode],"BG")=0,"",SUMIFS(tblDaily[Discharges],tblDaily[EntryDate],DATE(2026,1,11),tblDaily[WardCode],"BG")),"")</f>
        <v>7</v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>
        <f>IFERROR(IF(SUMIFS(tblDaily[TransfersIn],tblDaily[EntryDate],DATE(2026,1,11),tblDaily[WardCode],"BG")=0,"",SUMIFS(tblDaily[TransfersIn],tblDaily[EntryDate],DATE(2026,1,11),tblDaily[WardCode],"BG")),"")</f>
        <v>4</v>
      </c>
      <c r="G17" s="4">
        <f>IFERROR(IF(SUMIFS(tblDaily[TransfersOut],tblDaily[EntryDate],DATE(2026,1,11),tblDaily[WardCode],"BG")=0,"",SUMIFS(tblDaily[TransfersOut],tblDaily[EntryDate],DATE(2026,1,11),tblDaily[WardCode],"BG")),"")</f>
        <v>1</v>
      </c>
      <c r="H17" s="4">
        <f>IFERROR(IF(SUMIFS(tblDaily[Remaining],tblDaily[EntryDate],DATE(2026,1,11),tblDaily[WardCode],"BG")=0,"",SUMIFS(tblDaily[Remaining],tblDaily[EntryDate],DATE(2026,1,11),tblDaily[WardCode],"BG")),"")</f>
        <v>12</v>
      </c>
    </row>
    <row r="18" spans="1:8" x14ac:dyDescent="0.25">
      <c r="A18" s="4">
        <v>12</v>
      </c>
      <c r="B18" s="4">
        <f>IFERROR(IF(SUMIFS(tblDaily[Admissions],tblDaily[EntryDate],DATE(2026,1,12),tblDaily[WardCode],"BG")=0,"",SUMIFS(tblDaily[Admissions],tblDaily[EntryDate],DATE(2026,1,12),tblDaily[WardCode],"BG")),"")</f>
        <v>8</v>
      </c>
      <c r="C18" s="4">
        <f>IFERROR(IF(SUMIFS(tblDaily[Discharges],tblDaily[EntryDate],DATE(2026,1,12),tblDaily[WardCode],"BG")=0,"",SUMIFS(tblDaily[Discharges],tblDaily[EntryDate],DATE(2026,1,12),tblDaily[WardCode],"BG")),"")</f>
        <v>4</v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>
        <f>IFERROR(IF(SUMIFS(tblDaily[TransfersIn],tblDaily[EntryDate],DATE(2026,1,12),tblDaily[WardCode],"BG")=0,"",SUMIFS(tblDaily[TransfersIn],tblDaily[EntryDate],DATE(2026,1,12),tblDaily[WardCode],"BG")),"")</f>
        <v>2</v>
      </c>
      <c r="G18" s="4">
        <f>IFERROR(IF(SUMIFS(tblDaily[TransfersOut],tblDaily[EntryDate],DATE(2026,1,12),tblDaily[WardCode],"BG")=0,"",SUMIFS(tblDaily[TransfersOut],tblDaily[EntryDate],DATE(2026,1,12),tblDaily[WardCode],"BG")),"")</f>
        <v>3</v>
      </c>
      <c r="H18" s="4">
        <f>IFERROR(IF(SUMIFS(tblDaily[Remaining],tblDaily[EntryDate],DATE(2026,1,12),tblDaily[WardCode],"BG")=0,"",SUMIFS(tblDaily[Remaining],tblDaily[EntryDate],DATE(2026,1,12),tblDaily[WardCode],"BG")),"")</f>
        <v>15</v>
      </c>
    </row>
    <row r="19" spans="1:8" x14ac:dyDescent="0.25">
      <c r="A19" s="4">
        <v>13</v>
      </c>
      <c r="B19" s="4">
        <f>IFERROR(IF(SUMIFS(tblDaily[Admissions],tblDaily[EntryDate],DATE(2026,1,13),tblDaily[WardCode],"BG")=0,"",SUMIFS(tblDaily[Admissions],tblDaily[EntryDate],DATE(2026,1,13),tblDaily[WardCode],"BG")),"")</f>
        <v>5</v>
      </c>
      <c r="C19" s="4">
        <f>IFERROR(IF(SUMIFS(tblDaily[Discharges],tblDaily[EntryDate],DATE(2026,1,13),tblDaily[WardCode],"BG")=0,"",SUMIFS(tblDaily[Discharges],tblDaily[EntryDate],DATE(2026,1,13),tblDaily[WardCode],"BG")),"")</f>
        <v>6</v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>
        <f>IFERROR(IF(SUMIFS(tblDaily[TransfersIn],tblDaily[EntryDate],DATE(2026,1,13),tblDaily[WardCode],"BG")=0,"",SUMIFS(tblDaily[TransfersIn],tblDaily[EntryDate],DATE(2026,1,13),tblDaily[WardCode],"BG")),"")</f>
        <v>2</v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>
        <f>IFERROR(IF(SUMIFS(tblDaily[Remaining],tblDaily[EntryDate],DATE(2026,1,13),tblDaily[WardCode],"BG")=0,"",SUMIFS(tblDaily[Remaining],tblDaily[EntryDate],DATE(2026,1,13),tblDaily[WardCode],"BG")),"")</f>
        <v>16</v>
      </c>
    </row>
    <row r="20" spans="1:8" x14ac:dyDescent="0.25">
      <c r="A20" s="4">
        <v>14</v>
      </c>
      <c r="B20" s="4">
        <f>IFERROR(IF(SUMIFS(tblDaily[Admissions],tblDaily[EntryDate],DATE(2026,1,14),tblDaily[WardCode],"BG")=0,"",SUMIFS(tblDaily[Admissions],tblDaily[EntryDate],DATE(2026,1,14),tblDaily[WardCode],"BG")),"")</f>
        <v>5</v>
      </c>
      <c r="C20" s="4">
        <f>IFERROR(IF(SUMIFS(tblDaily[Discharges],tblDaily[EntryDate],DATE(2026,1,14),tblDaily[WardCode],"BG")=0,"",SUMIFS(tblDaily[Discharges],tblDaily[EntryDate],DATE(2026,1,14),tblDaily[WardCode],"BG")),"")</f>
        <v>3</v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>
        <f>IFERROR(IF(SUMIFS(tblDaily[TransfersIn],tblDaily[EntryDate],DATE(2026,1,14),tblDaily[WardCode],"BG")=0,"",SUMIFS(tblDaily[TransfersIn],tblDaily[EntryDate],DATE(2026,1,14),tblDaily[WardCode],"BG")),"")</f>
        <v>1</v>
      </c>
      <c r="G20" s="4">
        <f>IFERROR(IF(SUMIFS(tblDaily[TransfersOut],tblDaily[EntryDate],DATE(2026,1,14),tblDaily[WardCode],"BG")=0,"",SUMIFS(tblDaily[TransfersOut],tblDaily[EntryDate],DATE(2026,1,14),tblDaily[WardCode],"BG")),"")</f>
        <v>2</v>
      </c>
      <c r="H20" s="4">
        <f>IFERROR(IF(SUMIFS(tblDaily[Remaining],tblDaily[EntryDate],DATE(2026,1,14),tblDaily[WardCode],"BG")=0,"",SUMIFS(tblDaily[Remaining],tblDaily[EntryDate],DATE(2026,1,14),tblDaily[WardCode],"BG")),"")</f>
        <v>17</v>
      </c>
    </row>
    <row r="21" spans="1:8" x14ac:dyDescent="0.25">
      <c r="A21" s="4">
        <v>15</v>
      </c>
      <c r="B21" s="4">
        <f>IFERROR(IF(SUMIFS(tblDaily[Admissions],tblDaily[EntryDate],DATE(2026,1,15),tblDaily[WardCode],"BG")=0,"",SUMIFS(tblDaily[Admissions],tblDaily[EntryDate],DATE(2026,1,15),tblDaily[WardCode],"BG")),"")</f>
        <v>4</v>
      </c>
      <c r="C21" s="4">
        <f>IFERROR(IF(SUMIFS(tblDaily[Discharges],tblDaily[EntryDate],DATE(2026,1,15),tblDaily[WardCode],"BG")=0,"",SUMIFS(tblDaily[Discharges],tblDaily[EntryDate],DATE(2026,1,15),tblDaily[WardCode],"BG")),"")</f>
        <v>11</v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>
        <f>IFERROR(IF(SUMIFS(tblDaily[TransfersOut],tblDaily[EntryDate],DATE(2026,1,15),tblDaily[WardCode],"BG")=0,"",SUMIFS(tblDaily[TransfersOut],tblDaily[EntryDate],DATE(2026,1,15),tblDaily[WardCode],"BG")),"")</f>
        <v>1</v>
      </c>
      <c r="H21" s="4">
        <f>IFERROR(IF(SUMIFS(tblDaily[Remaining],tblDaily[EntryDate],DATE(2026,1,15),tblDaily[WardCode],"BG")=0,"",SUMIFS(tblDaily[Remaining],tblDaily[EntryDate],DATE(2026,1,15),tblDaily[WardCode],"BG")),"")</f>
        <v>9</v>
      </c>
    </row>
    <row r="22" spans="1:8" x14ac:dyDescent="0.25">
      <c r="A22" s="4">
        <v>16</v>
      </c>
      <c r="B22" s="4">
        <f>IFERROR(IF(SUMIFS(tblDaily[Admissions],tblDaily[EntryDate],DATE(2026,1,16),tblDaily[WardCode],"BG")=0,"",SUMIFS(tblDaily[Admissions],tblDaily[EntryDate],DATE(2026,1,16),tblDaily[WardCode],"BG")),"")</f>
        <v>2</v>
      </c>
      <c r="C22" s="4">
        <f>IFERROR(IF(SUMIFS(tblDaily[Discharges],tblDaily[EntryDate],DATE(2026,1,16),tblDaily[WardCode],"BG")=0,"",SUMIFS(tblDaily[Discharges],tblDaily[EntryDate],DATE(2026,1,16),tblDaily[WardCode],"BG")),"")</f>
        <v>1</v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>
        <f>IFERROR(IF(SUMIFS(tblDaily[Remaining],tblDaily[EntryDate],DATE(2026,1,16),tblDaily[WardCode],"BG")=0,"",SUMIFS(tblDaily[Remaining],tblDaily[EntryDate],DATE(2026,1,16),tblDaily[WardCode],"BG")),"")</f>
        <v>10</v>
      </c>
    </row>
    <row r="23" spans="1:8" x14ac:dyDescent="0.25">
      <c r="A23" s="4">
        <v>17</v>
      </c>
      <c r="B23" s="4">
        <f>IFERROR(IF(SUMIFS(tblDaily[Admissions],tblDaily[EntryDate],DATE(2026,1,17),tblDaily[WardCode],"BG")=0,"",SUMIFS(tblDaily[Admissions],tblDaily[EntryDate],DATE(2026,1,17),tblDaily[WardCode],"BG")),"")</f>
        <v>4</v>
      </c>
      <c r="C23" s="4">
        <f>IFERROR(IF(SUMIFS(tblDaily[Discharges],tblDaily[EntryDate],DATE(2026,1,17),tblDaily[WardCode],"BG")=0,"",SUMIFS(tblDaily[Discharges],tblDaily[EntryDate],DATE(2026,1,17),tblDaily[WardCode],"BG")),"")</f>
        <v>2</v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>
        <f>IFERROR(IF(SUMIFS(tblDaily[TransfersOut],tblDaily[EntryDate],DATE(2026,1,17),tblDaily[WardCode],"BG")=0,"",SUMIFS(tblDaily[TransfersOut],tblDaily[EntryDate],DATE(2026,1,17),tblDaily[WardCode],"BG")),"")</f>
        <v>1</v>
      </c>
      <c r="H23" s="4">
        <f>IFERROR(IF(SUMIFS(tblDaily[Remaining],tblDaily[EntryDate],DATE(2026,1,17),tblDaily[WardCode],"BG")=0,"",SUMIFS(tblDaily[Remaining],tblDaily[EntryDate],DATE(2026,1,17),tblDaily[WardCode],"BG")),"")</f>
        <v>11</v>
      </c>
    </row>
    <row r="24" spans="1:8" x14ac:dyDescent="0.25">
      <c r="A24" s="4">
        <v>18</v>
      </c>
      <c r="B24" s="4">
        <f>IFERROR(IF(SUMIFS(tblDaily[Admissions],tblDaily[EntryDate],DATE(2026,1,18),tblDaily[WardCode],"BG")=0,"",SUMIFS(tblDaily[Admissions],tblDaily[EntryDate],DATE(2026,1,18),tblDaily[WardCode],"BG")),"")</f>
        <v>1</v>
      </c>
      <c r="C24" s="4">
        <f>IFERROR(IF(SUMIFS(tblDaily[Discharges],tblDaily[EntryDate],DATE(2026,1,18),tblDaily[WardCode],"BG")=0,"",SUMIFS(tblDaily[Discharges],tblDaily[EntryDate],DATE(2026,1,18),tblDaily[WardCode],"BG")),"")</f>
        <v>3</v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>
        <f>IFERROR(IF(SUMIFS(tblDaily[TransfersIn],tblDaily[EntryDate],DATE(2026,1,18),tblDaily[WardCode],"BG")=0,"",SUMIFS(tblDaily[TransfersIn],tblDaily[EntryDate],DATE(2026,1,18),tblDaily[WardCode],"BG")),"")</f>
        <v>1</v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>
        <f>IFERROR(IF(SUMIFS(tblDaily[Remaining],tblDaily[EntryDate],DATE(2026,1,18),tblDaily[WardCode],"BG")=0,"",SUMIFS(tblDaily[Remaining],tblDaily[EntryDate],DATE(2026,1,18),tblDaily[WardCode],"BG")),"")</f>
        <v>10</v>
      </c>
    </row>
    <row r="25" spans="1:8" x14ac:dyDescent="0.25">
      <c r="A25" s="4">
        <v>19</v>
      </c>
      <c r="B25" s="4">
        <f>IFERROR(IF(SUMIFS(tblDaily[Admissions],tblDaily[EntryDate],DATE(2026,1,19),tblDaily[WardCode],"BG")=0,"",SUMIFS(tblDaily[Admissions],tblDaily[EntryDate],DATE(2026,1,19),tblDaily[WardCode],"BG")),"")</f>
        <v>4</v>
      </c>
      <c r="C25" s="4">
        <f>IFERROR(IF(SUMIFS(tblDaily[Discharges],tblDaily[EntryDate],DATE(2026,1,19),tblDaily[WardCode],"BG")=0,"",SUMIFS(tblDaily[Discharges],tblDaily[EntryDate],DATE(2026,1,19),tblDaily[WardCode],"BG")),"")</f>
        <v>1</v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>
        <f>IFERROR(IF(SUMIFS(tblDaily[Remaining],tblDaily[EntryDate],DATE(2026,1,19),tblDaily[WardCode],"BG")=0,"",SUMIFS(tblDaily[Remaining],tblDaily[EntryDate],DATE(2026,1,19),tblDaily[WardCode],"BG")),"")</f>
        <v>13</v>
      </c>
    </row>
    <row r="26" spans="1:8" x14ac:dyDescent="0.25">
      <c r="A26" s="4">
        <v>20</v>
      </c>
      <c r="B26" s="4">
        <f>IFERROR(IF(SUMIFS(tblDaily[Admissions],tblDaily[EntryDate],DATE(2026,1,20),tblDaily[WardCode],"BG")=0,"",SUMIFS(tblDaily[Admissions],tblDaily[EntryDate],DATE(2026,1,20),tblDaily[WardCode],"BG")),"")</f>
        <v>4</v>
      </c>
      <c r="C26" s="4">
        <f>IFERROR(IF(SUMIFS(tblDaily[Discharges],tblDaily[EntryDate],DATE(2026,1,20),tblDaily[WardCode],"BG")=0,"",SUMIFS(tblDaily[Discharges],tblDaily[EntryDate],DATE(2026,1,20),tblDaily[WardCode],"BG")),"")</f>
        <v>2</v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>
        <f>IFERROR(IF(SUMIFS(tblDaily[TransfersIn],tblDaily[EntryDate],DATE(2026,1,20),tblDaily[WardCode],"BG")=0,"",SUMIFS(tblDaily[TransfersIn],tblDaily[EntryDate],DATE(2026,1,20),tblDaily[WardCode],"BG")),"")</f>
        <v>1</v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>
        <f>IFERROR(IF(SUMIFS(tblDaily[Remaining],tblDaily[EntryDate],DATE(2026,1,20),tblDaily[WardCode],"BG")=0,"",SUMIFS(tblDaily[Remaining],tblDaily[EntryDate],DATE(2026,1,20),tblDaily[WardCode],"BG")),"")</f>
        <v>16</v>
      </c>
    </row>
    <row r="27" spans="1:8" x14ac:dyDescent="0.25">
      <c r="A27" s="4">
        <v>21</v>
      </c>
      <c r="B27" s="4">
        <f>IFERROR(IF(SUMIFS(tblDaily[Admissions],tblDaily[EntryDate],DATE(2026,1,21),tblDaily[WardCode],"BG")=0,"",SUMIFS(tblDaily[Admissions],tblDaily[EntryDate],DATE(2026,1,21),tblDaily[WardCode],"BG")),"")</f>
        <v>2</v>
      </c>
      <c r="C27" s="4">
        <f>IFERROR(IF(SUMIFS(tblDaily[Discharges],tblDaily[EntryDate],DATE(2026,1,21),tblDaily[WardCode],"BG")=0,"",SUMIFS(tblDaily[Discharges],tblDaily[EntryDate],DATE(2026,1,21),tblDaily[WardCode],"BG")),"")</f>
        <v>6</v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>
        <f>IFERROR(IF(SUMIFS(tblDaily[TransfersIn],tblDaily[EntryDate],DATE(2026,1,21),tblDaily[WardCode],"BG")=0,"",SUMIFS(tblDaily[TransfersIn],tblDaily[EntryDate],DATE(2026,1,21),tblDaily[WardCode],"BG")),"")</f>
        <v>1</v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>
        <f>IFERROR(IF(SUMIFS(tblDaily[Remaining],tblDaily[EntryDate],DATE(2026,1,21),tblDaily[WardCode],"BG")=0,"",SUMIFS(tblDaily[Remaining],tblDaily[EntryDate],DATE(2026,1,21),tblDaily[WardCode],"BG")),"")</f>
        <v>13</v>
      </c>
    </row>
    <row r="28" spans="1:8" x14ac:dyDescent="0.25">
      <c r="A28" s="4">
        <v>22</v>
      </c>
      <c r="B28" s="4">
        <f>IFERROR(IF(SUMIFS(tblDaily[Admissions],tblDaily[EntryDate],DATE(2026,1,22),tblDaily[WardCode],"BG")=0,"",SUMIFS(tblDaily[Admissions],tblDaily[EntryDate],DATE(2026,1,22),tblDaily[WardCode],"BG")),"")</f>
        <v>6</v>
      </c>
      <c r="C28" s="4">
        <f>IFERROR(IF(SUMIFS(tblDaily[Discharges],tblDaily[EntryDate],DATE(2026,1,22),tblDaily[WardCode],"BG")=0,"",SUMIFS(tblDaily[Discharges],tblDaily[EntryDate],DATE(2026,1,22),tblDaily[WardCode],"BG")),"")</f>
        <v>3</v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>
        <f>IFERROR(IF(SUMIFS(tblDaily[TransfersOut],tblDaily[EntryDate],DATE(2026,1,22),tblDaily[WardCode],"BG")=0,"",SUMIFS(tblDaily[TransfersOut],tblDaily[EntryDate],DATE(2026,1,22),tblDaily[WardCode],"BG")),"")</f>
        <v>3</v>
      </c>
      <c r="H28" s="4">
        <f>IFERROR(IF(SUMIFS(tblDaily[Remaining],tblDaily[EntryDate],DATE(2026,1,22),tblDaily[WardCode],"BG")=0,"",SUMIFS(tblDaily[Remaining],tblDaily[EntryDate],DATE(2026,1,22),tblDaily[WardCode],"BG")),"")</f>
        <v>13</v>
      </c>
    </row>
    <row r="29" spans="1:8" x14ac:dyDescent="0.25">
      <c r="A29" s="4">
        <v>23</v>
      </c>
      <c r="B29" s="4">
        <f>IFERROR(IF(SUMIFS(tblDaily[Admissions],tblDaily[EntryDate],DATE(2026,1,23),tblDaily[WardCode],"BG")=0,"",SUMIFS(tblDaily[Admissions],tblDaily[EntryDate],DATE(2026,1,23),tblDaily[WardCode],"BG")),"")</f>
        <v>4</v>
      </c>
      <c r="C29" s="4">
        <f>IFERROR(IF(SUMIFS(tblDaily[Discharges],tblDaily[EntryDate],DATE(2026,1,23),tblDaily[WardCode],"BG")=0,"",SUMIFS(tblDaily[Discharges],tblDaily[EntryDate],DATE(2026,1,23),tblDaily[WardCode],"BG")),"")</f>
        <v>7</v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>
        <f>IFERROR(IF(SUMIFS(tblDaily[TransfersOut],tblDaily[EntryDate],DATE(2026,1,23),tblDaily[WardCode],"BG")=0,"",SUMIFS(tblDaily[TransfersOut],tblDaily[EntryDate],DATE(2026,1,23),tblDaily[WardCode],"BG")),"")</f>
        <v>1</v>
      </c>
      <c r="H29" s="4">
        <f>IFERROR(IF(SUMIFS(tblDaily[Remaining],tblDaily[EntryDate],DATE(2026,1,23),tblDaily[WardCode],"BG")=0,"",SUMIFS(tblDaily[Remaining],tblDaily[EntryDate],DATE(2026,1,23),tblDaily[WardCode],"BG")),"")</f>
        <v>9</v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>
        <f>IFERROR(IF(SUMIFS(tblDaily[Discharges],tblDaily[EntryDate],DATE(2026,1,24),tblDaily[WardCode],"BG")=0,"",SUMIFS(tblDaily[Discharges],tblDaily[EntryDate],DATE(2026,1,24),tblDaily[WardCode],"BG")),"")</f>
        <v>1</v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>
        <f>IFERROR(IF(SUMIFS(tblDaily[TransfersOut],tblDaily[EntryDate],DATE(2026,1,24),tblDaily[WardCode],"BG")=0,"",SUMIFS(tblDaily[TransfersOut],tblDaily[EntryDate],DATE(2026,1,24),tblDaily[WardCode],"BG")),"")</f>
        <v>1</v>
      </c>
      <c r="H30" s="4">
        <f>IFERROR(IF(SUMIFS(tblDaily[Remaining],tblDaily[EntryDate],DATE(2026,1,24),tblDaily[WardCode],"BG")=0,"",SUMIFS(tblDaily[Remaining],tblDaily[EntryDate],DATE(2026,1,24),tblDaily[WardCode],"BG")),"")</f>
        <v>7</v>
      </c>
    </row>
    <row r="31" spans="1:8" x14ac:dyDescent="0.25">
      <c r="A31" s="4">
        <v>25</v>
      </c>
      <c r="B31" s="4">
        <f>IFERROR(IF(SUMIFS(tblDaily[Admissions],tblDaily[EntryDate],DATE(2026,1,25),tblDaily[WardCode],"BG")=0,"",SUMIFS(tblDaily[Admissions],tblDaily[EntryDate],DATE(2026,1,25),tblDaily[WardCode],"BG")),"")</f>
        <v>2</v>
      </c>
      <c r="C31" s="4">
        <f>IFERROR(IF(SUMIFS(tblDaily[Discharges],tblDaily[EntryDate],DATE(2026,1,25),tblDaily[WardCode],"BG")=0,"",SUMIFS(tblDaily[Discharges],tblDaily[EntryDate],DATE(2026,1,25),tblDaily[WardCode],"BG")),"")</f>
        <v>1</v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>
        <f>IFERROR(IF(SUMIFS(tblDaily[TransfersIn],tblDaily[EntryDate],DATE(2026,1,25),tblDaily[WardCode],"BG")=0,"",SUMIFS(tblDaily[TransfersIn],tblDaily[EntryDate],DATE(2026,1,25),tblDaily[WardCode],"BG")),"")</f>
        <v>2</v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>
        <f>IFERROR(IF(SUMIFS(tblDaily[Remaining],tblDaily[EntryDate],DATE(2026,1,25),tblDaily[WardCode],"BG")=0,"",SUMIFS(tblDaily[Remaining],tblDaily[EntryDate],DATE(2026,1,25),tblDaily[WardCode],"BG")),"")</f>
        <v>10</v>
      </c>
    </row>
    <row r="32" spans="1:8" x14ac:dyDescent="0.25">
      <c r="A32" s="4">
        <v>26</v>
      </c>
      <c r="B32" s="4">
        <f>IFERROR(IF(SUMIFS(tblDaily[Admissions],tblDaily[EntryDate],DATE(2026,1,26),tblDaily[WardCode],"BG")=0,"",SUMIFS(tblDaily[Admissions],tblDaily[EntryDate],DATE(2026,1,26),tblDaily[WardCode],"BG")),"")</f>
        <v>1</v>
      </c>
      <c r="C32" s="4">
        <f>IFERROR(IF(SUMIFS(tblDaily[Discharges],tblDaily[EntryDate],DATE(2026,1,26),tblDaily[WardCode],"BG")=0,"",SUMIFS(tblDaily[Discharges],tblDaily[EntryDate],DATE(2026,1,26),tblDaily[WardCode],"BG")),"")</f>
        <v>3</v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>
        <f>IFERROR(IF(SUMIFS(tblDaily[Remaining],tblDaily[EntryDate],DATE(2026,1,26),tblDaily[WardCode],"BG")=0,"",SUMIFS(tblDaily[Remaining],tblDaily[EntryDate],DATE(2026,1,26),tblDaily[WardCode],"BG")),"")</f>
        <v>8</v>
      </c>
    </row>
    <row r="33" spans="1:8" x14ac:dyDescent="0.25">
      <c r="A33" s="4">
        <v>27</v>
      </c>
      <c r="B33" s="4">
        <f>IFERROR(IF(SUMIFS(tblDaily[Admissions],tblDaily[EntryDate],DATE(2026,1,27),tblDaily[WardCode],"BG")=0,"",SUMIFS(tblDaily[Admissions],tblDaily[EntryDate],DATE(2026,1,27),tblDaily[WardCode],"BG")),"")</f>
        <v>5</v>
      </c>
      <c r="C33" s="4">
        <f>IFERROR(IF(SUMIFS(tblDaily[Discharges],tblDaily[EntryDate],DATE(2026,1,27),tblDaily[WardCode],"BG")=0,"",SUMIFS(tblDaily[Discharges],tblDaily[EntryDate],DATE(2026,1,27),tblDaily[WardCode],"BG")),"")</f>
        <v>5</v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>
        <f>IFERROR(IF(SUMIFS(tblDaily[TransfersIn],tblDaily[EntryDate],DATE(2026,1,27),tblDaily[WardCode],"BG")=0,"",SUMIFS(tblDaily[TransfersIn],tblDaily[EntryDate],DATE(2026,1,27),tblDaily[WardCode],"BG")),"")</f>
        <v>1</v>
      </c>
      <c r="G33" s="4">
        <f>IFERROR(IF(SUMIFS(tblDaily[TransfersOut],tblDaily[EntryDate],DATE(2026,1,27),tblDaily[WardCode],"BG")=0,"",SUMIFS(tblDaily[TransfersOut],tblDaily[EntryDate],DATE(2026,1,27),tblDaily[WardCode],"BG")),"")</f>
        <v>1</v>
      </c>
      <c r="H33" s="4">
        <f>IFERROR(IF(SUMIFS(tblDaily[Remaining],tblDaily[EntryDate],DATE(2026,1,27),tblDaily[WardCode],"BG")=0,"",SUMIFS(tblDaily[Remaining],tblDaily[EntryDate],DATE(2026,1,27),tblDaily[WardCode],"BG")),"")</f>
        <v>8</v>
      </c>
    </row>
    <row r="34" spans="1:8" x14ac:dyDescent="0.25">
      <c r="A34" s="4">
        <v>28</v>
      </c>
      <c r="B34" s="4">
        <f>IFERROR(IF(SUMIFS(tblDaily[Admissions],tblDaily[EntryDate],DATE(2026,1,28),tblDaily[WardCode],"BG")=0,"",SUMIFS(tblDaily[Admissions],tblDaily[EntryDate],DATE(2026,1,28),tblDaily[WardCode],"BG")),"")</f>
        <v>5</v>
      </c>
      <c r="C34" s="4">
        <f>IFERROR(IF(SUMIFS(tblDaily[Discharges],tblDaily[EntryDate],DATE(2026,1,28),tblDaily[WardCode],"BG")=0,"",SUMIFS(tblDaily[Discharges],tblDaily[EntryDate],DATE(2026,1,28),tblDaily[WardCode],"BG")),"")</f>
        <v>2</v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>
        <f>IFERROR(IF(SUMIFS(tblDaily[TransfersOut],tblDaily[EntryDate],DATE(2026,1,28),tblDaily[WardCode],"BG")=0,"",SUMIFS(tblDaily[TransfersOut],tblDaily[EntryDate],DATE(2026,1,28),tblDaily[WardCode],"BG")),"")</f>
        <v>2</v>
      </c>
      <c r="H34" s="4">
        <f>IFERROR(IF(SUMIFS(tblDaily[Remaining],tblDaily[EntryDate],DATE(2026,1,28),tblDaily[WardCode],"BG")=0,"",SUMIFS(tblDaily[Remaining],tblDaily[EntryDate],DATE(2026,1,28),tblDaily[WardCode],"BG")),"")</f>
        <v>9</v>
      </c>
    </row>
    <row r="35" spans="1:8" x14ac:dyDescent="0.25">
      <c r="A35" s="4">
        <v>29</v>
      </c>
      <c r="B35" s="4">
        <f>IFERROR(IF(SUMIFS(tblDaily[Admissions],tblDaily[EntryDate],DATE(2026,1,29),tblDaily[WardCode],"BG")=0,"",SUMIFS(tblDaily[Admissions],tblDaily[EntryDate],DATE(2026,1,29),tblDaily[WardCode],"BG")),"")</f>
        <v>4</v>
      </c>
      <c r="C35" s="4">
        <f>IFERROR(IF(SUMIFS(tblDaily[Discharges],tblDaily[EntryDate],DATE(2026,1,29),tblDaily[WardCode],"BG")=0,"",SUMIFS(tblDaily[Discharges],tblDaily[EntryDate],DATE(2026,1,29),tblDaily[WardCode],"BG")),"")</f>
        <v>1</v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>
        <f>IFERROR(IF(SUMIFS(tblDaily[TransfersIn],tblDaily[EntryDate],DATE(2026,1,29),tblDaily[WardCode],"BG")=0,"",SUMIFS(tblDaily[TransfersIn],tblDaily[EntryDate],DATE(2026,1,29),tblDaily[WardCode],"BG")),"")</f>
        <v>1</v>
      </c>
      <c r="G35" s="4">
        <f>IFERROR(IF(SUMIFS(tblDaily[TransfersOut],tblDaily[EntryDate],DATE(2026,1,29),tblDaily[WardCode],"BG")=0,"",SUMIFS(tblDaily[TransfersOut],tblDaily[EntryDate],DATE(2026,1,29),tblDaily[WardCode],"BG")),"")</f>
        <v>2</v>
      </c>
      <c r="H35" s="4">
        <f>IFERROR(IF(SUMIFS(tblDaily[Remaining],tblDaily[EntryDate],DATE(2026,1,29),tblDaily[WardCode],"BG")=0,"",SUMIFS(tblDaily[Remaining],tblDaily[EntryDate],DATE(2026,1,29),tblDaily[WardCode],"BG")),"")</f>
        <v>11</v>
      </c>
    </row>
    <row r="36" spans="1:8" x14ac:dyDescent="0.25">
      <c r="A36" s="4">
        <v>30</v>
      </c>
      <c r="B36" s="4">
        <f>IFERROR(IF(SUMIFS(tblDaily[Admissions],tblDaily[EntryDate],DATE(2026,1,30),tblDaily[WardCode],"BG")=0,"",SUMIFS(tblDaily[Admissions],tblDaily[EntryDate],DATE(2026,1,30),tblDaily[WardCode],"BG")),"")</f>
        <v>2</v>
      </c>
      <c r="C36" s="4">
        <f>IFERROR(IF(SUMIFS(tblDaily[Discharges],tblDaily[EntryDate],DATE(2026,1,30),tblDaily[WardCode],"BG")=0,"",SUMIFS(tblDaily[Discharges],tblDaily[EntryDate],DATE(2026,1,30),tblDaily[WardCode],"BG")),"")</f>
        <v>5</v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>
        <f>IFERROR(IF(SUMIFS(tblDaily[TransfersIn],tblDaily[EntryDate],DATE(2026,1,30),tblDaily[WardCode],"BG")=0,"",SUMIFS(tblDaily[TransfersIn],tblDaily[EntryDate],DATE(2026,1,30),tblDaily[WardCode],"BG")),"")</f>
        <v>1</v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>
        <f>IFERROR(IF(SUMIFS(tblDaily[Remaining],tblDaily[EntryDate],DATE(2026,1,30),tblDaily[WardCode],"BG")=0,"",SUMIFS(tblDaily[Remaining],tblDaily[EntryDate],DATE(2026,1,30),tblDaily[WardCode],"BG")),"")</f>
        <v>9</v>
      </c>
    </row>
    <row r="37" spans="1:8" x14ac:dyDescent="0.25">
      <c r="A37" s="4">
        <v>31</v>
      </c>
      <c r="B37" s="4">
        <f>IFERROR(IF(SUMIFS(tblDaily[Admissions],tblDaily[EntryDate],DATE(2026,1,31),tblDaily[WardCode],"BG")=0,"",SUMIFS(tblDaily[Admissions],tblDaily[EntryDate],DATE(2026,1,31),tblDaily[WardCode],"BG")),"")</f>
        <v>5</v>
      </c>
      <c r="C37" s="4">
        <f>IFERROR(IF(SUMIFS(tblDaily[Discharges],tblDaily[EntryDate],DATE(2026,1,31),tblDaily[WardCode],"BG")=0,"",SUMIFS(tblDaily[Discharges],tblDaily[EntryDate],DATE(2026,1,31),tblDaily[WardCode],"BG")),"")</f>
        <v>3</v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>
        <f>IFERROR(IF(SUMIFS(tblDaily[TransfersIn],tblDaily[EntryDate],DATE(2026,1,31),tblDaily[WardCode],"BG")=0,"",SUMIFS(tblDaily[TransfersIn],tblDaily[EntryDate],DATE(2026,1,31),tblDaily[WardCode],"BG")),"")</f>
        <v>1</v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>
        <f>IFERROR(IF(SUMIFS(tblDaily[Remaining],tblDaily[EntryDate],DATE(2026,1,31),tblDaily[WardCode],"BG")=0,"",SUMIFS(tblDaily[Remaining],tblDaily[EntryDate],DATE(2026,1,31),tblDaily[WardCode],"BG")),"")</f>
        <v>12</v>
      </c>
    </row>
    <row r="38" spans="1:8" x14ac:dyDescent="0.25">
      <c r="A38" s="9" t="s">
        <v>112</v>
      </c>
      <c r="B38" s="9">
        <f>SUMIFS(tblDaily[Admissions],tblDaily[Month],1,tblDaily[WardCode],"BG") - SUMIFS(tblDaily[DeathsUnder24Hrs],tblDaily[Month],1,tblDaily[WardCode],"BG")</f>
        <v>125</v>
      </c>
      <c r="C38" s="9">
        <f>SUMIFS(tblDaily[Discharges],tblDaily[Month],1,tblDaily[WardCode],"BG")</f>
        <v>122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27</v>
      </c>
      <c r="G38" s="9">
        <f>SUMIFS(tblDaily[TransfersOut],tblDaily[Month],1,tblDaily[WardCode],"BG")</f>
        <v>27</v>
      </c>
      <c r="H38" s="9">
        <f>SUMIFS(tblDaily[Remaining],tblDaily[Month],1,tblDaily[WardCode],"BG")</f>
        <v>342</v>
      </c>
    </row>
    <row r="40" spans="1:8" ht="18.75" x14ac:dyDescent="0.25">
      <c r="A40" s="28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5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116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IFERROR(SUMIFS(tblDaily[Remaining],tblDaily[EntryDate],DATE(2026,1,31),tblDaily[WardCode],"BG"),0)</f>
        <v>12</v>
      </c>
    </row>
    <row r="44" spans="1:8" x14ac:dyDescent="0.25">
      <c r="A44" s="1" t="s">
        <v>106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>
        <f>IFERROR(IF(SUMIFS(tblDaily[Remaining],tblDaily[EntryDate],DATE(2026,2,1),tblDaily[WardCode],"BG")=0,"",SUMIFS(tblDaily[Remaining],tblDaily[EntryDate],DATE(2026,2,1),tblDaily[WardCode],"BG")),"")</f>
        <v>12</v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SUMIFS(tblDaily[Admissions],tblDaily[Month],2,tblDaily[WardCode],"BG") - SUMIFS(tblDaily[DeathsUnder24Hrs],tblDaily[Month],2,tblDaily[WardCode],"BG")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12</v>
      </c>
    </row>
    <row r="79" spans="1:8" ht="18.75" x14ac:dyDescent="0.25">
      <c r="A79" s="28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5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116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106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112</v>
      </c>
      <c r="B116" s="9">
        <f>SUMIFS(tblDaily[Admissions],tblDaily[Month],3,tblDaily[WardCode],"BG") - SUMIFS(tblDaily[DeathsUnder24Hrs],tblDaily[Month],3,tblDaily[WardCode],"BG")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28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5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116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106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SUMIFS(tblDaily[Admissions],tblDaily[Month],4,tblDaily[WardCode],"BG") - SUMIFS(tblDaily[DeathsUnder24Hrs],tblDaily[Month],4,tblDaily[WardCode],"BG")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28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5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116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106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112</v>
      </c>
      <c r="B194" s="9">
        <f>SUMIFS(tblDaily[Admissions],tblDaily[Month],5,tblDaily[WardCode],"BG") - SUMIFS(tblDaily[DeathsUnder24Hrs],tblDaily[Month],5,tblDaily[WardCode],"BG")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28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5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116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106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SUMIFS(tblDaily[Admissions],tblDaily[Month],6,tblDaily[WardCode],"BG") - SUMIFS(tblDaily[DeathsUnder24Hrs],tblDaily[Month],6,tblDaily[WardCode],"BG")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28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5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116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106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112</v>
      </c>
      <c r="B272" s="9">
        <f>SUMIFS(tblDaily[Admissions],tblDaily[Month],7,tblDaily[WardCode],"BG") - SUMIFS(tblDaily[DeathsUnder24Hrs],tblDaily[Month],7,tblDaily[WardCode],"BG")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28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5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116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106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112</v>
      </c>
      <c r="B311" s="9">
        <f>SUMIFS(tblDaily[Admissions],tblDaily[Month],8,tblDaily[WardCode],"BG") - SUMIFS(tblDaily[DeathsUnder24Hrs],tblDaily[Month],8,tblDaily[WardCode],"BG")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28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5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116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106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SUMIFS(tblDaily[Admissions],tblDaily[Month],9,tblDaily[WardCode],"BG") - SUMIFS(tblDaily[DeathsUnder24Hrs],tblDaily[Month],9,tblDaily[WardCode],"BG")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28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5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116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106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112</v>
      </c>
      <c r="B389" s="9">
        <f>SUMIFS(tblDaily[Admissions],tblDaily[Month],10,tblDaily[WardCode],"BG") - SUMIFS(tblDaily[DeathsUnder24Hrs],tblDaily[Month],10,tblDaily[WardCode],"BG")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28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5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116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106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SUMIFS(tblDaily[Admissions],tblDaily[Month],11,tblDaily[WardCode],"BG") - SUMIFS(tblDaily[DeathsUnder24Hrs],tblDaily[Month],11,tblDaily[WardCode],"BG")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28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5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116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106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112</v>
      </c>
      <c r="B467" s="9">
        <f>SUMIFS(tblDaily[Admissions],tblDaily[Month],12,tblDaily[WardCode],"BG") - SUMIFS(tblDaily[DeathsUnder24Hrs],tblDaily[Month],12,tblDaily[WardCode],"BG")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8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5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117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IFERROR(INDEX(tblWardConfig[PrevYearRemaining],MATCH("BH",tblWardConfig[WardCode],0)),0)</f>
        <v>12</v>
      </c>
    </row>
    <row r="5" spans="1:8" x14ac:dyDescent="0.25">
      <c r="A5" s="1" t="s">
        <v>106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>
        <f>IFERROR(IF(SUMIFS(tblDaily[Admissions],tblDaily[EntryDate],DATE(2026,1,1),tblDaily[WardCode],"BH")=0,"",SUMIFS(tblDaily[Admissions],tblDaily[EntryDate],DATE(2026,1,1),tblDaily[WardCode],"BH")),"")</f>
        <v>3</v>
      </c>
      <c r="C7" s="4">
        <f>IFERROR(IF(SUMIFS(tblDaily[Discharges],tblDaily[EntryDate],DATE(2026,1,1),tblDaily[WardCode],"BH")=0,"",SUMIFS(tblDaily[Discharges],tblDaily[EntryDate],DATE(2026,1,1),tblDaily[WardCode],"BH")),"")</f>
        <v>2</v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>
        <f>IFERROR(IF(SUMIFS(tblDaily[TransfersIn],tblDaily[EntryDate],DATE(2026,1,1),tblDaily[WardCode],"BH")=0,"",SUMIFS(tblDaily[TransfersIn],tblDaily[EntryDate],DATE(2026,1,1),tblDaily[WardCode],"BH")),"")</f>
        <v>1</v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>
        <f>IFERROR(IF(SUMIFS(tblDaily[Remaining],tblDaily[EntryDate],DATE(2026,1,1),tblDaily[WardCode],"BH")=0,"",SUMIFS(tblDaily[Remaining],tblDaily[EntryDate],DATE(2026,1,1),tblDaily[WardCode],"BH")),"")</f>
        <v>14</v>
      </c>
    </row>
    <row r="8" spans="1:8" x14ac:dyDescent="0.25">
      <c r="A8" s="4">
        <v>2</v>
      </c>
      <c r="B8" s="4">
        <f>IFERROR(IF(SUMIFS(tblDaily[Admissions],tblDaily[EntryDate],DATE(2026,1,2),tblDaily[WardCode],"BH")=0,"",SUMIFS(tblDaily[Admissions],tblDaily[EntryDate],DATE(2026,1,2),tblDaily[WardCode],"BH")),"")</f>
        <v>5</v>
      </c>
      <c r="C8" s="4">
        <f>IFERROR(IF(SUMIFS(tblDaily[Discharges],tblDaily[EntryDate],DATE(2026,1,2),tblDaily[WardCode],"BH")=0,"",SUMIFS(tblDaily[Discharges],tblDaily[EntryDate],DATE(2026,1,2),tblDaily[WardCode],"BH")),"")</f>
        <v>4</v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>
        <f>IFERROR(IF(SUMIFS(tblDaily[TransfersOut],tblDaily[EntryDate],DATE(2026,1,2),tblDaily[WardCode],"BH")=0,"",SUMIFS(tblDaily[TransfersOut],tblDaily[EntryDate],DATE(2026,1,2),tblDaily[WardCode],"BH")),"")</f>
        <v>2</v>
      </c>
      <c r="H8" s="4">
        <f>IFERROR(IF(SUMIFS(tblDaily[Remaining],tblDaily[EntryDate],DATE(2026,1,2),tblDaily[WardCode],"BH")=0,"",SUMIFS(tblDaily[Remaining],tblDaily[EntryDate],DATE(2026,1,2),tblDaily[WardCode],"BH")),"")</f>
        <v>13</v>
      </c>
    </row>
    <row r="9" spans="1:8" x14ac:dyDescent="0.25">
      <c r="A9" s="4">
        <v>3</v>
      </c>
      <c r="B9" s="4">
        <f>IFERROR(IF(SUMIFS(tblDaily[Admissions],tblDaily[EntryDate],DATE(2026,1,3),tblDaily[WardCode],"BH")=0,"",SUMIFS(tblDaily[Admissions],tblDaily[EntryDate],DATE(2026,1,3),tblDaily[WardCode],"BH")),"")</f>
        <v>3</v>
      </c>
      <c r="C9" s="4">
        <f>IFERROR(IF(SUMIFS(tblDaily[Discharges],tblDaily[EntryDate],DATE(2026,1,3),tblDaily[WardCode],"BH")=0,"",SUMIFS(tblDaily[Discharges],tblDaily[EntryDate],DATE(2026,1,3),tblDaily[WardCode],"BH")),"")</f>
        <v>1</v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>
        <f>IFERROR(IF(SUMIFS(tblDaily[TransfersIn],tblDaily[EntryDate],DATE(2026,1,3),tblDaily[WardCode],"BH")=0,"",SUMIFS(tblDaily[TransfersIn],tblDaily[EntryDate],DATE(2026,1,3),tblDaily[WardCode],"BH")),"")</f>
        <v>1</v>
      </c>
      <c r="G9" s="4">
        <f>IFERROR(IF(SUMIFS(tblDaily[TransfersOut],tblDaily[EntryDate],DATE(2026,1,3),tblDaily[WardCode],"BH")=0,"",SUMIFS(tblDaily[TransfersOut],tblDaily[EntryDate],DATE(2026,1,3),tblDaily[WardCode],"BH")),"")</f>
        <v>2</v>
      </c>
      <c r="H9" s="4">
        <f>IFERROR(IF(SUMIFS(tblDaily[Remaining],tblDaily[EntryDate],DATE(2026,1,3),tblDaily[WardCode],"BH")=0,"",SUMIFS(tblDaily[Remaining],tblDaily[EntryDate],DATE(2026,1,3),tblDaily[WardCode],"BH")),"")</f>
        <v>14</v>
      </c>
    </row>
    <row r="10" spans="1:8" x14ac:dyDescent="0.25">
      <c r="A10" s="4">
        <v>4</v>
      </c>
      <c r="B10" s="4">
        <f>IFERROR(IF(SUMIFS(tblDaily[Admissions],tblDaily[EntryDate],DATE(2026,1,4),tblDaily[WardCode],"BH")=0,"",SUMIFS(tblDaily[Admissions],tblDaily[EntryDate],DATE(2026,1,4),tblDaily[WardCode],"BH")),"")</f>
        <v>1</v>
      </c>
      <c r="C10" s="4">
        <f>IFERROR(IF(SUMIFS(tblDaily[Discharges],tblDaily[EntryDate],DATE(2026,1,4),tblDaily[WardCode],"BH")=0,"",SUMIFS(tblDaily[Discharges],tblDaily[EntryDate],DATE(2026,1,4),tblDaily[WardCode],"BH")),"")</f>
        <v>4</v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>
        <f>IFERROR(IF(SUMIFS(tblDaily[TransfersOut],tblDaily[EntryDate],DATE(2026,1,4),tblDaily[WardCode],"BH")=0,"",SUMIFS(tblDaily[TransfersOut],tblDaily[EntryDate],DATE(2026,1,4),tblDaily[WardCode],"BH")),"")</f>
        <v>1</v>
      </c>
      <c r="H10" s="4">
        <f>IFERROR(IF(SUMIFS(tblDaily[Remaining],tblDaily[EntryDate],DATE(2026,1,4),tblDaily[WardCode],"BH")=0,"",SUMIFS(tblDaily[Remaining],tblDaily[EntryDate],DATE(2026,1,4),tblDaily[WardCode],"BH")),"")</f>
        <v>10</v>
      </c>
    </row>
    <row r="11" spans="1:8" x14ac:dyDescent="0.25">
      <c r="A11" s="4">
        <v>5</v>
      </c>
      <c r="B11" s="4">
        <f>IFERROR(IF(SUMIFS(tblDaily[Admissions],tblDaily[EntryDate],DATE(2026,1,5),tblDaily[WardCode],"BH")=0,"",SUMIFS(tblDaily[Admissions],tblDaily[EntryDate],DATE(2026,1,5),tblDaily[WardCode],"BH")),"")</f>
        <v>5</v>
      </c>
      <c r="C11" s="4">
        <f>IFERROR(IF(SUMIFS(tblDaily[Discharges],tblDaily[EntryDate],DATE(2026,1,5),tblDaily[WardCode],"BH")=0,"",SUMIFS(tblDaily[Discharges],tblDaily[EntryDate],DATE(2026,1,5),tblDaily[WardCode],"BH")),"")</f>
        <v>1</v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>
        <f>IFERROR(IF(SUMIFS(tblDaily[TransfersIn],tblDaily[EntryDate],DATE(2026,1,5),tblDaily[WardCode],"BH")=0,"",SUMIFS(tblDaily[TransfersIn],tblDaily[EntryDate],DATE(2026,1,5),tblDaily[WardCode],"BH")),"")</f>
        <v>1</v>
      </c>
      <c r="G11" s="4">
        <f>IFERROR(IF(SUMIFS(tblDaily[TransfersOut],tblDaily[EntryDate],DATE(2026,1,5),tblDaily[WardCode],"BH")=0,"",SUMIFS(tblDaily[TransfersOut],tblDaily[EntryDate],DATE(2026,1,5),tblDaily[WardCode],"BH")),"")</f>
        <v>1</v>
      </c>
      <c r="H11" s="4">
        <f>IFERROR(IF(SUMIFS(tblDaily[Remaining],tblDaily[EntryDate],DATE(2026,1,5),tblDaily[WardCode],"BH")=0,"",SUMIFS(tblDaily[Remaining],tblDaily[EntryDate],DATE(2026,1,5),tblDaily[WardCode],"BH")),"")</f>
        <v>14</v>
      </c>
    </row>
    <row r="12" spans="1:8" x14ac:dyDescent="0.25">
      <c r="A12" s="4">
        <v>6</v>
      </c>
      <c r="B12" s="4">
        <f>IFERROR(IF(SUMIFS(tblDaily[Admissions],tblDaily[EntryDate],DATE(2026,1,6),tblDaily[WardCode],"BH")=0,"",SUMIFS(tblDaily[Admissions],tblDaily[EntryDate],DATE(2026,1,6),tblDaily[WardCode],"BH")),"")</f>
        <v>2</v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>
        <f>IFERROR(IF(SUMIFS(tblDaily[TransfersIn],tblDaily[EntryDate],DATE(2026,1,6),tblDaily[WardCode],"BH")=0,"",SUMIFS(tblDaily[TransfersIn],tblDaily[EntryDate],DATE(2026,1,6),tblDaily[WardCode],"BH")),"")</f>
        <v>2</v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>
        <f>IFERROR(IF(SUMIFS(tblDaily[Remaining],tblDaily[EntryDate],DATE(2026,1,6),tblDaily[WardCode],"BH")=0,"",SUMIFS(tblDaily[Remaining],tblDaily[EntryDate],DATE(2026,1,6),tblDaily[WardCode],"BH")),"")</f>
        <v>18</v>
      </c>
    </row>
    <row r="13" spans="1:8" x14ac:dyDescent="0.25">
      <c r="A13" s="4">
        <v>7</v>
      </c>
      <c r="B13" s="4">
        <f>IFERROR(IF(SUMIFS(tblDaily[Admissions],tblDaily[EntryDate],DATE(2026,1,7),tblDaily[WardCode],"BH")=0,"",SUMIFS(tblDaily[Admissions],tblDaily[EntryDate],DATE(2026,1,7),tblDaily[WardCode],"BH")),"")</f>
        <v>3</v>
      </c>
      <c r="C13" s="4">
        <f>IFERROR(IF(SUMIFS(tblDaily[Discharges],tblDaily[EntryDate],DATE(2026,1,7),tblDaily[WardCode],"BH")=0,"",SUMIFS(tblDaily[Discharges],tblDaily[EntryDate],DATE(2026,1,7),tblDaily[WardCode],"BH")),"")</f>
        <v>1</v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>
        <f>IFERROR(IF(SUMIFS(tblDaily[TransfersIn],tblDaily[EntryDate],DATE(2026,1,7),tblDaily[WardCode],"BH")=0,"",SUMIFS(tblDaily[TransfersIn],tblDaily[EntryDate],DATE(2026,1,7),tblDaily[WardCode],"BH")),"")</f>
        <v>1</v>
      </c>
      <c r="G13" s="4">
        <f>IFERROR(IF(SUMIFS(tblDaily[TransfersOut],tblDaily[EntryDate],DATE(2026,1,7),tblDaily[WardCode],"BH")=0,"",SUMIFS(tblDaily[TransfersOut],tblDaily[EntryDate],DATE(2026,1,7),tblDaily[WardCode],"BH")),"")</f>
        <v>1</v>
      </c>
      <c r="H13" s="4">
        <f>IFERROR(IF(SUMIFS(tblDaily[Remaining],tblDaily[EntryDate],DATE(2026,1,7),tblDaily[WardCode],"BH")=0,"",SUMIFS(tblDaily[Remaining],tblDaily[EntryDate],DATE(2026,1,7),tblDaily[WardCode],"BH")),"")</f>
        <v>20</v>
      </c>
    </row>
    <row r="14" spans="1:8" x14ac:dyDescent="0.25">
      <c r="A14" s="4">
        <v>8</v>
      </c>
      <c r="B14" s="4">
        <f>IFERROR(IF(SUMIFS(tblDaily[Admissions],tblDaily[EntryDate],DATE(2026,1,8),tblDaily[WardCode],"BH")=0,"",SUMIFS(tblDaily[Admissions],tblDaily[EntryDate],DATE(2026,1,8),tblDaily[WardCode],"BH")),"")</f>
        <v>2</v>
      </c>
      <c r="C14" s="4">
        <f>IFERROR(IF(SUMIFS(tblDaily[Discharges],tblDaily[EntryDate],DATE(2026,1,8),tblDaily[WardCode],"BH")=0,"",SUMIFS(tblDaily[Discharges],tblDaily[EntryDate],DATE(2026,1,8),tblDaily[WardCode],"BH")),"")</f>
        <v>4</v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>
        <f>IFERROR(IF(SUMIFS(tblDaily[TransfersIn],tblDaily[EntryDate],DATE(2026,1,8),tblDaily[WardCode],"BH")=0,"",SUMIFS(tblDaily[TransfersIn],tblDaily[EntryDate],DATE(2026,1,8),tblDaily[WardCode],"BH")),"")</f>
        <v>1</v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>
        <f>IFERROR(IF(SUMIFS(tblDaily[Remaining],tblDaily[EntryDate],DATE(2026,1,8),tblDaily[WardCode],"BH")=0,"",SUMIFS(tblDaily[Remaining],tblDaily[EntryDate],DATE(2026,1,8),tblDaily[WardCode],"BH")),"")</f>
        <v>19</v>
      </c>
    </row>
    <row r="15" spans="1:8" x14ac:dyDescent="0.25">
      <c r="A15" s="4">
        <v>9</v>
      </c>
      <c r="B15" s="4">
        <f>IFERROR(IF(SUMIFS(tblDaily[Admissions],tblDaily[EntryDate],DATE(2026,1,9),tblDaily[WardCode],"BH")=0,"",SUMIFS(tblDaily[Admissions],tblDaily[EntryDate],DATE(2026,1,9),tblDaily[WardCode],"BH")),"")</f>
        <v>1</v>
      </c>
      <c r="C15" s="4">
        <f>IFERROR(IF(SUMIFS(tblDaily[Discharges],tblDaily[EntryDate],DATE(2026,1,9),tblDaily[WardCode],"BH")=0,"",SUMIFS(tblDaily[Discharges],tblDaily[EntryDate],DATE(2026,1,9),tblDaily[WardCode],"BH")),"")</f>
        <v>3</v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>
        <f>IFERROR(IF(SUMIFS(tblDaily[TransfersIn],tblDaily[EntryDate],DATE(2026,1,9),tblDaily[WardCode],"BH")=0,"",SUMIFS(tblDaily[TransfersIn],tblDaily[EntryDate],DATE(2026,1,9),tblDaily[WardCode],"BH")),"")</f>
        <v>2</v>
      </c>
      <c r="G15" s="4">
        <f>IFERROR(IF(SUMIFS(tblDaily[TransfersOut],tblDaily[EntryDate],DATE(2026,1,9),tblDaily[WardCode],"BH")=0,"",SUMIFS(tblDaily[TransfersOut],tblDaily[EntryDate],DATE(2026,1,9),tblDaily[WardCode],"BH")),"")</f>
        <v>1</v>
      </c>
      <c r="H15" s="4">
        <f>IFERROR(IF(SUMIFS(tblDaily[Remaining],tblDaily[EntryDate],DATE(2026,1,9),tblDaily[WardCode],"BH")=0,"",SUMIFS(tblDaily[Remaining],tblDaily[EntryDate],DATE(2026,1,9),tblDaily[WardCode],"BH")),"")</f>
        <v>18</v>
      </c>
    </row>
    <row r="16" spans="1:8" x14ac:dyDescent="0.25">
      <c r="A16" s="4">
        <v>10</v>
      </c>
      <c r="B16" s="4">
        <f>IFERROR(IF(SUMIFS(tblDaily[Admissions],tblDaily[EntryDate],DATE(2026,1,10),tblDaily[WardCode],"BH")=0,"",SUMIFS(tblDaily[Admissions],tblDaily[EntryDate],DATE(2026,1,10),tblDaily[WardCode],"BH")),"")</f>
        <v>4</v>
      </c>
      <c r="C16" s="4">
        <f>IFERROR(IF(SUMIFS(tblDaily[Discharges],tblDaily[EntryDate],DATE(2026,1,10),tblDaily[WardCode],"BH")=0,"",SUMIFS(tblDaily[Discharges],tblDaily[EntryDate],DATE(2026,1,10),tblDaily[WardCode],"BH")),"")</f>
        <v>3</v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>
        <f>IFERROR(IF(SUMIFS(tblDaily[TransfersIn],tblDaily[EntryDate],DATE(2026,1,10),tblDaily[WardCode],"BH")=0,"",SUMIFS(tblDaily[TransfersIn],tblDaily[EntryDate],DATE(2026,1,10),tblDaily[WardCode],"BH")),"")</f>
        <v>1</v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>
        <f>IFERROR(IF(SUMIFS(tblDaily[Remaining],tblDaily[EntryDate],DATE(2026,1,10),tblDaily[WardCode],"BH")=0,"",SUMIFS(tblDaily[Remaining],tblDaily[EntryDate],DATE(2026,1,10),tblDaily[WardCode],"BH")),"")</f>
        <v>20</v>
      </c>
    </row>
    <row r="17" spans="1:8" x14ac:dyDescent="0.25">
      <c r="A17" s="4">
        <v>11</v>
      </c>
      <c r="B17" s="4">
        <f>IFERROR(IF(SUMIFS(tblDaily[Admissions],tblDaily[EntryDate],DATE(2026,1,11),tblDaily[WardCode],"BH")=0,"",SUMIFS(tblDaily[Admissions],tblDaily[EntryDate],DATE(2026,1,11),tblDaily[WardCode],"BH")),"")</f>
        <v>3</v>
      </c>
      <c r="C17" s="4">
        <f>IFERROR(IF(SUMIFS(tblDaily[Discharges],tblDaily[EntryDate],DATE(2026,1,11),tblDaily[WardCode],"BH")=0,"",SUMIFS(tblDaily[Discharges],tblDaily[EntryDate],DATE(2026,1,11),tblDaily[WardCode],"BH")),"")</f>
        <v>2</v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>
        <f>IFERROR(IF(SUMIFS(tblDaily[TransfersIn],tblDaily[EntryDate],DATE(2026,1,11),tblDaily[WardCode],"BH")=0,"",SUMIFS(tblDaily[TransfersIn],tblDaily[EntryDate],DATE(2026,1,11),tblDaily[WardCode],"BH")),"")</f>
        <v>1</v>
      </c>
      <c r="G17" s="4">
        <f>IFERROR(IF(SUMIFS(tblDaily[TransfersOut],tblDaily[EntryDate],DATE(2026,1,11),tblDaily[WardCode],"BH")=0,"",SUMIFS(tblDaily[TransfersOut],tblDaily[EntryDate],DATE(2026,1,11),tblDaily[WardCode],"BH")),"")</f>
        <v>4</v>
      </c>
      <c r="H17" s="4">
        <f>IFERROR(IF(SUMIFS(tblDaily[Remaining],tblDaily[EntryDate],DATE(2026,1,11),tblDaily[WardCode],"BH")=0,"",SUMIFS(tblDaily[Remaining],tblDaily[EntryDate],DATE(2026,1,11),tblDaily[WardCode],"BH")),"")</f>
        <v>18</v>
      </c>
    </row>
    <row r="18" spans="1:8" x14ac:dyDescent="0.25">
      <c r="A18" s="4">
        <v>12</v>
      </c>
      <c r="B18" s="4">
        <f>IFERROR(IF(SUMIFS(tblDaily[Admissions],tblDaily[EntryDate],DATE(2026,1,12),tblDaily[WardCode],"BH")=0,"",SUMIFS(tblDaily[Admissions],tblDaily[EntryDate],DATE(2026,1,12),tblDaily[WardCode],"BH")),"")</f>
        <v>3</v>
      </c>
      <c r="C18" s="4">
        <f>IFERROR(IF(SUMIFS(tblDaily[Discharges],tblDaily[EntryDate],DATE(2026,1,12),tblDaily[WardCode],"BH")=0,"",SUMIFS(tblDaily[Discharges],tblDaily[EntryDate],DATE(2026,1,12),tblDaily[WardCode],"BH")),"")</f>
        <v>3</v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>
        <f>IFERROR(IF(SUMIFS(tblDaily[TransfersIn],tblDaily[EntryDate],DATE(2026,1,12),tblDaily[WardCode],"BH")=0,"",SUMIFS(tblDaily[TransfersIn],tblDaily[EntryDate],DATE(2026,1,12),tblDaily[WardCode],"BH")),"")</f>
        <v>3</v>
      </c>
      <c r="G18" s="4">
        <f>IFERROR(IF(SUMIFS(tblDaily[TransfersOut],tblDaily[EntryDate],DATE(2026,1,12),tblDaily[WardCode],"BH")=0,"",SUMIFS(tblDaily[TransfersOut],tblDaily[EntryDate],DATE(2026,1,12),tblDaily[WardCode],"BH")),"")</f>
        <v>2</v>
      </c>
      <c r="H18" s="4">
        <f>IFERROR(IF(SUMIFS(tblDaily[Remaining],tblDaily[EntryDate],DATE(2026,1,12),tblDaily[WardCode],"BH")=0,"",SUMIFS(tblDaily[Remaining],tblDaily[EntryDate],DATE(2026,1,12),tblDaily[WardCode],"BH")),"")</f>
        <v>19</v>
      </c>
    </row>
    <row r="19" spans="1:8" x14ac:dyDescent="0.25">
      <c r="A19" s="4">
        <v>13</v>
      </c>
      <c r="B19" s="4">
        <f>IFERROR(IF(SUMIFS(tblDaily[Admissions],tblDaily[EntryDate],DATE(2026,1,13),tblDaily[WardCode],"BH")=0,"",SUMIFS(tblDaily[Admissions],tblDaily[EntryDate],DATE(2026,1,13),tblDaily[WardCode],"BH")),"")</f>
        <v>4</v>
      </c>
      <c r="C19" s="4">
        <f>IFERROR(IF(SUMIFS(tblDaily[Discharges],tblDaily[EntryDate],DATE(2026,1,13),tblDaily[WardCode],"BH")=0,"",SUMIFS(tblDaily[Discharges],tblDaily[EntryDate],DATE(2026,1,13),tblDaily[WardCode],"BH")),"")</f>
        <v>4</v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>
        <f>IFERROR(IF(SUMIFS(tblDaily[TransfersOut],tblDaily[EntryDate],DATE(2026,1,13),tblDaily[WardCode],"BH")=0,"",SUMIFS(tblDaily[TransfersOut],tblDaily[EntryDate],DATE(2026,1,13),tblDaily[WardCode],"BH")),"")</f>
        <v>2</v>
      </c>
      <c r="H19" s="4">
        <f>IFERROR(IF(SUMIFS(tblDaily[Remaining],tblDaily[EntryDate],DATE(2026,1,13),tblDaily[WardCode],"BH")=0,"",SUMIFS(tblDaily[Remaining],tblDaily[EntryDate],DATE(2026,1,13),tblDaily[WardCode],"BH")),"")</f>
        <v>17</v>
      </c>
    </row>
    <row r="20" spans="1:8" x14ac:dyDescent="0.25">
      <c r="A20" s="4">
        <v>14</v>
      </c>
      <c r="B20" s="4">
        <f>IFERROR(IF(SUMIFS(tblDaily[Admissions],tblDaily[EntryDate],DATE(2026,1,14),tblDaily[WardCode],"BH")=0,"",SUMIFS(tblDaily[Admissions],tblDaily[EntryDate],DATE(2026,1,14),tblDaily[WardCode],"BH")),"")</f>
        <v>1</v>
      </c>
      <c r="C20" s="4">
        <f>IFERROR(IF(SUMIFS(tblDaily[Discharges],tblDaily[EntryDate],DATE(2026,1,14),tblDaily[WardCode],"BH")=0,"",SUMIFS(tblDaily[Discharges],tblDaily[EntryDate],DATE(2026,1,14),tblDaily[WardCode],"BH")),"")</f>
        <v>8</v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>
        <f>IFERROR(IF(SUMIFS(tblDaily[TransfersIn],tblDaily[EntryDate],DATE(2026,1,14),tblDaily[WardCode],"BH")=0,"",SUMIFS(tblDaily[TransfersIn],tblDaily[EntryDate],DATE(2026,1,14),tblDaily[WardCode],"BH")),"")</f>
        <v>2</v>
      </c>
      <c r="G20" s="4">
        <f>IFERROR(IF(SUMIFS(tblDaily[TransfersOut],tblDaily[EntryDate],DATE(2026,1,14),tblDaily[WardCode],"BH")=0,"",SUMIFS(tblDaily[TransfersOut],tblDaily[EntryDate],DATE(2026,1,14),tblDaily[WardCode],"BH")),"")</f>
        <v>1</v>
      </c>
      <c r="H20" s="4">
        <f>IFERROR(IF(SUMIFS(tblDaily[Remaining],tblDaily[EntryDate],DATE(2026,1,14),tblDaily[WardCode],"BH")=0,"",SUMIFS(tblDaily[Remaining],tblDaily[EntryDate],DATE(2026,1,14),tblDaily[WardCode],"BH")),"")</f>
        <v>11</v>
      </c>
    </row>
    <row r="21" spans="1:8" x14ac:dyDescent="0.25">
      <c r="A21" s="4">
        <v>15</v>
      </c>
      <c r="B21" s="4">
        <f>IFERROR(IF(SUMIFS(tblDaily[Admissions],tblDaily[EntryDate],DATE(2026,1,15),tblDaily[WardCode],"BH")=0,"",SUMIFS(tblDaily[Admissions],tblDaily[EntryDate],DATE(2026,1,15),tblDaily[WardCode],"BH")),"")</f>
        <v>2</v>
      </c>
      <c r="C21" s="4">
        <f>IFERROR(IF(SUMIFS(tblDaily[Discharges],tblDaily[EntryDate],DATE(2026,1,15),tblDaily[WardCode],"BH")=0,"",SUMIFS(tblDaily[Discharges],tblDaily[EntryDate],DATE(2026,1,15),tblDaily[WardCode],"BH")),"")</f>
        <v>3</v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>
        <f>IFERROR(IF(SUMIFS(tblDaily[TransfersIn],tblDaily[EntryDate],DATE(2026,1,15),tblDaily[WardCode],"BH")=0,"",SUMIFS(tblDaily[TransfersIn],tblDaily[EntryDate],DATE(2026,1,15),tblDaily[WardCode],"BH")),"")</f>
        <v>1</v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>
        <f>IFERROR(IF(SUMIFS(tblDaily[Remaining],tblDaily[EntryDate],DATE(2026,1,15),tblDaily[WardCode],"BH")=0,"",SUMIFS(tblDaily[Remaining],tblDaily[EntryDate],DATE(2026,1,15),tblDaily[WardCode],"BH")),"")</f>
        <v>11</v>
      </c>
    </row>
    <row r="22" spans="1:8" x14ac:dyDescent="0.25">
      <c r="A22" s="4">
        <v>16</v>
      </c>
      <c r="B22" s="4">
        <f>IFERROR(IF(SUMIFS(tblDaily[Admissions],tblDaily[EntryDate],DATE(2026,1,16),tblDaily[WardCode],"BH")=0,"",SUMIFS(tblDaily[Admissions],tblDaily[EntryDate],DATE(2026,1,16),tblDaily[WardCode],"BH")),"")</f>
        <v>1</v>
      </c>
      <c r="C22" s="4">
        <f>IFERROR(IF(SUMIFS(tblDaily[Discharges],tblDaily[EntryDate],DATE(2026,1,16),tblDaily[WardCode],"BH")=0,"",SUMIFS(tblDaily[Discharges],tblDaily[EntryDate],DATE(2026,1,16),tblDaily[WardCode],"BH")),"")</f>
        <v>1</v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>
        <f>IFERROR(IF(SUMIFS(tblDaily[Remaining],tblDaily[EntryDate],DATE(2026,1,16),tblDaily[WardCode],"BH")=0,"",SUMIFS(tblDaily[Remaining],tblDaily[EntryDate],DATE(2026,1,16),tblDaily[WardCode],"BH")),"")</f>
        <v>11</v>
      </c>
    </row>
    <row r="23" spans="1:8" x14ac:dyDescent="0.25">
      <c r="A23" s="4">
        <v>17</v>
      </c>
      <c r="B23" s="4">
        <f>IFERROR(IF(SUMIFS(tblDaily[Admissions],tblDaily[EntryDate],DATE(2026,1,17),tblDaily[WardCode],"BH")=0,"",SUMIFS(tblDaily[Admissions],tblDaily[EntryDate],DATE(2026,1,17),tblDaily[WardCode],"BH")),"")</f>
        <v>2</v>
      </c>
      <c r="C23" s="4">
        <f>IFERROR(IF(SUMIFS(tblDaily[Discharges],tblDaily[EntryDate],DATE(2026,1,17),tblDaily[WardCode],"BH")=0,"",SUMIFS(tblDaily[Discharges],tblDaily[EntryDate],DATE(2026,1,17),tblDaily[WardCode],"BH")),"")</f>
        <v>6</v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>
        <f>IFERROR(IF(SUMIFS(tblDaily[TransfersIn],tblDaily[EntryDate],DATE(2026,1,17),tblDaily[WardCode],"BH")=0,"",SUMIFS(tblDaily[TransfersIn],tblDaily[EntryDate],DATE(2026,1,17),tblDaily[WardCode],"BH")),"")</f>
        <v>1</v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>
        <f>IFERROR(IF(SUMIFS(tblDaily[Remaining],tblDaily[EntryDate],DATE(2026,1,17),tblDaily[WardCode],"BH")=0,"",SUMIFS(tblDaily[Remaining],tblDaily[EntryDate],DATE(2026,1,17),tblDaily[WardCode],"BH")),"")</f>
        <v>8</v>
      </c>
    </row>
    <row r="24" spans="1:8" x14ac:dyDescent="0.25">
      <c r="A24" s="4">
        <v>18</v>
      </c>
      <c r="B24" s="4">
        <f>IFERROR(IF(SUMIFS(tblDaily[Admissions],tblDaily[EntryDate],DATE(2026,1,18),tblDaily[WardCode],"BH")=0,"",SUMIFS(tblDaily[Admissions],tblDaily[EntryDate],DATE(2026,1,18),tblDaily[WardCode],"BH")),"")</f>
        <v>2</v>
      </c>
      <c r="C24" s="4">
        <f>IFERROR(IF(SUMIFS(tblDaily[Discharges],tblDaily[EntryDate],DATE(2026,1,18),tblDaily[WardCode],"BH")=0,"",SUMIFS(tblDaily[Discharges],tblDaily[EntryDate],DATE(2026,1,18),tblDaily[WardCode],"BH")),"")</f>
        <v>1</v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>
        <f>IFERROR(IF(SUMIFS(tblDaily[TransfersOut],tblDaily[EntryDate],DATE(2026,1,18),tblDaily[WardCode],"BH")=0,"",SUMIFS(tblDaily[TransfersOut],tblDaily[EntryDate],DATE(2026,1,18),tblDaily[WardCode],"BH")),"")</f>
        <v>1</v>
      </c>
      <c r="H24" s="4">
        <f>IFERROR(IF(SUMIFS(tblDaily[Remaining],tblDaily[EntryDate],DATE(2026,1,18),tblDaily[WardCode],"BH")=0,"",SUMIFS(tblDaily[Remaining],tblDaily[EntryDate],DATE(2026,1,18),tblDaily[WardCode],"BH")),"")</f>
        <v>8</v>
      </c>
    </row>
    <row r="25" spans="1:8" x14ac:dyDescent="0.25">
      <c r="A25" s="4">
        <v>19</v>
      </c>
      <c r="B25" s="4">
        <f>IFERROR(IF(SUMIFS(tblDaily[Admissions],tblDaily[EntryDate],DATE(2026,1,19),tblDaily[WardCode],"BH")=0,"",SUMIFS(tblDaily[Admissions],tblDaily[EntryDate],DATE(2026,1,19),tblDaily[WardCode],"BH")),"")</f>
        <v>3</v>
      </c>
      <c r="C25" s="4">
        <f>IFERROR(IF(SUMIFS(tblDaily[Discharges],tblDaily[EntryDate],DATE(2026,1,19),tblDaily[WardCode],"BH")=0,"",SUMIFS(tblDaily[Discharges],tblDaily[EntryDate],DATE(2026,1,19),tblDaily[WardCode],"BH")),"")</f>
        <v>3</v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>
        <f>IFERROR(IF(SUMIFS(tblDaily[Remaining],tblDaily[EntryDate],DATE(2026,1,19),tblDaily[WardCode],"BH")=0,"",SUMIFS(tblDaily[Remaining],tblDaily[EntryDate],DATE(2026,1,19),tblDaily[WardCode],"BH")),"")</f>
        <v>8</v>
      </c>
    </row>
    <row r="26" spans="1:8" x14ac:dyDescent="0.25">
      <c r="A26" s="4">
        <v>20</v>
      </c>
      <c r="B26" s="4">
        <f>IFERROR(IF(SUMIFS(tblDaily[Admissions],tblDaily[EntryDate],DATE(2026,1,20),tblDaily[WardCode],"BH")=0,"",SUMIFS(tblDaily[Admissions],tblDaily[EntryDate],DATE(2026,1,20),tblDaily[WardCode],"BH")),"")</f>
        <v>2</v>
      </c>
      <c r="C26" s="4">
        <f>IFERROR(IF(SUMIFS(tblDaily[Discharges],tblDaily[EntryDate],DATE(2026,1,20),tblDaily[WardCode],"BH")=0,"",SUMIFS(tblDaily[Discharges],tblDaily[EntryDate],DATE(2026,1,20),tblDaily[WardCode],"BH")),"")</f>
        <v>2</v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>
        <f>IFERROR(IF(SUMIFS(tblDaily[TransfersOut],tblDaily[EntryDate],DATE(2026,1,20),tblDaily[WardCode],"BH")=0,"",SUMIFS(tblDaily[TransfersOut],tblDaily[EntryDate],DATE(2026,1,20),tblDaily[WardCode],"BH")),"")</f>
        <v>1</v>
      </c>
      <c r="H26" s="4">
        <f>IFERROR(IF(SUMIFS(tblDaily[Remaining],tblDaily[EntryDate],DATE(2026,1,20),tblDaily[WardCode],"BH")=0,"",SUMIFS(tblDaily[Remaining],tblDaily[EntryDate],DATE(2026,1,20),tblDaily[WardCode],"BH")),"")</f>
        <v>7</v>
      </c>
    </row>
    <row r="27" spans="1:8" x14ac:dyDescent="0.25">
      <c r="A27" s="4">
        <v>21</v>
      </c>
      <c r="B27" s="4">
        <f>IFERROR(IF(SUMIFS(tblDaily[Admissions],tblDaily[EntryDate],DATE(2026,1,21),tblDaily[WardCode],"BH")=0,"",SUMIFS(tblDaily[Admissions],tblDaily[EntryDate],DATE(2026,1,21),tblDaily[WardCode],"BH")),"")</f>
        <v>1</v>
      </c>
      <c r="C27" s="4">
        <f>IFERROR(IF(SUMIFS(tblDaily[Discharges],tblDaily[EntryDate],DATE(2026,1,21),tblDaily[WardCode],"BH")=0,"",SUMIFS(tblDaily[Discharges],tblDaily[EntryDate],DATE(2026,1,21),tblDaily[WardCode],"BH")),"")</f>
        <v>2</v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>
        <f>IFERROR(IF(SUMIFS(tblDaily[TransfersOut],tblDaily[EntryDate],DATE(2026,1,21),tblDaily[WardCode],"BH")=0,"",SUMIFS(tblDaily[TransfersOut],tblDaily[EntryDate],DATE(2026,1,21),tblDaily[WardCode],"BH")),"")</f>
        <v>1</v>
      </c>
      <c r="H27" s="4">
        <f>IFERROR(IF(SUMIFS(tblDaily[Remaining],tblDaily[EntryDate],DATE(2026,1,21),tblDaily[WardCode],"BH")=0,"",SUMIFS(tblDaily[Remaining],tblDaily[EntryDate],DATE(2026,1,21),tblDaily[WardCode],"BH")),"")</f>
        <v>5</v>
      </c>
    </row>
    <row r="28" spans="1:8" x14ac:dyDescent="0.25">
      <c r="A28" s="4">
        <v>22</v>
      </c>
      <c r="B28" s="4">
        <f>IFERROR(IF(SUMIFS(tblDaily[Admissions],tblDaily[EntryDate],DATE(2026,1,22),tblDaily[WardCode],"BH")=0,"",SUMIFS(tblDaily[Admissions],tblDaily[EntryDate],DATE(2026,1,22),tblDaily[WardCode],"BH")),"")</f>
        <v>2</v>
      </c>
      <c r="C28" s="4">
        <f>IFERROR(IF(SUMIFS(tblDaily[Discharges],tblDaily[EntryDate],DATE(2026,1,22),tblDaily[WardCode],"BH")=0,"",SUMIFS(tblDaily[Discharges],tblDaily[EntryDate],DATE(2026,1,22),tblDaily[WardCode],"BH")),"")</f>
        <v>4</v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>
        <f>IFERROR(IF(SUMIFS(tblDaily[TransfersIn],tblDaily[EntryDate],DATE(2026,1,22),tblDaily[WardCode],"BH")=0,"",SUMIFS(tblDaily[TransfersIn],tblDaily[EntryDate],DATE(2026,1,22),tblDaily[WardCode],"BH")),"")</f>
        <v>3</v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>
        <f>IFERROR(IF(SUMIFS(tblDaily[Remaining],tblDaily[EntryDate],DATE(2026,1,22),tblDaily[WardCode],"BH")=0,"",SUMIFS(tblDaily[Remaining],tblDaily[EntryDate],DATE(2026,1,22),tblDaily[WardCode],"BH")),"")</f>
        <v>6</v>
      </c>
    </row>
    <row r="29" spans="1:8" x14ac:dyDescent="0.25">
      <c r="A29" s="4">
        <v>23</v>
      </c>
      <c r="B29" s="4">
        <f>IFERROR(IF(SUMIFS(tblDaily[Admissions],tblDaily[EntryDate],DATE(2026,1,23),tblDaily[WardCode],"BH")=0,"",SUMIFS(tblDaily[Admissions],tblDaily[EntryDate],DATE(2026,1,23),tblDaily[WardCode],"BH")),"")</f>
        <v>2</v>
      </c>
      <c r="C29" s="4">
        <f>IFERROR(IF(SUMIFS(tblDaily[Discharges],tblDaily[EntryDate],DATE(2026,1,23),tblDaily[WardCode],"BH")=0,"",SUMIFS(tblDaily[Discharges],tblDaily[EntryDate],DATE(2026,1,23),tblDaily[WardCode],"BH")),"")</f>
        <v>3</v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>
        <f>IFERROR(IF(SUMIFS(tblDaily[TransfersIn],tblDaily[EntryDate],DATE(2026,1,23),tblDaily[WardCode],"BH")=0,"",SUMIFS(tblDaily[TransfersIn],tblDaily[EntryDate],DATE(2026,1,23),tblDaily[WardCode],"BH")),"")</f>
        <v>1</v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>
        <f>IFERROR(IF(SUMIFS(tblDaily[Remaining],tblDaily[EntryDate],DATE(2026,1,23),tblDaily[WardCode],"BH")=0,"",SUMIFS(tblDaily[Remaining],tblDaily[EntryDate],DATE(2026,1,23),tblDaily[WardCode],"BH")),"")</f>
        <v>6</v>
      </c>
    </row>
    <row r="30" spans="1:8" x14ac:dyDescent="0.25">
      <c r="A30" s="4">
        <v>24</v>
      </c>
      <c r="B30" s="4">
        <f>IFERROR(IF(SUMIFS(tblDaily[Admissions],tblDaily[EntryDate],DATE(2026,1,24),tblDaily[WardCode],"BH")=0,"",SUMIFS(tblDaily[Admissions],tblDaily[EntryDate],DATE(2026,1,24),tblDaily[WardCode],"BH")),"")</f>
        <v>1</v>
      </c>
      <c r="C30" s="4">
        <f>IFERROR(IF(SUMIFS(tblDaily[Discharges],tblDaily[EntryDate],DATE(2026,1,24),tblDaily[WardCode],"BH")=0,"",SUMIFS(tblDaily[Discharges],tblDaily[EntryDate],DATE(2026,1,24),tblDaily[WardCode],"BH")),"")</f>
        <v>2</v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>
        <f>IFERROR(IF(SUMIFS(tblDaily[TransfersIn],tblDaily[EntryDate],DATE(2026,1,24),tblDaily[WardCode],"BH")=0,"",SUMIFS(tblDaily[TransfersIn],tblDaily[EntryDate],DATE(2026,1,24),tblDaily[WardCode],"BH")),"")</f>
        <v>1</v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>
        <f>IFERROR(IF(SUMIFS(tblDaily[Remaining],tblDaily[EntryDate],DATE(2026,1,24),tblDaily[WardCode],"BH")=0,"",SUMIFS(tblDaily[Remaining],tblDaily[EntryDate],DATE(2026,1,24),tblDaily[WardCode],"BH")),"")</f>
        <v>6</v>
      </c>
    </row>
    <row r="31" spans="1:8" x14ac:dyDescent="0.25">
      <c r="A31" s="4">
        <v>25</v>
      </c>
      <c r="B31" s="4">
        <f>IFERROR(IF(SUMIFS(tblDaily[Admissions],tblDaily[EntryDate],DATE(2026,1,25),tblDaily[WardCode],"BH")=0,"",SUMIFS(tblDaily[Admissions],tblDaily[EntryDate],DATE(2026,1,25),tblDaily[WardCode],"BH")),"")</f>
        <v>1</v>
      </c>
      <c r="C31" s="4">
        <f>IFERROR(IF(SUMIFS(tblDaily[Discharges],tblDaily[EntryDate],DATE(2026,1,25),tblDaily[WardCode],"BH")=0,"",SUMIFS(tblDaily[Discharges],tblDaily[EntryDate],DATE(2026,1,25),tblDaily[WardCode],"BH")),"")</f>
        <v>2</v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>
        <f>IFERROR(IF(SUMIFS(tblDaily[TransfersOut],tblDaily[EntryDate],DATE(2026,1,25),tblDaily[WardCode],"BH")=0,"",SUMIFS(tblDaily[TransfersOut],tblDaily[EntryDate],DATE(2026,1,25),tblDaily[WardCode],"BH")),"")</f>
        <v>2</v>
      </c>
      <c r="H31" s="4">
        <f>IFERROR(IF(SUMIFS(tblDaily[Remaining],tblDaily[EntryDate],DATE(2026,1,25),tblDaily[WardCode],"BH")=0,"",SUMIFS(tblDaily[Remaining],tblDaily[EntryDate],DATE(2026,1,25),tblDaily[WardCode],"BH")),"")</f>
        <v>3</v>
      </c>
    </row>
    <row r="32" spans="1:8" x14ac:dyDescent="0.25">
      <c r="A32" s="4">
        <v>26</v>
      </c>
      <c r="B32" s="4">
        <f>IFERROR(IF(SUMIFS(tblDaily[Admissions],tblDaily[EntryDate],DATE(2026,1,26),tblDaily[WardCode],"BH")=0,"",SUMIFS(tblDaily[Admissions],tblDaily[EntryDate],DATE(2026,1,26),tblDaily[WardCode],"BH")),"")</f>
        <v>3</v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>
        <f>IFERROR(IF(SUMIFS(tblDaily[Remaining],tblDaily[EntryDate],DATE(2026,1,26),tblDaily[WardCode],"BH")=0,"",SUMIFS(tblDaily[Remaining],tblDaily[EntryDate],DATE(2026,1,26),tblDaily[WardCode],"BH")),"")</f>
        <v>6</v>
      </c>
    </row>
    <row r="33" spans="1:8" x14ac:dyDescent="0.25">
      <c r="A33" s="4">
        <v>27</v>
      </c>
      <c r="B33" s="4">
        <f>IFERROR(IF(SUMIFS(tblDaily[Admissions],tblDaily[EntryDate],DATE(2026,1,27),tblDaily[WardCode],"BH")=0,"",SUMIFS(tblDaily[Admissions],tblDaily[EntryDate],DATE(2026,1,27),tblDaily[WardCode],"BH")),"")</f>
        <v>5</v>
      </c>
      <c r="C33" s="4">
        <f>IFERROR(IF(SUMIFS(tblDaily[Discharges],tblDaily[EntryDate],DATE(2026,1,27),tblDaily[WardCode],"BH")=0,"",SUMIFS(tblDaily[Discharges],tblDaily[EntryDate],DATE(2026,1,27),tblDaily[WardCode],"BH")),"")</f>
        <v>1</v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>
        <f>IFERROR(IF(SUMIFS(tblDaily[TransfersIn],tblDaily[EntryDate],DATE(2026,1,27),tblDaily[WardCode],"BH")=0,"",SUMIFS(tblDaily[TransfersIn],tblDaily[EntryDate],DATE(2026,1,27),tblDaily[WardCode],"BH")),"")</f>
        <v>1</v>
      </c>
      <c r="G33" s="4">
        <f>IFERROR(IF(SUMIFS(tblDaily[TransfersOut],tblDaily[EntryDate],DATE(2026,1,27),tblDaily[WardCode],"BH")=0,"",SUMIFS(tblDaily[TransfersOut],tblDaily[EntryDate],DATE(2026,1,27),tblDaily[WardCode],"BH")),"")</f>
        <v>1</v>
      </c>
      <c r="H33" s="4">
        <f>IFERROR(IF(SUMIFS(tblDaily[Remaining],tblDaily[EntryDate],DATE(2026,1,27),tblDaily[WardCode],"BH")=0,"",SUMIFS(tblDaily[Remaining],tblDaily[EntryDate],DATE(2026,1,27),tblDaily[WardCode],"BH")),"")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IFERROR(IF(SUMIFS(tblDaily[Admissions],tblDaily[EntryDate],DATE(2026,1,28),tblDaily[WardCode],"BH")=0,"",SUMIFS(tblDaily[Admissions],tblDaily[EntryDate],DATE(2026,1,28),tblDaily[WardCode],"BH")),"")</f>
        <v>3</v>
      </c>
      <c r="C34" s="4">
        <f>IFERROR(IF(SUMIFS(tblDaily[Discharges],tblDaily[EntryDate],DATE(2026,1,28),tblDaily[WardCode],"BH")=0,"",SUMIFS(tblDaily[Discharges],tblDaily[EntryDate],DATE(2026,1,28),tblDaily[WardCode],"BH")),"")</f>
        <v>1</v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>
        <f>IFERROR(IF(SUMIFS(tblDaily[TransfersIn],tblDaily[EntryDate],DATE(2026,1,28),tblDaily[WardCode],"BH")=0,"",SUMIFS(tblDaily[TransfersIn],tblDaily[EntryDate],DATE(2026,1,28),tblDaily[WardCode],"BH")),"")</f>
        <v>2</v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>
        <f>IFERROR(IF(SUMIFS(tblDaily[Remaining],tblDaily[EntryDate],DATE(2026,1,28),tblDaily[WardCode],"BH")=0,"",SUMIFS(tblDaily[Remaining],tblDaily[EntryDate],DATE(2026,1,28),tblDaily[WardCode],"BH")),"")</f>
        <v>14</v>
      </c>
    </row>
    <row r="35" spans="1:8" x14ac:dyDescent="0.25">
      <c r="A35" s="4">
        <v>29</v>
      </c>
      <c r="B35" s="4">
        <f>IFERROR(IF(SUMIFS(tblDaily[Admissions],tblDaily[EntryDate],DATE(2026,1,29),tblDaily[WardCode],"BH")=0,"",SUMIFS(tblDaily[Admissions],tblDaily[EntryDate],DATE(2026,1,29),tblDaily[WardCode],"BH")),"")</f>
        <v>1</v>
      </c>
      <c r="C35" s="4">
        <f>IFERROR(IF(SUMIFS(tblDaily[Discharges],tblDaily[EntryDate],DATE(2026,1,29),tblDaily[WardCode],"BH")=0,"",SUMIFS(tblDaily[Discharges],tblDaily[EntryDate],DATE(2026,1,29),tblDaily[WardCode],"BH")),"")</f>
        <v>3</v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>
        <f>IFERROR(IF(SUMIFS(tblDaily[TransfersIn],tblDaily[EntryDate],DATE(2026,1,29),tblDaily[WardCode],"BH")=0,"",SUMIFS(tblDaily[TransfersIn],tblDaily[EntryDate],DATE(2026,1,29),tblDaily[WardCode],"BH")),"")</f>
        <v>2</v>
      </c>
      <c r="G35" s="4">
        <f>IFERROR(IF(SUMIFS(tblDaily[TransfersOut],tblDaily[EntryDate],DATE(2026,1,29),tblDaily[WardCode],"BH")=0,"",SUMIFS(tblDaily[TransfersOut],tblDaily[EntryDate],DATE(2026,1,29),tblDaily[WardCode],"BH")),"")</f>
        <v>1</v>
      </c>
      <c r="H35" s="4">
        <f>IFERROR(IF(SUMIFS(tblDaily[Remaining],tblDaily[EntryDate],DATE(2026,1,29),tblDaily[WardCode],"BH")=0,"",SUMIFS(tblDaily[Remaining],tblDaily[EntryDate],DATE(2026,1,29),tblDaily[WardCode],"BH")),"")</f>
        <v>13</v>
      </c>
    </row>
    <row r="36" spans="1:8" x14ac:dyDescent="0.25">
      <c r="A36" s="4">
        <v>30</v>
      </c>
      <c r="B36" s="4">
        <f>IFERROR(IF(SUMIFS(tblDaily[Admissions],tblDaily[EntryDate],DATE(2026,1,30),tblDaily[WardCode],"BH")=0,"",SUMIFS(tblDaily[Admissions],tblDaily[EntryDate],DATE(2026,1,30),tblDaily[WardCode],"BH")),"")</f>
        <v>3</v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>
        <f>IFERROR(IF(SUMIFS(tblDaily[TransfersOut],tblDaily[EntryDate],DATE(2026,1,30),tblDaily[WardCode],"BH")=0,"",SUMIFS(tblDaily[TransfersOut],tblDaily[EntryDate],DATE(2026,1,30),tblDaily[WardCode],"BH")),"")</f>
        <v>1</v>
      </c>
      <c r="H36" s="4">
        <f>IFERROR(IF(SUMIFS(tblDaily[Remaining],tblDaily[EntryDate],DATE(2026,1,30),tblDaily[WardCode],"BH")=0,"",SUMIFS(tblDaily[Remaining],tblDaily[EntryDate],DATE(2026,1,30),tblDaily[WardCode],"BH")),"")</f>
        <v>15</v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>
        <f>IFERROR(IF(SUMIFS(tblDaily[Discharges],tblDaily[EntryDate],DATE(2026,1,31),tblDaily[WardCode],"BH")=0,"",SUMIFS(tblDaily[Discharges],tblDaily[EntryDate],DATE(2026,1,31),tblDaily[WardCode],"BH")),"")</f>
        <v>7</v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>
        <f>IFERROR(IF(SUMIFS(tblDaily[TransfersOut],tblDaily[EntryDate],DATE(2026,1,31),tblDaily[WardCode],"BH")=0,"",SUMIFS(tblDaily[TransfersOut],tblDaily[EntryDate],DATE(2026,1,31),tblDaily[WardCode],"BH")),"")</f>
        <v>1</v>
      </c>
      <c r="H37" s="4">
        <f>IFERROR(IF(SUMIFS(tblDaily[Remaining],tblDaily[EntryDate],DATE(2026,1,31),tblDaily[WardCode],"BH")=0,"",SUMIFS(tblDaily[Remaining],tblDaily[EntryDate],DATE(2026,1,31),tblDaily[WardCode],"BH")),"")</f>
        <v>7</v>
      </c>
    </row>
    <row r="38" spans="1:8" x14ac:dyDescent="0.25">
      <c r="A38" s="9" t="s">
        <v>112</v>
      </c>
      <c r="B38" s="9">
        <f>SUMIFS(tblDaily[Admissions],tblDaily[Month],1,tblDaily[WardCode],"BH") - SUMIFS(tblDaily[DeathsUnder24Hrs],tblDaily[Month],1,tblDaily[WardCode],"BH")</f>
        <v>74</v>
      </c>
      <c r="C38" s="9">
        <f>SUMIFS(tblDaily[Discharges],tblDaily[Month],1,tblDaily[WardCode],"BH")</f>
        <v>81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28</v>
      </c>
      <c r="G38" s="9">
        <f>SUMIFS(tblDaily[TransfersOut],tblDaily[Month],1,tblDaily[WardCode],"BH")</f>
        <v>26</v>
      </c>
      <c r="H38" s="9">
        <f>SUMIFS(tblDaily[Remaining],tblDaily[Month],1,tblDaily[WardCode],"BH")</f>
        <v>369</v>
      </c>
    </row>
    <row r="40" spans="1:8" ht="18.75" x14ac:dyDescent="0.25">
      <c r="A40" s="28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5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117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IFERROR(SUMIFS(tblDaily[Remaining],tblDaily[EntryDate],DATE(2026,1,31),tblDaily[WardCode],"BH"),0)</f>
        <v>7</v>
      </c>
    </row>
    <row r="44" spans="1:8" x14ac:dyDescent="0.25">
      <c r="A44" s="1" t="s">
        <v>106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>
        <f>IFERROR(IF(SUMIFS(tblDaily[Remaining],tblDaily[EntryDate],DATE(2026,2,1),tblDaily[WardCode],"BH")=0,"",SUMIFS(tblDaily[Remaining],tblDaily[EntryDate],DATE(2026,2,1),tblDaily[WardCode],"BH")),"")</f>
        <v>7</v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SUMIFS(tblDaily[Admissions],tblDaily[Month],2,tblDaily[WardCode],"BH") - SUMIFS(tblDaily[DeathsUnder24Hrs],tblDaily[Month],2,tblDaily[WardCode],"BH")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7</v>
      </c>
    </row>
    <row r="79" spans="1:8" ht="18.75" x14ac:dyDescent="0.25">
      <c r="A79" s="28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5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117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106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112</v>
      </c>
      <c r="B116" s="9">
        <f>SUMIFS(tblDaily[Admissions],tblDaily[Month],3,tblDaily[WardCode],"BH") - SUMIFS(tblDaily[DeathsUnder24Hrs],tblDaily[Month],3,tblDaily[WardCode],"BH")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28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5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117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106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SUMIFS(tblDaily[Admissions],tblDaily[Month],4,tblDaily[WardCode],"BH") - SUMIFS(tblDaily[DeathsUnder24Hrs],tblDaily[Month],4,tblDaily[WardCode],"BH")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28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5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117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106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112</v>
      </c>
      <c r="B194" s="9">
        <f>SUMIFS(tblDaily[Admissions],tblDaily[Month],5,tblDaily[WardCode],"BH") - SUMIFS(tblDaily[DeathsUnder24Hrs],tblDaily[Month],5,tblDaily[WardCode],"BH")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28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5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117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106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SUMIFS(tblDaily[Admissions],tblDaily[Month],6,tblDaily[WardCode],"BH") - SUMIFS(tblDaily[DeathsUnder24Hrs],tblDaily[Month],6,tblDaily[WardCode],"BH")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28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5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117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106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112</v>
      </c>
      <c r="B272" s="9">
        <f>SUMIFS(tblDaily[Admissions],tblDaily[Month],7,tblDaily[WardCode],"BH") - SUMIFS(tblDaily[DeathsUnder24Hrs],tblDaily[Month],7,tblDaily[WardCode],"BH")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28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5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117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106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112</v>
      </c>
      <c r="B311" s="9">
        <f>SUMIFS(tblDaily[Admissions],tblDaily[Month],8,tblDaily[WardCode],"BH") - SUMIFS(tblDaily[DeathsUnder24Hrs],tblDaily[Month],8,tblDaily[WardCode],"BH")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28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5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117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106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SUMIFS(tblDaily[Admissions],tblDaily[Month],9,tblDaily[WardCode],"BH") - SUMIFS(tblDaily[DeathsUnder24Hrs],tblDaily[Month],9,tblDaily[WardCode],"BH")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28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5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117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106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112</v>
      </c>
      <c r="B389" s="9">
        <f>SUMIFS(tblDaily[Admissions],tblDaily[Month],10,tblDaily[WardCode],"BH") - SUMIFS(tblDaily[DeathsUnder24Hrs],tblDaily[Month],10,tblDaily[WardCode],"BH")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28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5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117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106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SUMIFS(tblDaily[Admissions],tblDaily[Month],11,tblDaily[WardCode],"BH") - SUMIFS(tblDaily[DeathsUnder24Hrs],tblDaily[Month],11,tblDaily[WardCode],"BH")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28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5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117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106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112</v>
      </c>
      <c r="B467" s="9">
        <f>SUMIFS(tblDaily[Admissions],tblDaily[Month],12,tblDaily[WardCode],"BH") - SUMIFS(tblDaily[DeathsUnder24Hrs],tblDaily[Month],12,tblDaily[WardCode],"BH")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8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5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118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IFERROR(INDEX(tblWardConfig[PrevYearRemaining],MATCH("NICU",tblWardConfig[WardCode],0)),0)</f>
        <v>14</v>
      </c>
    </row>
    <row r="5" spans="1:8" x14ac:dyDescent="0.25">
      <c r="A5" s="1" t="s">
        <v>106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>
        <f>IFERROR(IF(SUMIFS(tblDaily[Discharges],tblDaily[EntryDate],DATE(2026,1,1),tblDaily[WardCode],"NICU")=0,"",SUMIFS(tblDaily[Discharges],tblDaily[EntryDate],DATE(2026,1,1),tblDaily[WardCode],"NICU")),"")</f>
        <v>2</v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>
        <f>IFERROR(IF(SUMIFS(tblDaily[Remaining],tblDaily[EntryDate],DATE(2026,1,1),tblDaily[WardCode],"NICU")=0,"",SUMIFS(tblDaily[Remaining],tblDaily[EntryDate],DATE(2026,1,1),tblDaily[WardCode],"NICU")),"")</f>
        <v>12</v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>
        <f>IFERROR(IF(SUMIFS(tblDaily[Discharges],tblDaily[EntryDate],DATE(2026,1,2),tblDaily[WardCode],"NICU")=0,"",SUMIFS(tblDaily[Discharges],tblDaily[EntryDate],DATE(2026,1,2),tblDaily[WardCode],"NICU")),"")</f>
        <v>2</v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>
        <f>IFERROR(IF(SUMIFS(tblDaily[Remaining],tblDaily[EntryDate],DATE(2026,1,2),tblDaily[WardCode],"NICU")=0,"",SUMIFS(tblDaily[Remaining],tblDaily[EntryDate],DATE(2026,1,2),tblDaily[WardCode],"NICU")),"")</f>
        <v>10</v>
      </c>
    </row>
    <row r="9" spans="1:8" x14ac:dyDescent="0.25">
      <c r="A9" s="4">
        <v>3</v>
      </c>
      <c r="B9" s="4">
        <f>IFERROR(IF(SUMIFS(tblDaily[Admissions],tblDaily[EntryDate],DATE(2026,1,3),tblDaily[WardCode],"NICU")=0,"",SUMIFS(tblDaily[Admissions],tblDaily[EntryDate],DATE(2026,1,3),tblDaily[WardCode],"NICU")),"")</f>
        <v>1</v>
      </c>
      <c r="C9" s="4">
        <f>IFERROR(IF(SUMIFS(tblDaily[Discharges],tblDaily[EntryDate],DATE(2026,1,3),tblDaily[WardCode],"NICU")=0,"",SUMIFS(tblDaily[Discharges],tblDaily[EntryDate],DATE(2026,1,3),tblDaily[WardCode],"NICU")),"")</f>
        <v>1</v>
      </c>
      <c r="D9" s="4">
        <f>IFERROR(IF(SUMIFS(tblDaily[Deaths],tblDaily[EntryDate],DATE(2026,1,3),tblDaily[WardCode],"NICU")=0,"",SUMIFS(tblDaily[Deaths],tblDaily[EntryDate],DATE(2026,1,3),tblDaily[WardCode],"NICU")),"")</f>
        <v>1</v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>
        <f>IFERROR(IF(SUMIFS(tblDaily[Remaining],tblDaily[EntryDate],DATE(2026,1,3),tblDaily[WardCode],"NICU")=0,"",SUMIFS(tblDaily[Remaining],tblDaily[EntryDate],DATE(2026,1,3),tblDaily[WardCode],"NICU")),"")</f>
        <v>9</v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>
        <f>IFERROR(IF(SUMIFS(tblDaily[Deaths],tblDaily[EntryDate],DATE(2026,1,4),tblDaily[WardCode],"NICU")=0,"",SUMIFS(tblDaily[Deaths],tblDaily[EntryDate],DATE(2026,1,4),tblDaily[WardCode],"NICU")),"")</f>
        <v>1</v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>
        <f>IFERROR(IF(SUMIFS(tblDaily[Remaining],tblDaily[EntryDate],DATE(2026,1,4),tblDaily[WardCode],"NICU")=0,"",SUMIFS(tblDaily[Remaining],tblDaily[EntryDate],DATE(2026,1,4),tblDaily[WardCode],"NICU")),"")</f>
        <v>8</v>
      </c>
    </row>
    <row r="11" spans="1:8" x14ac:dyDescent="0.25">
      <c r="A11" s="4">
        <v>5</v>
      </c>
      <c r="B11" s="4">
        <f>IFERROR(IF(SUMIFS(tblDaily[Admissions],tblDaily[EntryDate],DATE(2026,1,5),tblDaily[WardCode],"NICU")=0,"",SUMIFS(tblDaily[Admissions],tblDaily[EntryDate],DATE(2026,1,5),tblDaily[WardCode],"NICU")),"")</f>
        <v>2</v>
      </c>
      <c r="C11" s="4">
        <f>IFERROR(IF(SUMIFS(tblDaily[Discharges],tblDaily[EntryDate],DATE(2026,1,5),tblDaily[WardCode],"NICU")=0,"",SUMIFS(tblDaily[Discharges],tblDaily[EntryDate],DATE(2026,1,5),tblDaily[WardCode],"NICU")),"")</f>
        <v>1</v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>
        <f>IFERROR(IF(SUMIFS(tblDaily[Remaining],tblDaily[EntryDate],DATE(2026,1,5),tblDaily[WardCode],"NICU")=0,"",SUMIFS(tblDaily[Remaining],tblDaily[EntryDate],DATE(2026,1,5),tblDaily[WardCode],"NICU")),"")</f>
        <v>9</v>
      </c>
    </row>
    <row r="12" spans="1:8" x14ac:dyDescent="0.25">
      <c r="A12" s="4">
        <v>6</v>
      </c>
      <c r="B12" s="4">
        <f>IFERROR(IF(SUMIFS(tblDaily[Admissions],tblDaily[EntryDate],DATE(2026,1,6),tblDaily[WardCode],"NICU")=0,"",SUMIFS(tblDaily[Admissions],tblDaily[EntryDate],DATE(2026,1,6),tblDaily[WardCode],"NICU")),"")</f>
        <v>4</v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>
        <f>IFERROR(IF(SUMIFS(tblDaily[Remaining],tblDaily[EntryDate],DATE(2026,1,6),tblDaily[WardCode],"NICU")=0,"",SUMIFS(tblDaily[Remaining],tblDaily[EntryDate],DATE(2026,1,6),tblDaily[WardCode],"NICU")),"")</f>
        <v>13</v>
      </c>
    </row>
    <row r="13" spans="1:8" x14ac:dyDescent="0.25">
      <c r="A13" s="4">
        <v>7</v>
      </c>
      <c r="B13" s="4">
        <f>IFERROR(IF(SUMIFS(tblDaily[Admissions],tblDaily[EntryDate],DATE(2026,1,7),tblDaily[WardCode],"NICU")=0,"",SUMIFS(tblDaily[Admissions],tblDaily[EntryDate],DATE(2026,1,7),tblDaily[WardCode],"NICU")),"")</f>
        <v>4</v>
      </c>
      <c r="C13" s="4">
        <f>IFERROR(IF(SUMIFS(tblDaily[Discharges],tblDaily[EntryDate],DATE(2026,1,7),tblDaily[WardCode],"NICU")=0,"",SUMIFS(tblDaily[Discharges],tblDaily[EntryDate],DATE(2026,1,7),tblDaily[WardCode],"NICU")),"")</f>
        <v>2</v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>
        <f>IFERROR(IF(SUMIFS(tblDaily[Remaining],tblDaily[EntryDate],DATE(2026,1,7),tblDaily[WardCode],"NICU")=0,"",SUMIFS(tblDaily[Remaining],tblDaily[EntryDate],DATE(2026,1,7),tblDaily[WardCode],"NICU")),"")</f>
        <v>15</v>
      </c>
    </row>
    <row r="14" spans="1:8" x14ac:dyDescent="0.25">
      <c r="A14" s="4">
        <v>8</v>
      </c>
      <c r="B14" s="4">
        <f>IFERROR(IF(SUMIFS(tblDaily[Admissions],tblDaily[EntryDate],DATE(2026,1,8),tblDaily[WardCode],"NICU")=0,"",SUMIFS(tblDaily[Admissions],tblDaily[EntryDate],DATE(2026,1,8),tblDaily[WardCode],"NICU")),"")</f>
        <v>2</v>
      </c>
      <c r="C14" s="4">
        <f>IFERROR(IF(SUMIFS(tblDaily[Discharges],tblDaily[EntryDate],DATE(2026,1,8),tblDaily[WardCode],"NICU")=0,"",SUMIFS(tblDaily[Discharges],tblDaily[EntryDate],DATE(2026,1,8),tblDaily[WardCode],"NICU")),"")</f>
        <v>1</v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>
        <f>IFERROR(IF(SUMIFS(tblDaily[Remaining],tblDaily[EntryDate],DATE(2026,1,8),tblDaily[WardCode],"NICU")=0,"",SUMIFS(tblDaily[Remaining],tblDaily[EntryDate],DATE(2026,1,8),tblDaily[WardCode],"NICU")),"")</f>
        <v>16</v>
      </c>
    </row>
    <row r="15" spans="1:8" x14ac:dyDescent="0.25">
      <c r="A15" s="4">
        <v>9</v>
      </c>
      <c r="B15" s="4">
        <f>IFERROR(IF(SUMIFS(tblDaily[Admissions],tblDaily[EntryDate],DATE(2026,1,9),tblDaily[WardCode],"NICU")=0,"",SUMIFS(tblDaily[Admissions],tblDaily[EntryDate],DATE(2026,1,9),tblDaily[WardCode],"NICU")),"")</f>
        <v>2</v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>
        <f>IFERROR(IF(SUMIFS(tblDaily[Remaining],tblDaily[EntryDate],DATE(2026,1,9),tblDaily[WardCode],"NICU")=0,"",SUMIFS(tblDaily[Remaining],tblDaily[EntryDate],DATE(2026,1,9),tblDaily[WardCode],"NICU")),"")</f>
        <v>18</v>
      </c>
    </row>
    <row r="16" spans="1:8" x14ac:dyDescent="0.25">
      <c r="A16" s="4">
        <v>10</v>
      </c>
      <c r="B16" s="4">
        <f>IFERROR(IF(SUMIFS(tblDaily[Admissions],tblDaily[EntryDate],DATE(2026,1,10),tblDaily[WardCode],"NICU")=0,"",SUMIFS(tblDaily[Admissions],tblDaily[EntryDate],DATE(2026,1,10),tblDaily[WardCode],"NICU")),"")</f>
        <v>1</v>
      </c>
      <c r="C16" s="4">
        <f>IFERROR(IF(SUMIFS(tblDaily[Discharges],tblDaily[EntryDate],DATE(2026,1,10),tblDaily[WardCode],"NICU")=0,"",SUMIFS(tblDaily[Discharges],tblDaily[EntryDate],DATE(2026,1,10),tblDaily[WardCode],"NICU")),"")</f>
        <v>1</v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>
        <f>IFERROR(IF(SUMIFS(tblDaily[Remaining],tblDaily[EntryDate],DATE(2026,1,10),tblDaily[WardCode],"NICU")=0,"",SUMIFS(tblDaily[Remaining],tblDaily[EntryDate],DATE(2026,1,10),tblDaily[WardCode],"NICU")),"")</f>
        <v>18</v>
      </c>
    </row>
    <row r="17" spans="1:8" x14ac:dyDescent="0.25">
      <c r="A17" s="4">
        <v>11</v>
      </c>
      <c r="B17" s="4">
        <f>IFERROR(IF(SUMIFS(tblDaily[Admissions],tblDaily[EntryDate],DATE(2026,1,11),tblDaily[WardCode],"NICU")=0,"",SUMIFS(tblDaily[Admissions],tblDaily[EntryDate],DATE(2026,1,11),tblDaily[WardCode],"NICU")),"")</f>
        <v>1</v>
      </c>
      <c r="C17" s="4">
        <f>IFERROR(IF(SUMIFS(tblDaily[Discharges],tblDaily[EntryDate],DATE(2026,1,11),tblDaily[WardCode],"NICU")=0,"",SUMIFS(tblDaily[Discharges],tblDaily[EntryDate],DATE(2026,1,11),tblDaily[WardCode],"NICU")),"")</f>
        <v>1</v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>
        <f>IFERROR(IF(SUMIFS(tblDaily[Remaining],tblDaily[EntryDate],DATE(2026,1,11),tblDaily[WardCode],"NICU")=0,"",SUMIFS(tblDaily[Remaining],tblDaily[EntryDate],DATE(2026,1,11),tblDaily[WardCode],"NICU")),"")</f>
        <v>18</v>
      </c>
    </row>
    <row r="18" spans="1:8" x14ac:dyDescent="0.25">
      <c r="A18" s="4">
        <v>12</v>
      </c>
      <c r="B18" s="4">
        <f>IFERROR(IF(SUMIFS(tblDaily[Admissions],tblDaily[EntryDate],DATE(2026,1,12),tblDaily[WardCode],"NICU")=0,"",SUMIFS(tblDaily[Admissions],tblDaily[EntryDate],DATE(2026,1,12),tblDaily[WardCode],"NICU")),"")</f>
        <v>4</v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>
        <f>IFERROR(IF(SUMIFS(tblDaily[Remaining],tblDaily[EntryDate],DATE(2026,1,12),tblDaily[WardCode],"NICU")=0,"",SUMIFS(tblDaily[Remaining],tblDaily[EntryDate],DATE(2026,1,12),tblDaily[WardCode],"NICU")),"")</f>
        <v>22</v>
      </c>
    </row>
    <row r="19" spans="1:8" x14ac:dyDescent="0.25">
      <c r="A19" s="4">
        <v>13</v>
      </c>
      <c r="B19" s="4">
        <f>IFERROR(IF(SUMIFS(tblDaily[Admissions],tblDaily[EntryDate],DATE(2026,1,13),tblDaily[WardCode],"NICU")=0,"",SUMIFS(tblDaily[Admissions],tblDaily[EntryDate],DATE(2026,1,13),tblDaily[WardCode],"NICU")),"")</f>
        <v>4</v>
      </c>
      <c r="C19" s="4">
        <f>IFERROR(IF(SUMIFS(tblDaily[Discharges],tblDaily[EntryDate],DATE(2026,1,13),tblDaily[WardCode],"NICU")=0,"",SUMIFS(tblDaily[Discharges],tblDaily[EntryDate],DATE(2026,1,13),tblDaily[WardCode],"NICU")),"")</f>
        <v>4</v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>
        <f>IFERROR(IF(SUMIFS(tblDaily[Remaining],tblDaily[EntryDate],DATE(2026,1,13),tblDaily[WardCode],"NICU")=0,"",SUMIFS(tblDaily[Remaining],tblDaily[EntryDate],DATE(2026,1,13),tblDaily[WardCode],"NICU")),"")</f>
        <v>22</v>
      </c>
    </row>
    <row r="20" spans="1:8" x14ac:dyDescent="0.25">
      <c r="A20" s="4">
        <v>14</v>
      </c>
      <c r="B20" s="4">
        <f>IFERROR(IF(SUMIFS(tblDaily[Admissions],tblDaily[EntryDate],DATE(2026,1,14),tblDaily[WardCode],"NICU")=0,"",SUMIFS(tblDaily[Admissions],tblDaily[EntryDate],DATE(2026,1,14),tblDaily[WardCode],"NICU")),"")</f>
        <v>3</v>
      </c>
      <c r="C20" s="4">
        <f>IFERROR(IF(SUMIFS(tblDaily[Discharges],tblDaily[EntryDate],DATE(2026,1,14),tblDaily[WardCode],"NICU")=0,"",SUMIFS(tblDaily[Discharges],tblDaily[EntryDate],DATE(2026,1,14),tblDaily[WardCode],"NICU")),"")</f>
        <v>4</v>
      </c>
      <c r="D20" s="4">
        <f>IFERROR(IF(SUMIFS(tblDaily[Deaths],tblDaily[EntryDate],DATE(2026,1,14),tblDaily[WardCode],"NICU")=0,"",SUMIFS(tblDaily[Deaths],tblDaily[EntryDate],DATE(2026,1,14),tblDaily[WardCode],"NICU")),"")</f>
        <v>1</v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>
        <f>IFERROR(IF(SUMIFS(tblDaily[Remaining],tblDaily[EntryDate],DATE(2026,1,14),tblDaily[WardCode],"NICU")=0,"",SUMIFS(tblDaily[Remaining],tblDaily[EntryDate],DATE(2026,1,14),tblDaily[WardCode],"NICU")),"")</f>
        <v>20</v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>
        <f>IFERROR(IF(SUMIFS(tblDaily[Discharges],tblDaily[EntryDate],DATE(2026,1,15),tblDaily[WardCode],"NICU")=0,"",SUMIFS(tblDaily[Discharges],tblDaily[EntryDate],DATE(2026,1,15),tblDaily[WardCode],"NICU")),"")</f>
        <v>3</v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>
        <f>IFERROR(IF(SUMIFS(tblDaily[Remaining],tblDaily[EntryDate],DATE(2026,1,15),tblDaily[WardCode],"NICU")=0,"",SUMIFS(tblDaily[Remaining],tblDaily[EntryDate],DATE(2026,1,15),tblDaily[WardCode],"NICU")),"")</f>
        <v>17</v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>
        <f>IFERROR(IF(SUMIFS(tblDaily[Discharges],tblDaily[EntryDate],DATE(2026,1,16),tblDaily[WardCode],"NICU")=0,"",SUMIFS(tblDaily[Discharges],tblDaily[EntryDate],DATE(2026,1,16),tblDaily[WardCode],"NICU")),"")</f>
        <v>4</v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>
        <f>IFERROR(IF(SUMIFS(tblDaily[Remaining],tblDaily[EntryDate],DATE(2026,1,16),tblDaily[WardCode],"NICU")=0,"",SUMIFS(tblDaily[Remaining],tblDaily[EntryDate],DATE(2026,1,16),tblDaily[WardCode],"NICU")),"")</f>
        <v>13</v>
      </c>
    </row>
    <row r="23" spans="1:8" x14ac:dyDescent="0.25">
      <c r="A23" s="4">
        <v>17</v>
      </c>
      <c r="B23" s="4">
        <f>IFERROR(IF(SUMIFS(tblDaily[Admissions],tblDaily[EntryDate],DATE(2026,1,17),tblDaily[WardCode],"NICU")=0,"",SUMIFS(tblDaily[Admissions],tblDaily[EntryDate],DATE(2026,1,17),tblDaily[WardCode],"NICU")),"")</f>
        <v>1</v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>
        <f>IFERROR(IF(SUMIFS(tblDaily[Remaining],tblDaily[EntryDate],DATE(2026,1,17),tblDaily[WardCode],"NICU")=0,"",SUMIFS(tblDaily[Remaining],tblDaily[EntryDate],DATE(2026,1,17),tblDaily[WardCode],"NICU")),"")</f>
        <v>14</v>
      </c>
    </row>
    <row r="24" spans="1:8" x14ac:dyDescent="0.25">
      <c r="A24" s="4">
        <v>18</v>
      </c>
      <c r="B24" s="4">
        <f>IFERROR(IF(SUMIFS(tblDaily[Admissions],tblDaily[EntryDate],DATE(2026,1,18),tblDaily[WardCode],"NICU")=0,"",SUMIFS(tblDaily[Admissions],tblDaily[EntryDate],DATE(2026,1,18),tblDaily[WardCode],"NICU")),"")</f>
        <v>2</v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>
        <f>IFERROR(IF(SUMIFS(tblDaily[Deaths],tblDaily[EntryDate],DATE(2026,1,18),tblDaily[WardCode],"NICU")=0,"",SUMIFS(tblDaily[Deaths],tblDaily[EntryDate],DATE(2026,1,18),tblDaily[WardCode],"NICU")),"")</f>
        <v>1</v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>
        <f>IFERROR(IF(SUMIFS(tblDaily[Remaining],tblDaily[EntryDate],DATE(2026,1,18),tblDaily[WardCode],"NICU")=0,"",SUMIFS(tblDaily[Remaining],tblDaily[EntryDate],DATE(2026,1,18),tblDaily[WardCode],"NICU")),"")</f>
        <v>15</v>
      </c>
    </row>
    <row r="25" spans="1:8" x14ac:dyDescent="0.25">
      <c r="A25" s="4">
        <v>19</v>
      </c>
      <c r="B25" s="4">
        <f>IFERROR(IF(SUMIFS(tblDaily[Admissions],tblDaily[EntryDate],DATE(2026,1,19),tblDaily[WardCode],"NICU")=0,"",SUMIFS(tblDaily[Admissions],tblDaily[EntryDate],DATE(2026,1,19),tblDaily[WardCode],"NICU")),"")</f>
        <v>1</v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>
        <f>IFERROR(IF(SUMIFS(tblDaily[Remaining],tblDaily[EntryDate],DATE(2026,1,19),tblDaily[WardCode],"NICU")=0,"",SUMIFS(tblDaily[Remaining],tblDaily[EntryDate],DATE(2026,1,19),tblDaily[WardCode],"NICU")),"")</f>
        <v>16</v>
      </c>
    </row>
    <row r="26" spans="1:8" x14ac:dyDescent="0.25">
      <c r="A26" s="4">
        <v>20</v>
      </c>
      <c r="B26" s="4">
        <f>IFERROR(IF(SUMIFS(tblDaily[Admissions],tblDaily[EntryDate],DATE(2026,1,20),tblDaily[WardCode],"NICU")=0,"",SUMIFS(tblDaily[Admissions],tblDaily[EntryDate],DATE(2026,1,20),tblDaily[WardCode],"NICU")),"")</f>
        <v>1</v>
      </c>
      <c r="C26" s="4">
        <f>IFERROR(IF(SUMIFS(tblDaily[Discharges],tblDaily[EntryDate],DATE(2026,1,20),tblDaily[WardCode],"NICU")=0,"",SUMIFS(tblDaily[Discharges],tblDaily[EntryDate],DATE(2026,1,20),tblDaily[WardCode],"NICU")),"")</f>
        <v>3</v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>
        <f>IFERROR(IF(SUMIFS(tblDaily[Remaining],tblDaily[EntryDate],DATE(2026,1,20),tblDaily[WardCode],"NICU")=0,"",SUMIFS(tblDaily[Remaining],tblDaily[EntryDate],DATE(2026,1,20),tblDaily[WardCode],"NICU")),"")</f>
        <v>14</v>
      </c>
    </row>
    <row r="27" spans="1:8" x14ac:dyDescent="0.25">
      <c r="A27" s="4">
        <v>21</v>
      </c>
      <c r="B27" s="4">
        <f>IFERROR(IF(SUMIFS(tblDaily[Admissions],tblDaily[EntryDate],DATE(2026,1,21),tblDaily[WardCode],"NICU")=0,"",SUMIFS(tblDaily[Admissions],tblDaily[EntryDate],DATE(2026,1,21),tblDaily[WardCode],"NICU")),"")</f>
        <v>1</v>
      </c>
      <c r="C27" s="4">
        <f>IFERROR(IF(SUMIFS(tblDaily[Discharges],tblDaily[EntryDate],DATE(2026,1,21),tblDaily[WardCode],"NICU")=0,"",SUMIFS(tblDaily[Discharges],tblDaily[EntryDate],DATE(2026,1,21),tblDaily[WardCode],"NICU")),"")</f>
        <v>3</v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>
        <f>IFERROR(IF(SUMIFS(tblDaily[Remaining],tblDaily[EntryDate],DATE(2026,1,21),tblDaily[WardCode],"NICU")=0,"",SUMIFS(tblDaily[Remaining],tblDaily[EntryDate],DATE(2026,1,21),tblDaily[WardCode],"NICU")),"")</f>
        <v>12</v>
      </c>
    </row>
    <row r="28" spans="1:8" x14ac:dyDescent="0.25">
      <c r="A28" s="4">
        <v>22</v>
      </c>
      <c r="B28" s="4">
        <f>IFERROR(IF(SUMIFS(tblDaily[Admissions],tblDaily[EntryDate],DATE(2026,1,22),tblDaily[WardCode],"NICU")=0,"",SUMIFS(tblDaily[Admissions],tblDaily[EntryDate],DATE(2026,1,22),tblDaily[WardCode],"NICU")),"")</f>
        <v>4</v>
      </c>
      <c r="C28" s="4">
        <f>IFERROR(IF(SUMIFS(tblDaily[Discharges],tblDaily[EntryDate],DATE(2026,1,22),tblDaily[WardCode],"NICU")=0,"",SUMIFS(tblDaily[Discharges],tblDaily[EntryDate],DATE(2026,1,22),tblDaily[WardCode],"NICU")),"")</f>
        <v>1</v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>
        <f>IFERROR(IF(SUMIFS(tblDaily[Remaining],tblDaily[EntryDate],DATE(2026,1,22),tblDaily[WardCode],"NICU")=0,"",SUMIFS(tblDaily[Remaining],tblDaily[EntryDate],DATE(2026,1,22),tblDaily[WardCode],"NICU")),"")</f>
        <v>15</v>
      </c>
    </row>
    <row r="29" spans="1:8" x14ac:dyDescent="0.25">
      <c r="A29" s="4">
        <v>23</v>
      </c>
      <c r="B29" s="4">
        <f>IFERROR(IF(SUMIFS(tblDaily[Admissions],tblDaily[EntryDate],DATE(2026,1,23),tblDaily[WardCode],"NICU")=0,"",SUMIFS(tblDaily[Admissions],tblDaily[EntryDate],DATE(2026,1,23),tblDaily[WardCode],"NICU")),"")</f>
        <v>2</v>
      </c>
      <c r="C29" s="4">
        <f>IFERROR(IF(SUMIFS(tblDaily[Discharges],tblDaily[EntryDate],DATE(2026,1,23),tblDaily[WardCode],"NICU")=0,"",SUMIFS(tblDaily[Discharges],tblDaily[EntryDate],DATE(2026,1,23),tblDaily[WardCode],"NICU")),"")</f>
        <v>3</v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>
        <f>IFERROR(IF(SUMIFS(tblDaily[Remaining],tblDaily[EntryDate],DATE(2026,1,23),tblDaily[WardCode],"NICU")=0,"",SUMIFS(tblDaily[Remaining],tblDaily[EntryDate],DATE(2026,1,23),tblDaily[WardCode],"NICU")),"")</f>
        <v>14</v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>
        <f>IFERROR(IF(SUMIFS(tblDaily[Discharges],tblDaily[EntryDate],DATE(2026,1,24),tblDaily[WardCode],"NICU")=0,"",SUMIFS(tblDaily[Discharges],tblDaily[EntryDate],DATE(2026,1,24),tblDaily[WardCode],"NICU")),"")</f>
        <v>3</v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>
        <f>IFERROR(IF(SUMIFS(tblDaily[Remaining],tblDaily[EntryDate],DATE(2026,1,24),tblDaily[WardCode],"NICU")=0,"",SUMIFS(tblDaily[Remaining],tblDaily[EntryDate],DATE(2026,1,24),tblDaily[WardCode],"NICU")),"")</f>
        <v>11</v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>
        <f>IFERROR(IF(SUMIFS(tblDaily[Deaths],tblDaily[EntryDate],DATE(2026,1,25),tblDaily[WardCode],"NICU")=0,"",SUMIFS(tblDaily[Deaths],tblDaily[EntryDate],DATE(2026,1,25),tblDaily[WardCode],"NICU")),"")</f>
        <v>1</v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>
        <f>IFERROR(IF(SUMIFS(tblDaily[Remaining],tblDaily[EntryDate],DATE(2026,1,25),tblDaily[WardCode],"NICU")=0,"",SUMIFS(tblDaily[Remaining],tblDaily[EntryDate],DATE(2026,1,25),tblDaily[WardCode],"NICU")),"")</f>
        <v>10</v>
      </c>
    </row>
    <row r="32" spans="1:8" x14ac:dyDescent="0.25">
      <c r="A32" s="4">
        <v>26</v>
      </c>
      <c r="B32" s="4">
        <f>IFERROR(IF(SUMIFS(tblDaily[Admissions],tblDaily[EntryDate],DATE(2026,1,26),tblDaily[WardCode],"NICU")=0,"",SUMIFS(tblDaily[Admissions],tblDaily[EntryDate],DATE(2026,1,26),tblDaily[WardCode],"NICU")),"")</f>
        <v>2</v>
      </c>
      <c r="C32" s="4">
        <f>IFERROR(IF(SUMIFS(tblDaily[Discharges],tblDaily[EntryDate],DATE(2026,1,26),tblDaily[WardCode],"NICU")=0,"",SUMIFS(tblDaily[Discharges],tblDaily[EntryDate],DATE(2026,1,26),tblDaily[WardCode],"NICU")),"")</f>
        <v>2</v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>
        <f>IFERROR(IF(SUMIFS(tblDaily[Remaining],tblDaily[EntryDate],DATE(2026,1,26),tblDaily[WardCode],"NICU")=0,"",SUMIFS(tblDaily[Remaining],tblDaily[EntryDate],DATE(2026,1,26),tblDaily[WardCode],"NICU")),"")</f>
        <v>10</v>
      </c>
    </row>
    <row r="33" spans="1:8" x14ac:dyDescent="0.25">
      <c r="A33" s="4">
        <v>27</v>
      </c>
      <c r="B33" s="4">
        <f>IFERROR(IF(SUMIFS(tblDaily[Admissions],tblDaily[EntryDate],DATE(2026,1,27),tblDaily[WardCode],"NICU")=0,"",SUMIFS(tblDaily[Admissions],tblDaily[EntryDate],DATE(2026,1,27),tblDaily[WardCode],"NICU")),"")</f>
        <v>3</v>
      </c>
      <c r="C33" s="4">
        <f>IFERROR(IF(SUMIFS(tblDaily[Discharges],tblDaily[EntryDate],DATE(2026,1,27),tblDaily[WardCode],"NICU")=0,"",SUMIFS(tblDaily[Discharges],tblDaily[EntryDate],DATE(2026,1,27),tblDaily[WardCode],"NICU")),"")</f>
        <v>3</v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>
        <f>IFERROR(IF(SUMIFS(tblDaily[Remaining],tblDaily[EntryDate],DATE(2026,1,27),tblDaily[WardCode],"NICU")=0,"",SUMIFS(tblDaily[Remaining],tblDaily[EntryDate],DATE(2026,1,27),tblDaily[WardCode],"NICU")),"")</f>
        <v>10</v>
      </c>
    </row>
    <row r="34" spans="1:8" x14ac:dyDescent="0.25">
      <c r="A34" s="4">
        <v>28</v>
      </c>
      <c r="B34" s="4">
        <f>IFERROR(IF(SUMIFS(tblDaily[Admissions],tblDaily[EntryDate],DATE(2026,1,28),tblDaily[WardCode],"NICU")=0,"",SUMIFS(tblDaily[Admissions],tblDaily[EntryDate],DATE(2026,1,28),tblDaily[WardCode],"NICU")),"")</f>
        <v>1</v>
      </c>
      <c r="C34" s="4">
        <f>IFERROR(IF(SUMIFS(tblDaily[Discharges],tblDaily[EntryDate],DATE(2026,1,28),tblDaily[WardCode],"NICU")=0,"",SUMIFS(tblDaily[Discharges],tblDaily[EntryDate],DATE(2026,1,28),tblDaily[WardCode],"NICU")),"")</f>
        <v>2</v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>
        <f>IFERROR(IF(SUMIFS(tblDaily[Remaining],tblDaily[EntryDate],DATE(2026,1,28),tblDaily[WardCode],"NICU")=0,"",SUMIFS(tblDaily[Remaining],tblDaily[EntryDate],DATE(2026,1,28),tblDaily[WardCode],"NICU")),"")</f>
        <v>9</v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>
        <f>IFERROR(IF(SUMIFS(tblDaily[Deaths],tblDaily[EntryDate],DATE(2026,1,29),tblDaily[WardCode],"NICU")=0,"",SUMIFS(tblDaily[Deaths],tblDaily[EntryDate],DATE(2026,1,29),tblDaily[WardCode],"NICU")),"")</f>
        <v>3</v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>
        <f>IFERROR(IF(SUMIFS(tblDaily[Remaining],tblDaily[EntryDate],DATE(2026,1,29),tblDaily[WardCode],"NICU")=0,"",SUMIFS(tblDaily[Remaining],tblDaily[EntryDate],DATE(2026,1,29),tblDaily[WardCode],"NICU")),"")</f>
        <v>6</v>
      </c>
    </row>
    <row r="36" spans="1:8" x14ac:dyDescent="0.25">
      <c r="A36" s="4">
        <v>30</v>
      </c>
      <c r="B36" s="4">
        <f>IFERROR(IF(SUMIFS(tblDaily[Admissions],tblDaily[EntryDate],DATE(2026,1,30),tblDaily[WardCode],"NICU")=0,"",SUMIFS(tblDaily[Admissions],tblDaily[EntryDate],DATE(2026,1,30),tblDaily[WardCode],"NICU")),"")</f>
        <v>1</v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>
        <f>IFERROR(IF(SUMIFS(tblDaily[Remaining],tblDaily[EntryDate],DATE(2026,1,30),tblDaily[WardCode],"NICU")=0,"",SUMIFS(tblDaily[Remaining],tblDaily[EntryDate],DATE(2026,1,30),tblDaily[WardCode],"NICU")),"")</f>
        <v>7</v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>
        <f>IFERROR(IF(SUMIFS(tblDaily[Remaining],tblDaily[EntryDate],DATE(2026,1,31),tblDaily[WardCode],"NICU")=0,"",SUMIFS(tblDaily[Remaining],tblDaily[EntryDate],DATE(2026,1,31),tblDaily[WardCode],"NICU")),"")</f>
        <v>7</v>
      </c>
    </row>
    <row r="38" spans="1:8" x14ac:dyDescent="0.25">
      <c r="A38" s="9" t="s">
        <v>112</v>
      </c>
      <c r="B38" s="9">
        <f>SUMIFS(tblDaily[Admissions],tblDaily[Month],1,tblDaily[WardCode],"NICU") - SUMIFS(tblDaily[DeathsUnder24Hrs],tblDaily[Month],1,tblDaily[WardCode],"NICU")</f>
        <v>47</v>
      </c>
      <c r="C38" s="9">
        <f>SUMIFS(tblDaily[Discharges],tblDaily[Month],1,tblDaily[WardCode],"NICU")</f>
        <v>46</v>
      </c>
      <c r="D38" s="9">
        <f>SUMIFS(tblDaily[Deaths],tblDaily[Month],1,tblDaily[WardCode],"NICU")</f>
        <v>8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410</v>
      </c>
    </row>
    <row r="40" spans="1:8" ht="18.75" x14ac:dyDescent="0.25">
      <c r="A40" s="28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5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118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IFERROR(SUMIFS(tblDaily[Remaining],tblDaily[EntryDate],DATE(2026,1,31),tblDaily[WardCode],"NICU"),0)</f>
        <v>7</v>
      </c>
    </row>
    <row r="44" spans="1:8" x14ac:dyDescent="0.25">
      <c r="A44" s="1" t="s">
        <v>106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>
        <f>IFERROR(IF(SUMIFS(tblDaily[Discharges],tblDaily[EntryDate],DATE(2026,2,3),tblDaily[WardCode],"NICU")=0,"",SUMIFS(tblDaily[Discharges],tblDaily[EntryDate],DATE(2026,2,3),tblDaily[WardCode],"NICU")),"")</f>
        <v>2</v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>
        <f>IFERROR(IF(SUMIFS(tblDaily[Remaining],tblDaily[EntryDate],DATE(2026,2,3),tblDaily[WardCode],"NICU")=0,"",SUMIFS(tblDaily[Remaining],tblDaily[EntryDate],DATE(2026,2,3),tblDaily[WardCode],"NICU")),"")</f>
        <v>5</v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>
        <f>IFERROR(IF(SUMIFS(tblDaily[Discharges],tblDaily[EntryDate],DATE(2026,2,4),tblDaily[WardCode],"NICU")=0,"",SUMIFS(tblDaily[Discharges],tblDaily[EntryDate],DATE(2026,2,4),tblDaily[WardCode],"NICU")),"")</f>
        <v>2</v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>
        <f>IFERROR(IF(SUMIFS(tblDaily[Remaining],tblDaily[EntryDate],DATE(2026,2,4),tblDaily[WardCode],"NICU")=0,"",SUMIFS(tblDaily[Remaining],tblDaily[EntryDate],DATE(2026,2,4),tblDaily[WardCode],"NICU")),"")</f>
        <v>3</v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SUMIFS(tblDaily[Admissions],tblDaily[Month],2,tblDaily[WardCode],"NICU") - SUMIFS(tblDaily[DeathsUnder24Hrs],tblDaily[Month],2,tblDaily[WardCode],"NICU")</f>
        <v>0</v>
      </c>
      <c r="C77" s="9">
        <f>SUMIFS(tblDaily[Discharges],tblDaily[Month],2,tblDaily[WardCode],"NICU")</f>
        <v>4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8</v>
      </c>
    </row>
    <row r="79" spans="1:8" ht="18.75" x14ac:dyDescent="0.25">
      <c r="A79" s="28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5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118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106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112</v>
      </c>
      <c r="B116" s="9">
        <f>SUMIFS(tblDaily[Admissions],tblDaily[Month],3,tblDaily[WardCode],"NICU") - SUMIFS(tblDaily[DeathsUnder24Hrs],tblDaily[Month],3,tblDaily[WardCode],"NICU")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28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5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118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106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SUMIFS(tblDaily[Admissions],tblDaily[Month],4,tblDaily[WardCode],"NICU") - SUMIFS(tblDaily[DeathsUnder24Hrs],tblDaily[Month],4,tblDaily[WardCode],"NICU")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28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5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118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106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112</v>
      </c>
      <c r="B194" s="9">
        <f>SUMIFS(tblDaily[Admissions],tblDaily[Month],5,tblDaily[WardCode],"NICU") - SUMIFS(tblDaily[DeathsUnder24Hrs],tblDaily[Month],5,tblDaily[WardCode],"NICU")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28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5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118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106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SUMIFS(tblDaily[Admissions],tblDaily[Month],6,tblDaily[WardCode],"NICU") - SUMIFS(tblDaily[DeathsUnder24Hrs],tblDaily[Month],6,tblDaily[WardCode],"NICU")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28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5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118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106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112</v>
      </c>
      <c r="B272" s="9">
        <f>SUMIFS(tblDaily[Admissions],tblDaily[Month],7,tblDaily[WardCode],"NICU") - SUMIFS(tblDaily[DeathsUnder24Hrs],tblDaily[Month],7,tblDaily[WardCode],"NICU")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28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5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118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106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112</v>
      </c>
      <c r="B311" s="9">
        <f>SUMIFS(tblDaily[Admissions],tblDaily[Month],8,tblDaily[WardCode],"NICU") - SUMIFS(tblDaily[DeathsUnder24Hrs],tblDaily[Month],8,tblDaily[WardCode],"NICU")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28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5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118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106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SUMIFS(tblDaily[Admissions],tblDaily[Month],9,tblDaily[WardCode],"NICU") - SUMIFS(tblDaily[DeathsUnder24Hrs],tblDaily[Month],9,tblDaily[WardCode],"NICU")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28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5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118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106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112</v>
      </c>
      <c r="B389" s="9">
        <f>SUMIFS(tblDaily[Admissions],tblDaily[Month],10,tblDaily[WardCode],"NICU") - SUMIFS(tblDaily[DeathsUnder24Hrs],tblDaily[Month],10,tblDaily[WardCode],"NICU")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28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5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118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106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SUMIFS(tblDaily[Admissions],tblDaily[Month],11,tblDaily[WardCode],"NICU") - SUMIFS(tblDaily[DeathsUnder24Hrs],tblDaily[Month],11,tblDaily[WardCode],"NICU")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28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5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118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106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112</v>
      </c>
      <c r="B467" s="9">
        <f>SUMIFS(tblDaily[Admissions],tblDaily[Month],12,tblDaily[WardCode],"NICU") - SUMIFS(tblDaily[DeathsUnder24Hrs],tblDaily[Month],12,tblDaily[WardCode],"NICU")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8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5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119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IFERROR(INDEX(tblWardConfig[PrevYearRemaining],MATCH("MAE",tblWardConfig[WardCode],0)),0)</f>
        <v>9</v>
      </c>
    </row>
    <row r="5" spans="1:8" x14ac:dyDescent="0.25">
      <c r="A5" s="1" t="s">
        <v>106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>
        <f>IFERROR(IF(SUMIFS(tblDaily[Admissions],tblDaily[EntryDate],DATE(2026,1,1),tblDaily[WardCode],"MAE")=0,"",SUMIFS(tblDaily[Admissions],tblDaily[EntryDate],DATE(2026,1,1),tblDaily[WardCode],"MAE")),"")</f>
        <v>3</v>
      </c>
      <c r="C7" s="4">
        <f>IFERROR(IF(SUMIFS(tblDaily[Discharges],tblDaily[EntryDate],DATE(2026,1,1),tblDaily[WardCode],"MAE")=0,"",SUMIFS(tblDaily[Discharges],tblDaily[EntryDate],DATE(2026,1,1),tblDaily[WardCode],"MAE")),"")</f>
        <v>3</v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>
        <f>IFERROR(IF(SUMIFS(tblDaily[TransfersOut],tblDaily[EntryDate],DATE(2026,1,1),tblDaily[WardCode],"MAE")=0,"",SUMIFS(tblDaily[TransfersOut],tblDaily[EntryDate],DATE(2026,1,1),tblDaily[WardCode],"MAE")),"")</f>
        <v>1</v>
      </c>
      <c r="H7" s="4">
        <f>IFERROR(IF(SUMIFS(tblDaily[Remaining],tblDaily[EntryDate],DATE(2026,1,1),tblDaily[WardCode],"MAE")=0,"",SUMIFS(tblDaily[Remaining],tblDaily[EntryDate],DATE(2026,1,1),tblDaily[WardCode],"MAE")),"")</f>
        <v>8</v>
      </c>
    </row>
    <row r="8" spans="1:8" x14ac:dyDescent="0.25">
      <c r="A8" s="4">
        <v>2</v>
      </c>
      <c r="B8" s="4">
        <f>IFERROR(IF(SUMIFS(tblDaily[Admissions],tblDaily[EntryDate],DATE(2026,1,2),tblDaily[WardCode],"MAE")=0,"",SUMIFS(tblDaily[Admissions],tblDaily[EntryDate],DATE(2026,1,2),tblDaily[WardCode],"MAE")),"")</f>
        <v>4</v>
      </c>
      <c r="C8" s="4">
        <f>IFERROR(IF(SUMIFS(tblDaily[Discharges],tblDaily[EntryDate],DATE(2026,1,2),tblDaily[WardCode],"MAE")=0,"",SUMIFS(tblDaily[Discharges],tblDaily[EntryDate],DATE(2026,1,2),tblDaily[WardCode],"MAE")),"")</f>
        <v>3</v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>
        <f>IFERROR(IF(SUMIFS(tblDaily[Remaining],tblDaily[EntryDate],DATE(2026,1,2),tblDaily[WardCode],"MAE")=0,"",SUMIFS(tblDaily[Remaining],tblDaily[EntryDate],DATE(2026,1,2),tblDaily[WardCode],"MAE")),"")</f>
        <v>9</v>
      </c>
    </row>
    <row r="9" spans="1:8" x14ac:dyDescent="0.25">
      <c r="A9" s="4">
        <v>3</v>
      </c>
      <c r="B9" s="4">
        <f>IFERROR(IF(SUMIFS(tblDaily[Admissions],tblDaily[EntryDate],DATE(2026,1,3),tblDaily[WardCode],"MAE")=0,"",SUMIFS(tblDaily[Admissions],tblDaily[EntryDate],DATE(2026,1,3),tblDaily[WardCode],"MAE")),"")</f>
        <v>5</v>
      </c>
      <c r="C9" s="4">
        <f>IFERROR(IF(SUMIFS(tblDaily[Discharges],tblDaily[EntryDate],DATE(2026,1,3),tblDaily[WardCode],"MAE")=0,"",SUMIFS(tblDaily[Discharges],tblDaily[EntryDate],DATE(2026,1,3),tblDaily[WardCode],"MAE")),"")</f>
        <v>2</v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>
        <f>IFERROR(IF(SUMIFS(tblDaily[TransfersOut],tblDaily[EntryDate],DATE(2026,1,3),tblDaily[WardCode],"MAE")=0,"",SUMIFS(tblDaily[TransfersOut],tblDaily[EntryDate],DATE(2026,1,3),tblDaily[WardCode],"MAE")),"")</f>
        <v>2</v>
      </c>
      <c r="H9" s="4">
        <f>IFERROR(IF(SUMIFS(tblDaily[Remaining],tblDaily[EntryDate],DATE(2026,1,3),tblDaily[WardCode],"MAE")=0,"",SUMIFS(tblDaily[Remaining],tblDaily[EntryDate],DATE(2026,1,3),tblDaily[WardCode],"MAE")),"")</f>
        <v>10</v>
      </c>
    </row>
    <row r="10" spans="1:8" x14ac:dyDescent="0.25">
      <c r="A10" s="4">
        <v>4</v>
      </c>
      <c r="B10" s="4">
        <f>IFERROR(IF(SUMIFS(tblDaily[Admissions],tblDaily[EntryDate],DATE(2026,1,4),tblDaily[WardCode],"MAE")=0,"",SUMIFS(tblDaily[Admissions],tblDaily[EntryDate],DATE(2026,1,4),tblDaily[WardCode],"MAE")),"")</f>
        <v>4</v>
      </c>
      <c r="C10" s="4">
        <f>IFERROR(IF(SUMIFS(tblDaily[Discharges],tblDaily[EntryDate],DATE(2026,1,4),tblDaily[WardCode],"MAE")=0,"",SUMIFS(tblDaily[Discharges],tblDaily[EntryDate],DATE(2026,1,4),tblDaily[WardCode],"MAE")),"")</f>
        <v>1</v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>
        <f>IFERROR(IF(SUMIFS(tblDaily[DeathsUnder24Hrs],tblDaily[EntryDate],DATE(2026,1,4),tblDaily[WardCode],"MAE")=0,"",SUMIFS(tblDaily[DeathsUnder24Hrs],tblDaily[EntryDate],DATE(2026,1,4),tblDaily[WardCode],"MAE")),"")</f>
        <v>1</v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>
        <f>IFERROR(IF(SUMIFS(tblDaily[TransfersOut],tblDaily[EntryDate],DATE(2026,1,4),tblDaily[WardCode],"MAE")=0,"",SUMIFS(tblDaily[TransfersOut],tblDaily[EntryDate],DATE(2026,1,4),tblDaily[WardCode],"MAE")),"")</f>
        <v>3</v>
      </c>
      <c r="H10" s="4">
        <f>IFERROR(IF(SUMIFS(tblDaily[Remaining],tblDaily[EntryDate],DATE(2026,1,4),tblDaily[WardCode],"MAE")=0,"",SUMIFS(tblDaily[Remaining],tblDaily[EntryDate],DATE(2026,1,4),tblDaily[WardCode],"MAE")),"")</f>
        <v>9</v>
      </c>
    </row>
    <row r="11" spans="1:8" x14ac:dyDescent="0.25">
      <c r="A11" s="4">
        <v>5</v>
      </c>
      <c r="B11" s="4">
        <f>IFERROR(IF(SUMIFS(tblDaily[Admissions],tblDaily[EntryDate],DATE(2026,1,5),tblDaily[WardCode],"MAE")=0,"",SUMIFS(tblDaily[Admissions],tblDaily[EntryDate],DATE(2026,1,5),tblDaily[WardCode],"MAE")),"")</f>
        <v>1</v>
      </c>
      <c r="C11" s="4">
        <f>IFERROR(IF(SUMIFS(tblDaily[Discharges],tblDaily[EntryDate],DATE(2026,1,5),tblDaily[WardCode],"MAE")=0,"",SUMIFS(tblDaily[Discharges],tblDaily[EntryDate],DATE(2026,1,5),tblDaily[WardCode],"MAE")),"")</f>
        <v>8</v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>
        <f>IFERROR(IF(SUMIFS(tblDaily[Remaining],tblDaily[EntryDate],DATE(2026,1,5),tblDaily[WardCode],"MAE")=0,"",SUMIFS(tblDaily[Remaining],tblDaily[EntryDate],DATE(2026,1,5),tblDaily[WardCode],"MAE")),"")</f>
        <v>2</v>
      </c>
    </row>
    <row r="12" spans="1:8" x14ac:dyDescent="0.25">
      <c r="A12" s="4">
        <v>6</v>
      </c>
      <c r="B12" s="4">
        <f>IFERROR(IF(SUMIFS(tblDaily[Admissions],tblDaily[EntryDate],DATE(2026,1,6),tblDaily[WardCode],"MAE")=0,"",SUMIFS(tblDaily[Admissions],tblDaily[EntryDate],DATE(2026,1,6),tblDaily[WardCode],"MAE")),"")</f>
        <v>2</v>
      </c>
      <c r="C12" s="4">
        <f>IFERROR(IF(SUMIFS(tblDaily[Discharges],tblDaily[EntryDate],DATE(2026,1,6),tblDaily[WardCode],"MAE")=0,"",SUMIFS(tblDaily[Discharges],tblDaily[EntryDate],DATE(2026,1,6),tblDaily[WardCode],"MAE")),"")</f>
        <v>1</v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>
        <f>IFERROR(IF(SUMIFS(tblDaily[TransfersOut],tblDaily[EntryDate],DATE(2026,1,6),tblDaily[WardCode],"MAE")=0,"",SUMIFS(tblDaily[TransfersOut],tblDaily[EntryDate],DATE(2026,1,6),tblDaily[WardCode],"MAE")),"")</f>
        <v>2</v>
      </c>
      <c r="H12" s="4">
        <f>IFERROR(IF(SUMIFS(tblDaily[Remaining],tblDaily[EntryDate],DATE(2026,1,6),tblDaily[WardCode],"MAE")=0,"",SUMIFS(tblDaily[Remaining],tblDaily[EntryDate],DATE(2026,1,6),tblDaily[WardCode],"MAE")),"")</f>
        <v>1</v>
      </c>
    </row>
    <row r="13" spans="1:8" x14ac:dyDescent="0.25">
      <c r="A13" s="4">
        <v>7</v>
      </c>
      <c r="B13" s="4">
        <f>IFERROR(IF(SUMIFS(tblDaily[Admissions],tblDaily[EntryDate],DATE(2026,1,7),tblDaily[WardCode],"MAE")=0,"",SUMIFS(tblDaily[Admissions],tblDaily[EntryDate],DATE(2026,1,7),tblDaily[WardCode],"MAE")),"")</f>
        <v>3</v>
      </c>
      <c r="C13" s="4">
        <f>IFERROR(IF(SUMIFS(tblDaily[Discharges],tblDaily[EntryDate],DATE(2026,1,7),tblDaily[WardCode],"MAE")=0,"",SUMIFS(tblDaily[Discharges],tblDaily[EntryDate],DATE(2026,1,7),tblDaily[WardCode],"MAE")),"")</f>
        <v>1</v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>
        <f>IFERROR(IF(SUMIFS(tblDaily[TransfersOut],tblDaily[EntryDate],DATE(2026,1,7),tblDaily[WardCode],"MAE")=0,"",SUMIFS(tblDaily[TransfersOut],tblDaily[EntryDate],DATE(2026,1,7),tblDaily[WardCode],"MAE")),"")</f>
        <v>1</v>
      </c>
      <c r="H13" s="4">
        <f>IFERROR(IF(SUMIFS(tblDaily[Remaining],tblDaily[EntryDate],DATE(2026,1,7),tblDaily[WardCode],"MAE")=0,"",SUMIFS(tblDaily[Remaining],tblDaily[EntryDate],DATE(2026,1,7),tblDaily[WardCode],"MAE")),"")</f>
        <v>2</v>
      </c>
    </row>
    <row r="14" spans="1:8" x14ac:dyDescent="0.25">
      <c r="A14" s="4">
        <v>8</v>
      </c>
      <c r="B14" s="4">
        <f>IFERROR(IF(SUMIFS(tblDaily[Admissions],tblDaily[EntryDate],DATE(2026,1,8),tblDaily[WardCode],"MAE")=0,"",SUMIFS(tblDaily[Admissions],tblDaily[EntryDate],DATE(2026,1,8),tblDaily[WardCode],"MAE")),"")</f>
        <v>5</v>
      </c>
      <c r="C14" s="4">
        <f>IFERROR(IF(SUMIFS(tblDaily[Discharges],tblDaily[EntryDate],DATE(2026,1,8),tblDaily[WardCode],"MAE")=0,"",SUMIFS(tblDaily[Discharges],tblDaily[EntryDate],DATE(2026,1,8),tblDaily[WardCode],"MAE")),"")</f>
        <v>1</v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>
        <f>IFERROR(IF(SUMIFS(tblDaily[Remaining],tblDaily[EntryDate],DATE(2026,1,8),tblDaily[WardCode],"MAE")=0,"",SUMIFS(tblDaily[Remaining],tblDaily[EntryDate],DATE(2026,1,8),tblDaily[WardCode],"MAE")),"")</f>
        <v>6</v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>
        <f>IFERROR(IF(SUMIFS(tblDaily[Discharges],tblDaily[EntryDate],DATE(2026,1,9),tblDaily[WardCode],"MAE")=0,"",SUMIFS(tblDaily[Discharges],tblDaily[EntryDate],DATE(2026,1,9),tblDaily[WardCode],"MAE")),"")</f>
        <v>2</v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>
        <f>IFERROR(IF(SUMIFS(tblDaily[TransfersOut],tblDaily[EntryDate],DATE(2026,1,9),tblDaily[WardCode],"MAE")=0,"",SUMIFS(tblDaily[TransfersOut],tblDaily[EntryDate],DATE(2026,1,9),tblDaily[WardCode],"MAE")),"")</f>
        <v>2</v>
      </c>
      <c r="H15" s="4">
        <f>IFERROR(IF(SUMIFS(tblDaily[Remaining],tblDaily[EntryDate],DATE(2026,1,9),tblDaily[WardCode],"MAE")=0,"",SUMIFS(tblDaily[Remaining],tblDaily[EntryDate],DATE(2026,1,9),tblDaily[WardCode],"MAE")),"")</f>
        <v>2</v>
      </c>
    </row>
    <row r="16" spans="1:8" x14ac:dyDescent="0.25">
      <c r="A16" s="4">
        <v>10</v>
      </c>
      <c r="B16" s="4">
        <f>IFERROR(IF(SUMIFS(tblDaily[Admissions],tblDaily[EntryDate],DATE(2026,1,10),tblDaily[WardCode],"MAE")=0,"",SUMIFS(tblDaily[Admissions],tblDaily[EntryDate],DATE(2026,1,10),tblDaily[WardCode],"MAE")),"")</f>
        <v>2</v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>
        <f>IFERROR(IF(SUMIFS(tblDaily[Remaining],tblDaily[EntryDate],DATE(2026,1,10),tblDaily[WardCode],"MAE")=0,"",SUMIFS(tblDaily[Remaining],tblDaily[EntryDate],DATE(2026,1,10),tblDaily[WardCode],"MAE")),"")</f>
        <v>4</v>
      </c>
    </row>
    <row r="17" spans="1:8" x14ac:dyDescent="0.25">
      <c r="A17" s="4">
        <v>11</v>
      </c>
      <c r="B17" s="4">
        <f>IFERROR(IF(SUMIFS(tblDaily[Admissions],tblDaily[EntryDate],DATE(2026,1,11),tblDaily[WardCode],"MAE")=0,"",SUMIFS(tblDaily[Admissions],tblDaily[EntryDate],DATE(2026,1,11),tblDaily[WardCode],"MAE")),"")</f>
        <v>4</v>
      </c>
      <c r="C17" s="4">
        <f>IFERROR(IF(SUMIFS(tblDaily[Discharges],tblDaily[EntryDate],DATE(2026,1,11),tblDaily[WardCode],"MAE")=0,"",SUMIFS(tblDaily[Discharges],tblDaily[EntryDate],DATE(2026,1,11),tblDaily[WardCode],"MAE")),"")</f>
        <v>1</v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>
        <f>IFERROR(IF(SUMIFS(tblDaily[TransfersOut],tblDaily[EntryDate],DATE(2026,1,11),tblDaily[WardCode],"MAE")=0,"",SUMIFS(tblDaily[TransfersOut],tblDaily[EntryDate],DATE(2026,1,11),tblDaily[WardCode],"MAE")),"")</f>
        <v>4</v>
      </c>
      <c r="H17" s="4">
        <f>IFERROR(IF(SUMIFS(tblDaily[Remaining],tblDaily[EntryDate],DATE(2026,1,11),tblDaily[WardCode],"MAE")=0,"",SUMIFS(tblDaily[Remaining],tblDaily[EntryDate],DATE(2026,1,11),tblDaily[WardCode],"MAE")),"")</f>
        <v>3</v>
      </c>
    </row>
    <row r="18" spans="1:8" x14ac:dyDescent="0.25">
      <c r="A18" s="4">
        <v>12</v>
      </c>
      <c r="B18" s="4">
        <f>IFERROR(IF(SUMIFS(tblDaily[Admissions],tblDaily[EntryDate],DATE(2026,1,12),tblDaily[WardCode],"MAE")=0,"",SUMIFS(tblDaily[Admissions],tblDaily[EntryDate],DATE(2026,1,12),tblDaily[WardCode],"MAE")),"")</f>
        <v>1</v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>
        <f>IFERROR(IF(SUMIFS(tblDaily[TransfersOut],tblDaily[EntryDate],DATE(2026,1,12),tblDaily[WardCode],"MAE")=0,"",SUMIFS(tblDaily[TransfersOut],tblDaily[EntryDate],DATE(2026,1,12),tblDaily[WardCode],"MAE")),"")</f>
        <v>3</v>
      </c>
      <c r="H18" s="4">
        <f>IFERROR(IF(SUMIFS(tblDaily[Remaining],tblDaily[EntryDate],DATE(2026,1,12),tblDaily[WardCode],"MAE")=0,"",SUMIFS(tblDaily[Remaining],tblDaily[EntryDate],DATE(2026,1,12),tblDaily[WardCode],"MAE")),"")</f>
        <v>1</v>
      </c>
    </row>
    <row r="19" spans="1:8" x14ac:dyDescent="0.25">
      <c r="A19" s="4">
        <v>13</v>
      </c>
      <c r="B19" s="4">
        <f>IFERROR(IF(SUMIFS(tblDaily[Admissions],tblDaily[EntryDate],DATE(2026,1,13),tblDaily[WardCode],"MAE")=0,"",SUMIFS(tblDaily[Admissions],tblDaily[EntryDate],DATE(2026,1,13),tblDaily[WardCode],"MAE")),"")</f>
        <v>4</v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>
        <f>IFERROR(IF(SUMIFS(tblDaily[TransfersOut],tblDaily[EntryDate],DATE(2026,1,13),tblDaily[WardCode],"MAE")=0,"",SUMIFS(tblDaily[TransfersOut],tblDaily[EntryDate],DATE(2026,1,13),tblDaily[WardCode],"MAE")),"")</f>
        <v>2</v>
      </c>
      <c r="H19" s="4">
        <f>IFERROR(IF(SUMIFS(tblDaily[Remaining],tblDaily[EntryDate],DATE(2026,1,13),tblDaily[WardCode],"MAE")=0,"",SUMIFS(tblDaily[Remaining],tblDaily[EntryDate],DATE(2026,1,13),tblDaily[WardCode],"MAE")),"")</f>
        <v>3</v>
      </c>
    </row>
    <row r="20" spans="1:8" x14ac:dyDescent="0.25">
      <c r="A20" s="4">
        <v>14</v>
      </c>
      <c r="B20" s="4">
        <f>IFERROR(IF(SUMIFS(tblDaily[Admissions],tblDaily[EntryDate],DATE(2026,1,14),tblDaily[WardCode],"MAE")=0,"",SUMIFS(tblDaily[Admissions],tblDaily[EntryDate],DATE(2026,1,14),tblDaily[WardCode],"MAE")),"")</f>
        <v>4</v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>
        <f>IFERROR(IF(SUMIFS(tblDaily[TransfersOut],tblDaily[EntryDate],DATE(2026,1,14),tblDaily[WardCode],"MAE")=0,"",SUMIFS(tblDaily[TransfersOut],tblDaily[EntryDate],DATE(2026,1,14),tblDaily[WardCode],"MAE")),"")</f>
        <v>1</v>
      </c>
      <c r="H20" s="4">
        <f>IFERROR(IF(SUMIFS(tblDaily[Remaining],tblDaily[EntryDate],DATE(2026,1,14),tblDaily[WardCode],"MAE")=0,"",SUMIFS(tblDaily[Remaining],tblDaily[EntryDate],DATE(2026,1,14),tblDaily[WardCode],"MAE")),"")</f>
        <v>6</v>
      </c>
    </row>
    <row r="21" spans="1:8" x14ac:dyDescent="0.25">
      <c r="A21" s="4">
        <v>15</v>
      </c>
      <c r="B21" s="4">
        <f>IFERROR(IF(SUMIFS(tblDaily[Admissions],tblDaily[EntryDate],DATE(2026,1,15),tblDaily[WardCode],"MAE")=0,"",SUMIFS(tblDaily[Admissions],tblDaily[EntryDate],DATE(2026,1,15),tblDaily[WardCode],"MAE")),"")</f>
        <v>1</v>
      </c>
      <c r="C21" s="4">
        <f>IFERROR(IF(SUMIFS(tblDaily[Discharges],tblDaily[EntryDate],DATE(2026,1,15),tblDaily[WardCode],"MAE")=0,"",SUMIFS(tblDaily[Discharges],tblDaily[EntryDate],DATE(2026,1,15),tblDaily[WardCode],"MAE")),"")</f>
        <v>2</v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>
        <f>IFERROR(IF(SUMIFS(tblDaily[Remaining],tblDaily[EntryDate],DATE(2026,1,15),tblDaily[WardCode],"MAE")=0,"",SUMIFS(tblDaily[Remaining],tblDaily[EntryDate],DATE(2026,1,15),tblDaily[WardCode],"MAE")),"")</f>
        <v>5</v>
      </c>
    </row>
    <row r="22" spans="1:8" x14ac:dyDescent="0.25">
      <c r="A22" s="4">
        <v>16</v>
      </c>
      <c r="B22" s="4">
        <f>IFERROR(IF(SUMIFS(tblDaily[Admissions],tblDaily[EntryDate],DATE(2026,1,16),tblDaily[WardCode],"MAE")=0,"",SUMIFS(tblDaily[Admissions],tblDaily[EntryDate],DATE(2026,1,16),tblDaily[WardCode],"MAE")),"")</f>
        <v>6</v>
      </c>
      <c r="C22" s="4">
        <f>IFERROR(IF(SUMIFS(tblDaily[Discharges],tblDaily[EntryDate],DATE(2026,1,16),tblDaily[WardCode],"MAE")=0,"",SUMIFS(tblDaily[Discharges],tblDaily[EntryDate],DATE(2026,1,16),tblDaily[WardCode],"MAE")),"")</f>
        <v>1</v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>
        <f>IFERROR(IF(SUMIFS(tblDaily[DeathsUnder24Hrs],tblDaily[EntryDate],DATE(2026,1,16),tblDaily[WardCode],"MAE")=0,"",SUMIFS(tblDaily[DeathsUnder24Hrs],tblDaily[EntryDate],DATE(2026,1,16),tblDaily[WardCode],"MAE")),"")</f>
        <v>1</v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>
        <f>IFERROR(IF(SUMIFS(tblDaily[Remaining],tblDaily[EntryDate],DATE(2026,1,16),tblDaily[WardCode],"MAE")=0,"",SUMIFS(tblDaily[Remaining],tblDaily[EntryDate],DATE(2026,1,16),tblDaily[WardCode],"MAE")),"")</f>
        <v>9</v>
      </c>
    </row>
    <row r="23" spans="1:8" x14ac:dyDescent="0.25">
      <c r="A23" s="4">
        <v>17</v>
      </c>
      <c r="B23" s="4">
        <f>IFERROR(IF(SUMIFS(tblDaily[Admissions],tblDaily[EntryDate],DATE(2026,1,17),tblDaily[WardCode],"MAE")=0,"",SUMIFS(tblDaily[Admissions],tblDaily[EntryDate],DATE(2026,1,17),tblDaily[WardCode],"MAE")),"")</f>
        <v>3</v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>
        <f>IFERROR(IF(SUMIFS(tblDaily[TransfersOut],tblDaily[EntryDate],DATE(2026,1,17),tblDaily[WardCode],"MAE")=0,"",SUMIFS(tblDaily[TransfersOut],tblDaily[EntryDate],DATE(2026,1,17),tblDaily[WardCode],"MAE")),"")</f>
        <v>3</v>
      </c>
      <c r="H23" s="4">
        <f>IFERROR(IF(SUMIFS(tblDaily[Remaining],tblDaily[EntryDate],DATE(2026,1,17),tblDaily[WardCode],"MAE")=0,"",SUMIFS(tblDaily[Remaining],tblDaily[EntryDate],DATE(2026,1,17),tblDaily[WardCode],"MAE")),"")</f>
        <v>9</v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>
        <f>IFERROR(IF(SUMIFS(tblDaily[Discharges],tblDaily[EntryDate],DATE(2026,1,18),tblDaily[WardCode],"MAE")=0,"",SUMIFS(tblDaily[Discharges],tblDaily[EntryDate],DATE(2026,1,18),tblDaily[WardCode],"MAE")),"")</f>
        <v>1</v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>
        <f>IFERROR(IF(SUMIFS(tblDaily[TransfersOut],tblDaily[EntryDate],DATE(2026,1,18),tblDaily[WardCode],"MAE")=0,"",SUMIFS(tblDaily[TransfersOut],tblDaily[EntryDate],DATE(2026,1,18),tblDaily[WardCode],"MAE")),"")</f>
        <v>2</v>
      </c>
      <c r="H24" s="4">
        <f>IFERROR(IF(SUMIFS(tblDaily[Remaining],tblDaily[EntryDate],DATE(2026,1,18),tblDaily[WardCode],"MAE")=0,"",SUMIFS(tblDaily[Remaining],tblDaily[EntryDate],DATE(2026,1,18),tblDaily[WardCode],"MAE")),"")</f>
        <v>6</v>
      </c>
    </row>
    <row r="25" spans="1:8" x14ac:dyDescent="0.25">
      <c r="A25" s="4">
        <v>19</v>
      </c>
      <c r="B25" s="4">
        <f>IFERROR(IF(SUMIFS(tblDaily[Admissions],tblDaily[EntryDate],DATE(2026,1,19),tblDaily[WardCode],"MAE")=0,"",SUMIFS(tblDaily[Admissions],tblDaily[EntryDate],DATE(2026,1,19),tblDaily[WardCode],"MAE")),"")</f>
        <v>2</v>
      </c>
      <c r="C25" s="4">
        <f>IFERROR(IF(SUMIFS(tblDaily[Discharges],tblDaily[EntryDate],DATE(2026,1,19),tblDaily[WardCode],"MAE")=0,"",SUMIFS(tblDaily[Discharges],tblDaily[EntryDate],DATE(2026,1,19),tblDaily[WardCode],"MAE")),"")</f>
        <v>4</v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>
        <f>IFERROR(IF(SUMIFS(tblDaily[DeathsUnder24Hrs],tblDaily[EntryDate],DATE(2026,1,19),tblDaily[WardCode],"MAE")=0,"",SUMIFS(tblDaily[DeathsUnder24Hrs],tblDaily[EntryDate],DATE(2026,1,19),tblDaily[WardCode],"MAE")),"")</f>
        <v>1</v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>
        <f>IFERROR(IF(SUMIFS(tblDaily[Remaining],tblDaily[EntryDate],DATE(2026,1,19),tblDaily[WardCode],"MAE")=0,"",SUMIFS(tblDaily[Remaining],tblDaily[EntryDate],DATE(2026,1,19),tblDaily[WardCode],"MAE")),"")</f>
        <v>3</v>
      </c>
    </row>
    <row r="26" spans="1:8" x14ac:dyDescent="0.25">
      <c r="A26" s="4">
        <v>20</v>
      </c>
      <c r="B26" s="4">
        <f>IFERROR(IF(SUMIFS(tblDaily[Admissions],tblDaily[EntryDate],DATE(2026,1,20),tblDaily[WardCode],"MAE")=0,"",SUMIFS(tblDaily[Admissions],tblDaily[EntryDate],DATE(2026,1,20),tblDaily[WardCode],"MAE")),"")</f>
        <v>7</v>
      </c>
      <c r="C26" s="4">
        <f>IFERROR(IF(SUMIFS(tblDaily[Discharges],tblDaily[EntryDate],DATE(2026,1,20),tblDaily[WardCode],"MAE")=0,"",SUMIFS(tblDaily[Discharges],tblDaily[EntryDate],DATE(2026,1,20),tblDaily[WardCode],"MAE")),"")</f>
        <v>3</v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>
        <f>IFERROR(IF(SUMIFS(tblDaily[TransfersOut],tblDaily[EntryDate],DATE(2026,1,20),tblDaily[WardCode],"MAE")=0,"",SUMIFS(tblDaily[TransfersOut],tblDaily[EntryDate],DATE(2026,1,20),tblDaily[WardCode],"MAE")),"")</f>
        <v>1</v>
      </c>
      <c r="H26" s="4">
        <f>IFERROR(IF(SUMIFS(tblDaily[Remaining],tblDaily[EntryDate],DATE(2026,1,20),tblDaily[WardCode],"MAE")=0,"",SUMIFS(tblDaily[Remaining],tblDaily[EntryDate],DATE(2026,1,20),tblDaily[WardCode],"MAE")),"")</f>
        <v>6</v>
      </c>
    </row>
    <row r="27" spans="1:8" x14ac:dyDescent="0.25">
      <c r="A27" s="4">
        <v>21</v>
      </c>
      <c r="B27" s="4">
        <f>IFERROR(IF(SUMIFS(tblDaily[Admissions],tblDaily[EntryDate],DATE(2026,1,21),tblDaily[WardCode],"MAE")=0,"",SUMIFS(tblDaily[Admissions],tblDaily[EntryDate],DATE(2026,1,21),tblDaily[WardCode],"MAE")),"")</f>
        <v>1</v>
      </c>
      <c r="C27" s="4">
        <f>IFERROR(IF(SUMIFS(tblDaily[Discharges],tblDaily[EntryDate],DATE(2026,1,21),tblDaily[WardCode],"MAE")=0,"",SUMIFS(tblDaily[Discharges],tblDaily[EntryDate],DATE(2026,1,21),tblDaily[WardCode],"MAE")),"")</f>
        <v>2</v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>
        <f>IFERROR(IF(SUMIFS(tblDaily[TransfersOut],tblDaily[EntryDate],DATE(2026,1,21),tblDaily[WardCode],"MAE")=0,"",SUMIFS(tblDaily[TransfersOut],tblDaily[EntryDate],DATE(2026,1,21),tblDaily[WardCode],"MAE")),"")</f>
        <v>1</v>
      </c>
      <c r="H27" s="4">
        <f>IFERROR(IF(SUMIFS(tblDaily[Remaining],tblDaily[EntryDate],DATE(2026,1,21),tblDaily[WardCode],"MAE")=0,"",SUMIFS(tblDaily[Remaining],tblDaily[EntryDate],DATE(2026,1,21),tblDaily[WardCode],"MAE")),"")</f>
        <v>4</v>
      </c>
    </row>
    <row r="28" spans="1:8" x14ac:dyDescent="0.25">
      <c r="A28" s="4">
        <v>22</v>
      </c>
      <c r="B28" s="4">
        <f>IFERROR(IF(SUMIFS(tblDaily[Admissions],tblDaily[EntryDate],DATE(2026,1,22),tblDaily[WardCode],"MAE")=0,"",SUMIFS(tblDaily[Admissions],tblDaily[EntryDate],DATE(2026,1,22),tblDaily[WardCode],"MAE")),"")</f>
        <v>5</v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>
        <f>IFERROR(IF(SUMIFS(tblDaily[TransfersOut],tblDaily[EntryDate],DATE(2026,1,22),tblDaily[WardCode],"MAE")=0,"",SUMIFS(tblDaily[TransfersOut],tblDaily[EntryDate],DATE(2026,1,22),tblDaily[WardCode],"MAE")),"")</f>
        <v>3</v>
      </c>
      <c r="H28" s="4">
        <f>IFERROR(IF(SUMIFS(tblDaily[Remaining],tblDaily[EntryDate],DATE(2026,1,22),tblDaily[WardCode],"MAE")=0,"",SUMIFS(tblDaily[Remaining],tblDaily[EntryDate],DATE(2026,1,22),tblDaily[WardCode],"MAE")),"")</f>
        <v>6</v>
      </c>
    </row>
    <row r="29" spans="1:8" x14ac:dyDescent="0.25">
      <c r="A29" s="4">
        <v>23</v>
      </c>
      <c r="B29" s="4">
        <f>IFERROR(IF(SUMIFS(tblDaily[Admissions],tblDaily[EntryDate],DATE(2026,1,23),tblDaily[WardCode],"MAE")=0,"",SUMIFS(tblDaily[Admissions],tblDaily[EntryDate],DATE(2026,1,23),tblDaily[WardCode],"MAE")),"")</f>
        <v>4</v>
      </c>
      <c r="C29" s="4">
        <f>IFERROR(IF(SUMIFS(tblDaily[Discharges],tblDaily[EntryDate],DATE(2026,1,23),tblDaily[WardCode],"MAE")=0,"",SUMIFS(tblDaily[Discharges],tblDaily[EntryDate],DATE(2026,1,23),tblDaily[WardCode],"MAE")),"")</f>
        <v>1</v>
      </c>
      <c r="D29" s="4">
        <f>IFERROR(IF(SUMIFS(tblDaily[Deaths],tblDaily[EntryDate],DATE(2026,1,23),tblDaily[WardCode],"MAE")=0,"",SUMIFS(tblDaily[Deaths],tblDaily[EntryDate],DATE(2026,1,23),tblDaily[WardCode],"MAE")),"")</f>
        <v>1</v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>
        <f>IFERROR(IF(SUMIFS(tblDaily[TransfersOut],tblDaily[EntryDate],DATE(2026,1,23),tblDaily[WardCode],"MAE")=0,"",SUMIFS(tblDaily[TransfersOut],tblDaily[EntryDate],DATE(2026,1,23),tblDaily[WardCode],"MAE")),"")</f>
        <v>2</v>
      </c>
      <c r="H29" s="4">
        <f>IFERROR(IF(SUMIFS(tblDaily[Remaining],tblDaily[EntryDate],DATE(2026,1,23),tblDaily[WardCode],"MAE")=0,"",SUMIFS(tblDaily[Remaining],tblDaily[EntryDate],DATE(2026,1,23),tblDaily[WardCode],"MAE")),"")</f>
        <v>6</v>
      </c>
    </row>
    <row r="30" spans="1:8" x14ac:dyDescent="0.25">
      <c r="A30" s="4">
        <v>24</v>
      </c>
      <c r="B30" s="4">
        <f>IFERROR(IF(SUMIFS(tblDaily[Admissions],tblDaily[EntryDate],DATE(2026,1,24),tblDaily[WardCode],"MAE")=0,"",SUMIFS(tblDaily[Admissions],tblDaily[EntryDate],DATE(2026,1,24),tblDaily[WardCode],"MAE")),"")</f>
        <v>3</v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>
        <f>IFERROR(IF(SUMIFS(tblDaily[Deaths],tblDaily[EntryDate],DATE(2026,1,24),tblDaily[WardCode],"MAE")=0,"",SUMIFS(tblDaily[Deaths],tblDaily[EntryDate],DATE(2026,1,24),tblDaily[WardCode],"MAE")),"")</f>
        <v>1</v>
      </c>
      <c r="E30" s="4">
        <f>IFERROR(IF(SUMIFS(tblDaily[DeathsUnder24Hrs],tblDaily[EntryDate],DATE(2026,1,24),tblDaily[WardCode],"MAE")=0,"",SUMIFS(tblDaily[DeathsUnder24Hrs],tblDaily[EntryDate],DATE(2026,1,24),tblDaily[WardCode],"MAE")),"")</f>
        <v>1</v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>
        <f>IFERROR(IF(SUMIFS(tblDaily[TransfersOut],tblDaily[EntryDate],DATE(2026,1,24),tblDaily[WardCode],"MAE")=0,"",SUMIFS(tblDaily[TransfersOut],tblDaily[EntryDate],DATE(2026,1,24),tblDaily[WardCode],"MAE")),"")</f>
        <v>2</v>
      </c>
      <c r="H30" s="4">
        <f>IFERROR(IF(SUMIFS(tblDaily[Remaining],tblDaily[EntryDate],DATE(2026,1,24),tblDaily[WardCode],"MAE")=0,"",SUMIFS(tblDaily[Remaining],tblDaily[EntryDate],DATE(2026,1,24),tblDaily[WardCode],"MAE")),"")</f>
        <v>5</v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>
        <f>IFERROR(IF(SUMIFS(tblDaily[Discharges],tblDaily[EntryDate],DATE(2026,1,25),tblDaily[WardCode],"MAE")=0,"",SUMIFS(tblDaily[Discharges],tblDaily[EntryDate],DATE(2026,1,25),tblDaily[WardCode],"MAE")),"")</f>
        <v>1</v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>
        <f>IFERROR(IF(SUMIFS(tblDaily[TransfersOut],tblDaily[EntryDate],DATE(2026,1,25),tblDaily[WardCode],"MAE")=0,"",SUMIFS(tblDaily[TransfersOut],tblDaily[EntryDate],DATE(2026,1,25),tblDaily[WardCode],"MAE")),"")</f>
        <v>2</v>
      </c>
      <c r="H31" s="4">
        <f>IFERROR(IF(SUMIFS(tblDaily[Remaining],tblDaily[EntryDate],DATE(2026,1,25),tblDaily[WardCode],"MAE")=0,"",SUMIFS(tblDaily[Remaining],tblDaily[EntryDate],DATE(2026,1,25),tblDaily[WardCode],"MAE")),"")</f>
        <v>2</v>
      </c>
    </row>
    <row r="32" spans="1:8" x14ac:dyDescent="0.25">
      <c r="A32" s="4">
        <v>26</v>
      </c>
      <c r="B32" s="4">
        <f>IFERROR(IF(SUMIFS(tblDaily[Admissions],tblDaily[EntryDate],DATE(2026,1,26),tblDaily[WardCode],"MAE")=0,"",SUMIFS(tblDaily[Admissions],tblDaily[EntryDate],DATE(2026,1,26),tblDaily[WardCode],"MAE")),"")</f>
        <v>5</v>
      </c>
      <c r="C32" s="4">
        <f>IFERROR(IF(SUMIFS(tblDaily[Discharges],tblDaily[EntryDate],DATE(2026,1,26),tblDaily[WardCode],"MAE")=0,"",SUMIFS(tblDaily[Discharges],tblDaily[EntryDate],DATE(2026,1,26),tblDaily[WardCode],"MAE")),"")</f>
        <v>1</v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>
        <f>IFERROR(IF(SUMIFS(tblDaily[TransfersOut],tblDaily[EntryDate],DATE(2026,1,26),tblDaily[WardCode],"MAE")=0,"",SUMIFS(tblDaily[TransfersOut],tblDaily[EntryDate],DATE(2026,1,26),tblDaily[WardCode],"MAE")),"")</f>
        <v>2</v>
      </c>
      <c r="H32" s="4">
        <f>IFERROR(IF(SUMIFS(tblDaily[Remaining],tblDaily[EntryDate],DATE(2026,1,26),tblDaily[WardCode],"MAE")=0,"",SUMIFS(tblDaily[Remaining],tblDaily[EntryDate],DATE(2026,1,26),tblDaily[WardCode],"MAE")),"")</f>
        <v>4</v>
      </c>
    </row>
    <row r="33" spans="1:8" x14ac:dyDescent="0.25">
      <c r="A33" s="4">
        <v>27</v>
      </c>
      <c r="B33" s="4">
        <f>IFERROR(IF(SUMIFS(tblDaily[Admissions],tblDaily[EntryDate],DATE(2026,1,27),tblDaily[WardCode],"MAE")=0,"",SUMIFS(tblDaily[Admissions],tblDaily[EntryDate],DATE(2026,1,27),tblDaily[WardCode],"MAE")),"")</f>
        <v>5</v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>
        <f>IFERROR(IF(SUMIFS(tblDaily[DeathsUnder24Hrs],tblDaily[EntryDate],DATE(2026,1,27),tblDaily[WardCode],"MAE")=0,"",SUMIFS(tblDaily[DeathsUnder24Hrs],tblDaily[EntryDate],DATE(2026,1,27),tblDaily[WardCode],"MAE")),"")</f>
        <v>1</v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>
        <f>IFERROR(IF(SUMIFS(tblDaily[TransfersOut],tblDaily[EntryDate],DATE(2026,1,27),tblDaily[WardCode],"MAE")=0,"",SUMIFS(tblDaily[TransfersOut],tblDaily[EntryDate],DATE(2026,1,27),tblDaily[WardCode],"MAE")),"")</f>
        <v>2</v>
      </c>
      <c r="H33" s="4">
        <f>IFERROR(IF(SUMIFS(tblDaily[Remaining],tblDaily[EntryDate],DATE(2026,1,27),tblDaily[WardCode],"MAE")=0,"",SUMIFS(tblDaily[Remaining],tblDaily[EntryDate],DATE(2026,1,27),tblDaily[WardCode],"MAE")),"")</f>
        <v>6</v>
      </c>
    </row>
    <row r="34" spans="1:8" x14ac:dyDescent="0.25">
      <c r="A34" s="4">
        <v>28</v>
      </c>
      <c r="B34" s="4">
        <f>IFERROR(IF(SUMIFS(tblDaily[Admissions],tblDaily[EntryDate],DATE(2026,1,28),tblDaily[WardCode],"MAE")=0,"",SUMIFS(tblDaily[Admissions],tblDaily[EntryDate],DATE(2026,1,28),tblDaily[WardCode],"MAE")),"")</f>
        <v>2</v>
      </c>
      <c r="C34" s="4">
        <f>IFERROR(IF(SUMIFS(tblDaily[Discharges],tblDaily[EntryDate],DATE(2026,1,28),tblDaily[WardCode],"MAE")=0,"",SUMIFS(tblDaily[Discharges],tblDaily[EntryDate],DATE(2026,1,28),tblDaily[WardCode],"MAE")),"")</f>
        <v>3</v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>
        <f>IFERROR(IF(SUMIFS(tblDaily[TransfersOut],tblDaily[EntryDate],DATE(2026,1,28),tblDaily[WardCode],"MAE")=0,"",SUMIFS(tblDaily[TransfersOut],tblDaily[EntryDate],DATE(2026,1,28),tblDaily[WardCode],"MAE")),"")</f>
        <v>2</v>
      </c>
      <c r="H34" s="4">
        <f>IFERROR(IF(SUMIFS(tblDaily[Remaining],tblDaily[EntryDate],DATE(2026,1,28),tblDaily[WardCode],"MAE")=0,"",SUMIFS(tblDaily[Remaining],tblDaily[EntryDate],DATE(2026,1,28),tblDaily[WardCode],"MAE")),"")</f>
        <v>3</v>
      </c>
    </row>
    <row r="35" spans="1:8" x14ac:dyDescent="0.25">
      <c r="A35" s="4">
        <v>29</v>
      </c>
      <c r="B35" s="4">
        <f>IFERROR(IF(SUMIFS(tblDaily[Admissions],tblDaily[EntryDate],DATE(2026,1,29),tblDaily[WardCode],"MAE")=0,"",SUMIFS(tblDaily[Admissions],tblDaily[EntryDate],DATE(2026,1,29),tblDaily[WardCode],"MAE")),"")</f>
        <v>1</v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>
        <f>IFERROR(IF(SUMIFS(tblDaily[Remaining],tblDaily[EntryDate],DATE(2026,1,29),tblDaily[WardCode],"MAE")=0,"",SUMIFS(tblDaily[Remaining],tblDaily[EntryDate],DATE(2026,1,29),tblDaily[WardCode],"MAE")),"")</f>
        <v>4</v>
      </c>
    </row>
    <row r="36" spans="1:8" x14ac:dyDescent="0.25">
      <c r="A36" s="4">
        <v>30</v>
      </c>
      <c r="B36" s="4">
        <f>IFERROR(IF(SUMIFS(tblDaily[Admissions],tblDaily[EntryDate],DATE(2026,1,30),tblDaily[WardCode],"MAE")=0,"",SUMIFS(tblDaily[Admissions],tblDaily[EntryDate],DATE(2026,1,30),tblDaily[WardCode],"MAE")),"")</f>
        <v>3</v>
      </c>
      <c r="C36" s="4">
        <f>IFERROR(IF(SUMIFS(tblDaily[Discharges],tblDaily[EntryDate],DATE(2026,1,30),tblDaily[WardCode],"MAE")=0,"",SUMIFS(tblDaily[Discharges],tblDaily[EntryDate],DATE(2026,1,30),tblDaily[WardCode],"MAE")),"")</f>
        <v>1</v>
      </c>
      <c r="D36" s="4">
        <f>IFERROR(IF(SUMIFS(tblDaily[Deaths],tblDaily[EntryDate],DATE(2026,1,30),tblDaily[WardCode],"MAE")=0,"",SUMIFS(tblDaily[Deaths],tblDaily[EntryDate],DATE(2026,1,30),tblDaily[WardCode],"MAE")),"")</f>
        <v>2</v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>
        <f>IFERROR(IF(SUMIFS(tblDaily[TransfersOut],tblDaily[EntryDate],DATE(2026,1,30),tblDaily[WardCode],"MAE")=0,"",SUMIFS(tblDaily[TransfersOut],tblDaily[EntryDate],DATE(2026,1,30),tblDaily[WardCode],"MAE")),"")</f>
        <v>1</v>
      </c>
      <c r="H36" s="4">
        <f>IFERROR(IF(SUMIFS(tblDaily[Remaining],tblDaily[EntryDate],DATE(2026,1,30),tblDaily[WardCode],"MAE")=0,"",SUMIFS(tblDaily[Remaining],tblDaily[EntryDate],DATE(2026,1,30),tblDaily[WardCode],"MAE")),"")</f>
        <v>3</v>
      </c>
    </row>
    <row r="37" spans="1:8" x14ac:dyDescent="0.25">
      <c r="A37" s="4">
        <v>31</v>
      </c>
      <c r="B37" s="4">
        <f>IFERROR(IF(SUMIFS(tblDaily[Admissions],tblDaily[EntryDate],DATE(2026,1,31),tblDaily[WardCode],"MAE")=0,"",SUMIFS(tblDaily[Admissions],tblDaily[EntryDate],DATE(2026,1,31),tblDaily[WardCode],"MAE")),"")</f>
        <v>1</v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>
        <f>IFERROR(IF(SUMIFS(tblDaily[TransfersOut],tblDaily[EntryDate],DATE(2026,1,31),tblDaily[WardCode],"MAE")=0,"",SUMIFS(tblDaily[TransfersOut],tblDaily[EntryDate],DATE(2026,1,31),tblDaily[WardCode],"MAE")),"")</f>
        <v>3</v>
      </c>
      <c r="H37" s="4">
        <f>IFERROR(IF(SUMIFS(tblDaily[Remaining],tblDaily[EntryDate],DATE(2026,1,31),tblDaily[WardCode],"MAE")=0,"",SUMIFS(tblDaily[Remaining],tblDaily[EntryDate],DATE(2026,1,31),tblDaily[WardCode],"MAE")),"")</f>
        <v>1</v>
      </c>
    </row>
    <row r="38" spans="1:8" x14ac:dyDescent="0.25">
      <c r="A38" s="9" t="s">
        <v>112</v>
      </c>
      <c r="B38" s="9">
        <f>SUMIFS(tblDaily[Admissions],tblDaily[Month],1,tblDaily[WardCode],"MAE") - SUMIFS(tblDaily[DeathsUnder24Hrs],tblDaily[Month],1,tblDaily[WardCode],"MAE")</f>
        <v>86</v>
      </c>
      <c r="C38" s="9">
        <f>SUMIFS(tblDaily[Discharges],tblDaily[Month],1,tblDaily[WardCode],"MAE")</f>
        <v>43</v>
      </c>
      <c r="D38" s="9">
        <f>SUMIFS(tblDaily[Deaths],tblDaily[Month],1,tblDaily[WardCode],"MAE")</f>
        <v>4</v>
      </c>
      <c r="E38" s="9">
        <f>SUMIFS(tblDaily[DeathsUnder24Hrs],tblDaily[Month],1,tblDaily[WardCode],"MAE")</f>
        <v>5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47</v>
      </c>
      <c r="H38" s="9">
        <f>SUMIFS(tblDaily[Remaining],tblDaily[Month],1,tblDaily[WardCode],"MAE")</f>
        <v>148</v>
      </c>
    </row>
    <row r="40" spans="1:8" ht="18.75" x14ac:dyDescent="0.25">
      <c r="A40" s="28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5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119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IFERROR(SUMIFS(tblDaily[Remaining],tblDaily[EntryDate],DATE(2026,1,31),tblDaily[WardCode],"MAE"),0)</f>
        <v>1</v>
      </c>
    </row>
    <row r="44" spans="1:8" x14ac:dyDescent="0.25">
      <c r="A44" s="1" t="s">
        <v>106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>
        <f>IFERROR(IF(SUMIFS(tblDaily[Admissions],tblDaily[EntryDate],DATE(2026,2,3),tblDaily[WardCode],"MAE")=0,"",SUMIFS(tblDaily[Admissions],tblDaily[EntryDate],DATE(2026,2,3),tblDaily[WardCode],"MAE")),"")</f>
        <v>3</v>
      </c>
      <c r="C48" s="4">
        <f>IFERROR(IF(SUMIFS(tblDaily[Discharges],tblDaily[EntryDate],DATE(2026,2,3),tblDaily[WardCode],"MAE")=0,"",SUMIFS(tblDaily[Discharges],tblDaily[EntryDate],DATE(2026,2,3),tblDaily[WardCode],"MAE")),"")</f>
        <v>3</v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>
        <f>IFERROR(IF(SUMIFS(tblDaily[TransfersIn],tblDaily[EntryDate],DATE(2026,2,3),tblDaily[WardCode],"MAE")=0,"",SUMIFS(tblDaily[TransfersIn],tblDaily[EntryDate],DATE(2026,2,3),tblDaily[WardCode],"MAE")),"")</f>
        <v>2</v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>
        <f>IFERROR(IF(SUMIFS(tblDaily[Remaining],tblDaily[EntryDate],DATE(2026,2,3),tblDaily[WardCode],"MAE")=0,"",SUMIFS(tblDaily[Remaining],tblDaily[EntryDate],DATE(2026,2,3),tblDaily[WardCode],"MAE")),"")</f>
        <v>3</v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SUMIFS(tblDaily[Admissions],tblDaily[Month],2,tblDaily[WardCode],"MAE") - SUMIFS(tblDaily[DeathsUnder24Hrs],tblDaily[Month],2,tblDaily[WardCode],"MAE")</f>
        <v>3</v>
      </c>
      <c r="C77" s="9">
        <f>SUMIFS(tblDaily[Discharges],tblDaily[Month],2,tblDaily[WardCode],"MAE")</f>
        <v>3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2</v>
      </c>
      <c r="G77" s="9">
        <f>SUMIFS(tblDaily[TransfersOut],tblDaily[Month],2,tblDaily[WardCode],"MAE")</f>
        <v>0</v>
      </c>
      <c r="H77" s="9">
        <f>SUMIFS(tblDaily[Remaining],tblDaily[Month],2,tblDaily[WardCode],"MAE")</f>
        <v>3</v>
      </c>
    </row>
    <row r="79" spans="1:8" ht="18.75" x14ac:dyDescent="0.25">
      <c r="A79" s="28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5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119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106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112</v>
      </c>
      <c r="B116" s="9">
        <f>SUMIFS(tblDaily[Admissions],tblDaily[Month],3,tblDaily[WardCode],"MAE") - SUMIFS(tblDaily[DeathsUnder24Hrs],tblDaily[Month],3,tblDaily[WardCode],"MAE")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28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5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119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106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SUMIFS(tblDaily[Admissions],tblDaily[Month],4,tblDaily[WardCode],"MAE") - SUMIFS(tblDaily[DeathsUnder24Hrs],tblDaily[Month],4,tblDaily[WardCode],"MAE")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28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5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119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106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112</v>
      </c>
      <c r="B194" s="9">
        <f>SUMIFS(tblDaily[Admissions],tblDaily[Month],5,tblDaily[WardCode],"MAE") - SUMIFS(tblDaily[DeathsUnder24Hrs],tblDaily[Month],5,tblDaily[WardCode],"MAE")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28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5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119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106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SUMIFS(tblDaily[Admissions],tblDaily[Month],6,tblDaily[WardCode],"MAE") - SUMIFS(tblDaily[DeathsUnder24Hrs],tblDaily[Month],6,tblDaily[WardCode],"MAE")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28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5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119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106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112</v>
      </c>
      <c r="B272" s="9">
        <f>SUMIFS(tblDaily[Admissions],tblDaily[Month],7,tblDaily[WardCode],"MAE") - SUMIFS(tblDaily[DeathsUnder24Hrs],tblDaily[Month],7,tblDaily[WardCode],"MAE")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28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5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119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106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112</v>
      </c>
      <c r="B311" s="9">
        <f>SUMIFS(tblDaily[Admissions],tblDaily[Month],8,tblDaily[WardCode],"MAE") - SUMIFS(tblDaily[DeathsUnder24Hrs],tblDaily[Month],8,tblDaily[WardCode],"MAE")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28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5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119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106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SUMIFS(tblDaily[Admissions],tblDaily[Month],9,tblDaily[WardCode],"MAE") - SUMIFS(tblDaily[DeathsUnder24Hrs],tblDaily[Month],9,tblDaily[WardCode],"MAE")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28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5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119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106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112</v>
      </c>
      <c r="B389" s="9">
        <f>SUMIFS(tblDaily[Admissions],tblDaily[Month],10,tblDaily[WardCode],"MAE") - SUMIFS(tblDaily[DeathsUnder24Hrs],tblDaily[Month],10,tblDaily[WardCode],"MAE")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28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5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119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106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SUMIFS(tblDaily[Admissions],tblDaily[Month],11,tblDaily[WardCode],"MAE") - SUMIFS(tblDaily[DeathsUnder24Hrs],tblDaily[Month],11,tblDaily[WardCode],"MAE")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28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5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119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106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112</v>
      </c>
      <c r="B467" s="9">
        <f>SUMIFS(tblDaily[Admissions],tblDaily[Month],12,tblDaily[WardCode],"MAE") - SUMIFS(tblDaily[DeathsUnder24Hrs],tblDaily[Month],12,tblDaily[WardCode],"MAE")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28" t="s">
        <v>0</v>
      </c>
      <c r="B1" s="29"/>
      <c r="C1" s="29"/>
      <c r="D1" s="29"/>
      <c r="E1" s="29"/>
      <c r="F1" s="29"/>
      <c r="G1" s="29"/>
    </row>
    <row r="2" spans="1:8" ht="15.75" x14ac:dyDescent="0.25">
      <c r="A2" s="35" t="s">
        <v>101</v>
      </c>
      <c r="B2" s="29"/>
      <c r="C2" s="29"/>
      <c r="D2" s="29"/>
      <c r="E2" s="29"/>
      <c r="F2" s="29"/>
      <c r="G2" s="29"/>
    </row>
    <row r="3" spans="1:8" x14ac:dyDescent="0.25">
      <c r="A3" s="1" t="s">
        <v>4</v>
      </c>
      <c r="B3" s="2" t="s">
        <v>2</v>
      </c>
      <c r="D3" s="1" t="s">
        <v>102</v>
      </c>
      <c r="E3" s="2" t="s">
        <v>120</v>
      </c>
      <c r="F3" s="1" t="s">
        <v>104</v>
      </c>
      <c r="G3" s="2" t="s">
        <v>60</v>
      </c>
    </row>
    <row r="4" spans="1:8" x14ac:dyDescent="0.25">
      <c r="A4" s="1" t="s">
        <v>105</v>
      </c>
      <c r="H4" s="6">
        <f>IFERROR(INDEX(tblWardConfig[PrevYearRemaining],MATCH("FAE",tblWardConfig[WardCode],0)),0)</f>
        <v>1</v>
      </c>
    </row>
    <row r="5" spans="1:8" x14ac:dyDescent="0.25">
      <c r="A5" s="1" t="s">
        <v>106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107</v>
      </c>
      <c r="B6" s="8" t="s">
        <v>74</v>
      </c>
      <c r="C6" s="8" t="s">
        <v>75</v>
      </c>
      <c r="D6" s="8" t="s">
        <v>76</v>
      </c>
      <c r="E6" s="8" t="s">
        <v>108</v>
      </c>
      <c r="F6" s="8" t="s">
        <v>109</v>
      </c>
      <c r="G6" s="8" t="s">
        <v>110</v>
      </c>
      <c r="H6" s="8" t="s">
        <v>111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>
        <f>IFERROR(IF(SUMIFS(tblDaily[TransfersOut],tblDaily[EntryDate],DATE(2026,1,1),tblDaily[WardCode],"FAE")=0,"",SUMIFS(tblDaily[TransfersOut],tblDaily[EntryDate],DATE(2026,1,1),tblDaily[WardCode],"FAE")),"")</f>
        <v>1</v>
      </c>
      <c r="H7" s="4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4">
        <v>2</v>
      </c>
      <c r="B8" s="4">
        <f>IFERROR(IF(SUMIFS(tblDaily[Admissions],tblDaily[EntryDate],DATE(2026,1,2),tblDaily[WardCode],"FAE")=0,"",SUMIFS(tblDaily[Admissions],tblDaily[EntryDate],DATE(2026,1,2),tblDaily[WardCode],"FAE")),"")</f>
        <v>1</v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>
        <f>IFERROR(IF(SUMIFS(tblDaily[Remaining],tblDaily[EntryDate],DATE(2026,1,2),tblDaily[WardCode],"FAE")=0,"",SUMIFS(tblDaily[Remaining],tblDaily[EntryDate],DATE(2026,1,2),tblDaily[WardCode],"FAE")),"")</f>
        <v>1</v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>
        <f>IFERROR(IF(SUMIFS(tblDaily[TransfersOut],tblDaily[EntryDate],DATE(2026,1,3),tblDaily[WardCode],"FAE")=0,"",SUMIFS(tblDaily[TransfersOut],tblDaily[EntryDate],DATE(2026,1,3),tblDaily[WardCode],"FAE")),"")</f>
        <v>1</v>
      </c>
      <c r="H9" s="4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>
        <f>IFERROR(IF(SUMIFS(tblDaily[Admissions],tblDaily[EntryDate],DATE(2026,1,5),tblDaily[WardCode],"FAE")=0,"",SUMIFS(tblDaily[Admissions],tblDaily[EntryDate],DATE(2026,1,5),tblDaily[WardCode],"FAE")),"")</f>
        <v>4</v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>
        <f>IFERROR(IF(SUMIFS(tblDaily[TransfersOut],tblDaily[EntryDate],DATE(2026,1,5),tblDaily[WardCode],"FAE")=0,"",SUMIFS(tblDaily[TransfersOut],tblDaily[EntryDate],DATE(2026,1,5),tblDaily[WardCode],"FAE")),"")</f>
        <v>3</v>
      </c>
      <c r="H11" s="4">
        <f>IFERROR(IF(SUMIFS(tblDaily[Remaining],tblDaily[EntryDate],DATE(2026,1,5),tblDaily[WardCode],"FAE")=0,"",SUMIFS(tblDaily[Remaining],tblDaily[EntryDate],DATE(2026,1,5),tblDaily[WardCode],"FAE")),"")</f>
        <v>1</v>
      </c>
    </row>
    <row r="12" spans="1:8" x14ac:dyDescent="0.25">
      <c r="A12" s="4">
        <v>6</v>
      </c>
      <c r="B12" s="4">
        <f>IFERROR(IF(SUMIFS(tblDaily[Admissions],tblDaily[EntryDate],DATE(2026,1,6),tblDaily[WardCode],"FAE")=0,"",SUMIFS(tblDaily[Admissions],tblDaily[EntryDate],DATE(2026,1,6),tblDaily[WardCode],"FAE")),"")</f>
        <v>1</v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>
        <f>IFERROR(IF(SUMIFS(tblDaily[Remaining],tblDaily[EntryDate],DATE(2026,1,6),tblDaily[WardCode],"FAE")=0,"",SUMIFS(tblDaily[Remaining],tblDaily[EntryDate],DATE(2026,1,6),tblDaily[WardCode],"FAE")),"")</f>
        <v>2</v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>
        <f>IFERROR(IF(SUMIFS(tblDaily[Remaining],tblDaily[EntryDate],DATE(2026,1,7),tblDaily[WardCode],"FAE")=0,"",SUMIFS(tblDaily[Remaining],tblDaily[EntryDate],DATE(2026,1,7),tblDaily[WardCode],"FAE")),"")</f>
        <v>2</v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>
        <f>IFERROR(IF(SUMIFS(tblDaily[TransfersOut],tblDaily[EntryDate],DATE(2026,1,8),tblDaily[WardCode],"FAE")=0,"",SUMIFS(tblDaily[TransfersOut],tblDaily[EntryDate],DATE(2026,1,8),tblDaily[WardCode],"FAE")),"")</f>
        <v>2</v>
      </c>
      <c r="H14" s="4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4">
        <v>9</v>
      </c>
      <c r="B15" s="4">
        <f>IFERROR(IF(SUMIFS(tblDaily[Admissions],tblDaily[EntryDate],DATE(2026,1,9),tblDaily[WardCode],"FAE")=0,"",SUMIFS(tblDaily[Admissions],tblDaily[EntryDate],DATE(2026,1,9),tblDaily[WardCode],"FAE")),"")</f>
        <v>1</v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>
        <f>IFERROR(IF(SUMIFS(tblDaily[Remaining],tblDaily[EntryDate],DATE(2026,1,9),tblDaily[WardCode],"FAE")=0,"",SUMIFS(tblDaily[Remaining],tblDaily[EntryDate],DATE(2026,1,9),tblDaily[WardCode],"FAE")),"")</f>
        <v>1</v>
      </c>
    </row>
    <row r="16" spans="1:8" x14ac:dyDescent="0.25">
      <c r="A16" s="4">
        <v>10</v>
      </c>
      <c r="B16" s="4">
        <f>IFERROR(IF(SUMIFS(tblDaily[Admissions],tblDaily[EntryDate],DATE(2026,1,10),tblDaily[WardCode],"FAE")=0,"",SUMIFS(tblDaily[Admissions],tblDaily[EntryDate],DATE(2026,1,10),tblDaily[WardCode],"FAE")),"")</f>
        <v>3</v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>
        <f>IFERROR(IF(SUMIFS(tblDaily[Remaining],tblDaily[EntryDate],DATE(2026,1,10),tblDaily[WardCode],"FAE")=0,"",SUMIFS(tblDaily[Remaining],tblDaily[EntryDate],DATE(2026,1,10),tblDaily[WardCode],"FAE")),"")</f>
        <v>4</v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>
        <f>IFERROR(IF(SUMIFS(tblDaily[Discharges],tblDaily[EntryDate],DATE(2026,1,11),tblDaily[WardCode],"FAE")=0,"",SUMIFS(tblDaily[Discharges],tblDaily[EntryDate],DATE(2026,1,11),tblDaily[WardCode],"FAE")),"")</f>
        <v>1</v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>
        <f>IFERROR(IF(SUMIFS(tblDaily[TransfersOut],tblDaily[EntryDate],DATE(2026,1,11),tblDaily[WardCode],"FAE")=0,"",SUMIFS(tblDaily[TransfersOut],tblDaily[EntryDate],DATE(2026,1,11),tblDaily[WardCode],"FAE")),"")</f>
        <v>1</v>
      </c>
      <c r="H17" s="4">
        <f>IFERROR(IF(SUMIFS(tblDaily[Remaining],tblDaily[EntryDate],DATE(2026,1,11),tblDaily[WardCode],"FAE")=0,"",SUMIFS(tblDaily[Remaining],tblDaily[EntryDate],DATE(2026,1,11),tblDaily[WardCode],"FAE")),"")</f>
        <v>2</v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>
        <f>IFERROR(IF(SUMIFS(tblDaily[Discharges],tblDaily[EntryDate],DATE(2026,1,12),tblDaily[WardCode],"FAE")=0,"",SUMIFS(tblDaily[Discharges],tblDaily[EntryDate],DATE(2026,1,12),tblDaily[WardCode],"FAE")),"")</f>
        <v>2</v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4">
        <v>13</v>
      </c>
      <c r="B19" s="4">
        <f>IFERROR(IF(SUMIFS(tblDaily[Admissions],tblDaily[EntryDate],DATE(2026,1,13),tblDaily[WardCode],"FAE")=0,"",SUMIFS(tblDaily[Admissions],tblDaily[EntryDate],DATE(2026,1,13),tblDaily[WardCode],"FAE")),"")</f>
        <v>1</v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>
        <f>IFERROR(IF(SUMIFS(tblDaily[Remaining],tblDaily[EntryDate],DATE(2026,1,13),tblDaily[WardCode],"FAE")=0,"",SUMIFS(tblDaily[Remaining],tblDaily[EntryDate],DATE(2026,1,13),tblDaily[WardCode],"FAE")),"")</f>
        <v>1</v>
      </c>
    </row>
    <row r="20" spans="1:8" x14ac:dyDescent="0.25">
      <c r="A20" s="4">
        <v>14</v>
      </c>
      <c r="B20" s="4">
        <f>IFERROR(IF(SUMIFS(tblDaily[Admissions],tblDaily[EntryDate],DATE(2026,1,14),tblDaily[WardCode],"FAE")=0,"",SUMIFS(tblDaily[Admissions],tblDaily[EntryDate],DATE(2026,1,14),tblDaily[WardCode],"FAE")),"")</f>
        <v>4</v>
      </c>
      <c r="C20" s="4">
        <f>IFERROR(IF(SUMIFS(tblDaily[Discharges],tblDaily[EntryDate],DATE(2026,1,14),tblDaily[WardCode],"FAE")=0,"",SUMIFS(tblDaily[Discharges],tblDaily[EntryDate],DATE(2026,1,14),tblDaily[WardCode],"FAE")),"")</f>
        <v>2</v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>
        <f>IFERROR(IF(SUMIFS(tblDaily[TransfersOut],tblDaily[EntryDate],DATE(2026,1,14),tblDaily[WardCode],"FAE")=0,"",SUMIFS(tblDaily[TransfersOut],tblDaily[EntryDate],DATE(2026,1,14),tblDaily[WardCode],"FAE")),"")</f>
        <v>1</v>
      </c>
      <c r="H20" s="4">
        <f>IFERROR(IF(SUMIFS(tblDaily[Remaining],tblDaily[EntryDate],DATE(2026,1,14),tblDaily[WardCode],"FAE")=0,"",SUMIFS(tblDaily[Remaining],tblDaily[EntryDate],DATE(2026,1,14),tblDaily[WardCode],"FAE")),"")</f>
        <v>2</v>
      </c>
    </row>
    <row r="21" spans="1:8" x14ac:dyDescent="0.25">
      <c r="A21" s="4">
        <v>15</v>
      </c>
      <c r="B21" s="4">
        <f>IFERROR(IF(SUMIFS(tblDaily[Admissions],tblDaily[EntryDate],DATE(2026,1,15),tblDaily[WardCode],"FAE")=0,"",SUMIFS(tblDaily[Admissions],tblDaily[EntryDate],DATE(2026,1,15),tblDaily[WardCode],"FAE")),"")</f>
        <v>3</v>
      </c>
      <c r="C21" s="4">
        <f>IFERROR(IF(SUMIFS(tblDaily[Discharges],tblDaily[EntryDate],DATE(2026,1,15),tblDaily[WardCode],"FAE")=0,"",SUMIFS(tblDaily[Discharges],tblDaily[EntryDate],DATE(2026,1,15),tblDaily[WardCode],"FAE")),"")</f>
        <v>2</v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>
        <f>IFERROR(IF(SUMIFS(tblDaily[TransfersOut],tblDaily[EntryDate],DATE(2026,1,15),tblDaily[WardCode],"FAE")=0,"",SUMIFS(tblDaily[TransfersOut],tblDaily[EntryDate],DATE(2026,1,15),tblDaily[WardCode],"FAE")),"")</f>
        <v>2</v>
      </c>
      <c r="H21" s="4">
        <f>IFERROR(IF(SUMIFS(tblDaily[Remaining],tblDaily[EntryDate],DATE(2026,1,15),tblDaily[WardCode],"FAE")=0,"",SUMIFS(tblDaily[Remaining],tblDaily[EntryDate],DATE(2026,1,15),tblDaily[WardCode],"FAE")),"")</f>
        <v>1</v>
      </c>
    </row>
    <row r="22" spans="1:8" x14ac:dyDescent="0.25">
      <c r="A22" s="4">
        <v>16</v>
      </c>
      <c r="B22" s="4">
        <f>IFERROR(IF(SUMIFS(tblDaily[Admissions],tblDaily[EntryDate],DATE(2026,1,16),tblDaily[WardCode],"FAE")=0,"",SUMIFS(tblDaily[Admissions],tblDaily[EntryDate],DATE(2026,1,16),tblDaily[WardCode],"FAE")),"")</f>
        <v>1</v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>
        <f>IFERROR(IF(SUMIFS(tblDaily[TransfersOut],tblDaily[EntryDate],DATE(2026,1,16),tblDaily[WardCode],"FAE")=0,"",SUMIFS(tblDaily[TransfersOut],tblDaily[EntryDate],DATE(2026,1,16),tblDaily[WardCode],"FAE")),"")</f>
        <v>2</v>
      </c>
      <c r="H22" s="4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4">
        <v>17</v>
      </c>
      <c r="B23" s="4">
        <f>IFERROR(IF(SUMIFS(tblDaily[Admissions],tblDaily[EntryDate],DATE(2026,1,17),tblDaily[WardCode],"FAE")=0,"",SUMIFS(tblDaily[Admissions],tblDaily[EntryDate],DATE(2026,1,17),tblDaily[WardCode],"FAE")),"")</f>
        <v>3</v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>
        <f>IFERROR(IF(SUMIFS(tblDaily[TransfersOut],tblDaily[EntryDate],DATE(2026,1,17),tblDaily[WardCode],"FAE")=0,"",SUMIFS(tblDaily[TransfersOut],tblDaily[EntryDate],DATE(2026,1,17),tblDaily[WardCode],"FAE")),"")</f>
        <v>2</v>
      </c>
      <c r="H23" s="4">
        <f>IFERROR(IF(SUMIFS(tblDaily[Remaining],tblDaily[EntryDate],DATE(2026,1,17),tblDaily[WardCode],"FAE")=0,"",SUMIFS(tblDaily[Remaining],tblDaily[EntryDate],DATE(2026,1,17),tblDaily[WardCode],"FAE")),"")</f>
        <v>1</v>
      </c>
    </row>
    <row r="24" spans="1:8" x14ac:dyDescent="0.25">
      <c r="A24" s="4">
        <v>18</v>
      </c>
      <c r="B24" s="4">
        <f>IFERROR(IF(SUMIFS(tblDaily[Admissions],tblDaily[EntryDate],DATE(2026,1,18),tblDaily[WardCode],"FAE")=0,"",SUMIFS(tblDaily[Admissions],tblDaily[EntryDate],DATE(2026,1,18),tblDaily[WardCode],"FAE")),"")</f>
        <v>4</v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>
        <f>IFERROR(IF(SUMIFS(tblDaily[TransfersOut],tblDaily[EntryDate],DATE(2026,1,18),tblDaily[WardCode],"FAE")=0,"",SUMIFS(tblDaily[TransfersOut],tblDaily[EntryDate],DATE(2026,1,18),tblDaily[WardCode],"FAE")),"")</f>
        <v>1</v>
      </c>
      <c r="H24" s="4">
        <f>IFERROR(IF(SUMIFS(tblDaily[Remaining],tblDaily[EntryDate],DATE(2026,1,18),tblDaily[WardCode],"FAE")=0,"",SUMIFS(tblDaily[Remaining],tblDaily[EntryDate],DATE(2026,1,18),tblDaily[WardCode],"FAE")),"")</f>
        <v>4</v>
      </c>
    </row>
    <row r="25" spans="1:8" x14ac:dyDescent="0.25">
      <c r="A25" s="4">
        <v>19</v>
      </c>
      <c r="B25" s="4">
        <f>IFERROR(IF(SUMIFS(tblDaily[Admissions],tblDaily[EntryDate],DATE(2026,1,19),tblDaily[WardCode],"FAE")=0,"",SUMIFS(tblDaily[Admissions],tblDaily[EntryDate],DATE(2026,1,19),tblDaily[WardCode],"FAE")),"")</f>
        <v>1</v>
      </c>
      <c r="C25" s="4">
        <f>IFERROR(IF(SUMIFS(tblDaily[Discharges],tblDaily[EntryDate],DATE(2026,1,19),tblDaily[WardCode],"FAE")=0,"",SUMIFS(tblDaily[Discharges],tblDaily[EntryDate],DATE(2026,1,19),tblDaily[WardCode],"FAE")),"")</f>
        <v>1</v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>
        <f>IFERROR(IF(SUMIFS(tblDaily[TransfersOut],tblDaily[EntryDate],DATE(2026,1,19),tblDaily[WardCode],"FAE")=0,"",SUMIFS(tblDaily[TransfersOut],tblDaily[EntryDate],DATE(2026,1,19),tblDaily[WardCode],"FAE")),"")</f>
        <v>1</v>
      </c>
      <c r="H25" s="4">
        <f>IFERROR(IF(SUMIFS(tblDaily[Remaining],tblDaily[EntryDate],DATE(2026,1,19),tblDaily[WardCode],"FAE")=0,"",SUMIFS(tblDaily[Remaining],tblDaily[EntryDate],DATE(2026,1,19),tblDaily[WardCode],"FAE")),"")</f>
        <v>3</v>
      </c>
    </row>
    <row r="26" spans="1:8" x14ac:dyDescent="0.25">
      <c r="A26" s="4">
        <v>20</v>
      </c>
      <c r="B26" s="4">
        <f>IFERROR(IF(SUMIFS(tblDaily[Admissions],tblDaily[EntryDate],DATE(2026,1,20),tblDaily[WardCode],"FAE")=0,"",SUMIFS(tblDaily[Admissions],tblDaily[EntryDate],DATE(2026,1,20),tblDaily[WardCode],"FAE")),"")</f>
        <v>1</v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>
        <f>IFERROR(IF(SUMIFS(tblDaily[DeathsUnder24Hrs],tblDaily[EntryDate],DATE(2026,1,20),tblDaily[WardCode],"FAE")=0,"",SUMIFS(tblDaily[DeathsUnder24Hrs],tblDaily[EntryDate],DATE(2026,1,20),tblDaily[WardCode],"FAE")),"")</f>
        <v>1</v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>
        <f>IFERROR(IF(SUMIFS(tblDaily[Remaining],tblDaily[EntryDate],DATE(2026,1,20),tblDaily[WardCode],"FAE")=0,"",SUMIFS(tblDaily[Remaining],tblDaily[EntryDate],DATE(2026,1,20),tblDaily[WardCode],"FAE")),"")</f>
        <v>3</v>
      </c>
    </row>
    <row r="27" spans="1:8" x14ac:dyDescent="0.25">
      <c r="A27" s="4">
        <v>21</v>
      </c>
      <c r="B27" s="4">
        <f>IFERROR(IF(SUMIFS(tblDaily[Admissions],tblDaily[EntryDate],DATE(2026,1,21),tblDaily[WardCode],"FAE")=0,"",SUMIFS(tblDaily[Admissions],tblDaily[EntryDate],DATE(2026,1,21),tblDaily[WardCode],"FAE")),"")</f>
        <v>1</v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>
        <f>IFERROR(IF(SUMIFS(tblDaily[TransfersOut],tblDaily[EntryDate],DATE(2026,1,21),tblDaily[WardCode],"FAE")=0,"",SUMIFS(tblDaily[TransfersOut],tblDaily[EntryDate],DATE(2026,1,21),tblDaily[WardCode],"FAE")),"")</f>
        <v>1</v>
      </c>
      <c r="H27" s="4">
        <f>IFERROR(IF(SUMIFS(tblDaily[Remaining],tblDaily[EntryDate],DATE(2026,1,21),tblDaily[WardCode],"FAE")=0,"",SUMIFS(tblDaily[Remaining],tblDaily[EntryDate],DATE(2026,1,21),tblDaily[WardCode],"FAE")),"")</f>
        <v>3</v>
      </c>
    </row>
    <row r="28" spans="1:8" x14ac:dyDescent="0.25">
      <c r="A28" s="4">
        <v>22</v>
      </c>
      <c r="B28" s="4">
        <f>IFERROR(IF(SUMIFS(tblDaily[Admissions],tblDaily[EntryDate],DATE(2026,1,22),tblDaily[WardCode],"FAE")=0,"",SUMIFS(tblDaily[Admissions],tblDaily[EntryDate],DATE(2026,1,22),tblDaily[WardCode],"FAE")),"")</f>
        <v>2</v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>
        <f>IFERROR(IF(SUMIFS(tblDaily[TransfersOut],tblDaily[EntryDate],DATE(2026,1,22),tblDaily[WardCode],"FAE")=0,"",SUMIFS(tblDaily[TransfersOut],tblDaily[EntryDate],DATE(2026,1,22),tblDaily[WardCode],"FAE")),"")</f>
        <v>2</v>
      </c>
      <c r="H28" s="4">
        <f>IFERROR(IF(SUMIFS(tblDaily[Remaining],tblDaily[EntryDate],DATE(2026,1,22),tblDaily[WardCode],"FAE")=0,"",SUMIFS(tblDaily[Remaining],tblDaily[EntryDate],DATE(2026,1,22),tblDaily[WardCode],"FAE")),"")</f>
        <v>3</v>
      </c>
    </row>
    <row r="29" spans="1:8" x14ac:dyDescent="0.25">
      <c r="A29" s="4">
        <v>23</v>
      </c>
      <c r="B29" s="4">
        <f>IFERROR(IF(SUMIFS(tblDaily[Admissions],tblDaily[EntryDate],DATE(2026,1,23),tblDaily[WardCode],"FAE")=0,"",SUMIFS(tblDaily[Admissions],tblDaily[EntryDate],DATE(2026,1,23),tblDaily[WardCode],"FAE")),"")</f>
        <v>1</v>
      </c>
      <c r="C29" s="4">
        <f>IFERROR(IF(SUMIFS(tblDaily[Discharges],tblDaily[EntryDate],DATE(2026,1,23),tblDaily[WardCode],"FAE")=0,"",SUMIFS(tblDaily[Discharges],tblDaily[EntryDate],DATE(2026,1,23),tblDaily[WardCode],"FAE")),"")</f>
        <v>2</v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>
        <f>IFERROR(IF(SUMIFS(tblDaily[Remaining],tblDaily[EntryDate],DATE(2026,1,23),tblDaily[WardCode],"FAE")=0,"",SUMIFS(tblDaily[Remaining],tblDaily[EntryDate],DATE(2026,1,23),tblDaily[WardCode],"FAE")),"")</f>
        <v>2</v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>
        <f>IFERROR(IF(SUMIFS(tblDaily[Discharges],tblDaily[EntryDate],DATE(2026,1,24),tblDaily[WardCode],"FAE")=0,"",SUMIFS(tblDaily[Discharges],tblDaily[EntryDate],DATE(2026,1,24),tblDaily[WardCode],"FAE")),"")</f>
        <v>1</v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>
        <f>IFERROR(IF(SUMIFS(tblDaily[TransfersOut],tblDaily[EntryDate],DATE(2026,1,24),tblDaily[WardCode],"FAE")=0,"",SUMIFS(tblDaily[TransfersOut],tblDaily[EntryDate],DATE(2026,1,24),tblDaily[WardCode],"FAE")),"")</f>
        <v>1</v>
      </c>
      <c r="H30" s="4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4">
        <v>25</v>
      </c>
      <c r="B31" s="4">
        <f>IFERROR(IF(SUMIFS(tblDaily[Admissions],tblDaily[EntryDate],DATE(2026,1,25),tblDaily[WardCode],"FAE")=0,"",SUMIFS(tblDaily[Admissions],tblDaily[EntryDate],DATE(2026,1,25),tblDaily[WardCode],"FAE")),"")</f>
        <v>2</v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>
        <f>IFERROR(IF(SUMIFS(tblDaily[Remaining],tblDaily[EntryDate],DATE(2026,1,25),tblDaily[WardCode],"FAE")=0,"",SUMIFS(tblDaily[Remaining],tblDaily[EntryDate],DATE(2026,1,25),tblDaily[WardCode],"FAE")),"")</f>
        <v>2</v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>
        <f>IFERROR(IF(SUMIFS(tblDaily[TransfersOut],tblDaily[EntryDate],DATE(2026,1,26),tblDaily[WardCode],"FAE")=0,"",SUMIFS(tblDaily[TransfersOut],tblDaily[EntryDate],DATE(2026,1,26),tblDaily[WardCode],"FAE")),"")</f>
        <v>1</v>
      </c>
      <c r="H32" s="4">
        <f>IFERROR(IF(SUMIFS(tblDaily[Remaining],tblDaily[EntryDate],DATE(2026,1,26),tblDaily[WardCode],"FAE")=0,"",SUMIFS(tblDaily[Remaining],tblDaily[EntryDate],DATE(2026,1,26),tblDaily[WardCode],"FAE")),"")</f>
        <v>1</v>
      </c>
    </row>
    <row r="33" spans="1:8" x14ac:dyDescent="0.25">
      <c r="A33" s="4">
        <v>27</v>
      </c>
      <c r="B33" s="4">
        <f>IFERROR(IF(SUMIFS(tblDaily[Admissions],tblDaily[EntryDate],DATE(2026,1,27),tblDaily[WardCode],"FAE")=0,"",SUMIFS(tblDaily[Admissions],tblDaily[EntryDate],DATE(2026,1,27),tblDaily[WardCode],"FAE")),"")</f>
        <v>1</v>
      </c>
      <c r="C33" s="4">
        <f>IFERROR(IF(SUMIFS(tblDaily[Discharges],tblDaily[EntryDate],DATE(2026,1,27),tblDaily[WardCode],"FAE")=0,"",SUMIFS(tblDaily[Discharges],tblDaily[EntryDate],DATE(2026,1,27),tblDaily[WardCode],"FAE")),"")</f>
        <v>1</v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>
        <f>IFERROR(IF(SUMIFS(tblDaily[TransfersOut],tblDaily[EntryDate],DATE(2026,1,27),tblDaily[WardCode],"FAE")=0,"",SUMIFS(tblDaily[TransfersOut],tblDaily[EntryDate],DATE(2026,1,27),tblDaily[WardCode],"FAE")),"")</f>
        <v>1</v>
      </c>
      <c r="H33" s="4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4">
        <v>28</v>
      </c>
      <c r="B34" s="4">
        <f>IFERROR(IF(SUMIFS(tblDaily[Admissions],tblDaily[EntryDate],DATE(2026,1,28),tblDaily[WardCode],"FAE")=0,"",SUMIFS(tblDaily[Admissions],tblDaily[EntryDate],DATE(2026,1,28),tblDaily[WardCode],"FAE")),"")</f>
        <v>4</v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>
        <f>IFERROR(IF(SUMIFS(tblDaily[TransfersOut],tblDaily[EntryDate],DATE(2026,1,28),tblDaily[WardCode],"FAE")=0,"",SUMIFS(tblDaily[TransfersOut],tblDaily[EntryDate],DATE(2026,1,28),tblDaily[WardCode],"FAE")),"")</f>
        <v>1</v>
      </c>
      <c r="H34" s="4">
        <f>IFERROR(IF(SUMIFS(tblDaily[Remaining],tblDaily[EntryDate],DATE(2026,1,28),tblDaily[WardCode],"FAE")=0,"",SUMIFS(tblDaily[Remaining],tblDaily[EntryDate],DATE(2026,1,28),tblDaily[WardCode],"FAE")),"")</f>
        <v>3</v>
      </c>
    </row>
    <row r="35" spans="1:8" x14ac:dyDescent="0.25">
      <c r="A35" s="4">
        <v>29</v>
      </c>
      <c r="B35" s="4">
        <f>IFERROR(IF(SUMIFS(tblDaily[Admissions],tblDaily[EntryDate],DATE(2026,1,29),tblDaily[WardCode],"FAE")=0,"",SUMIFS(tblDaily[Admissions],tblDaily[EntryDate],DATE(2026,1,29),tblDaily[WardCode],"FAE")),"")</f>
        <v>2</v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>
        <f>IFERROR(IF(SUMIFS(tblDaily[TransfersOut],tblDaily[EntryDate],DATE(2026,1,29),tblDaily[WardCode],"FAE")=0,"",SUMIFS(tblDaily[TransfersOut],tblDaily[EntryDate],DATE(2026,1,29),tblDaily[WardCode],"FAE")),"")</f>
        <v>2</v>
      </c>
      <c r="H35" s="4">
        <f>IFERROR(IF(SUMIFS(tblDaily[Remaining],tblDaily[EntryDate],DATE(2026,1,29),tblDaily[WardCode],"FAE")=0,"",SUMIFS(tblDaily[Remaining],tblDaily[EntryDate],DATE(2026,1,29),tblDaily[WardCode],"FAE")),"")</f>
        <v>3</v>
      </c>
    </row>
    <row r="36" spans="1:8" x14ac:dyDescent="0.25">
      <c r="A36" s="4">
        <v>30</v>
      </c>
      <c r="B36" s="4">
        <f>IFERROR(IF(SUMIFS(tblDaily[Admissions],tblDaily[EntryDate],DATE(2026,1,30),tblDaily[WardCode],"FAE")=0,"",SUMIFS(tblDaily[Admissions],tblDaily[EntryDate],DATE(2026,1,30),tblDaily[WardCode],"FAE")),"")</f>
        <v>5</v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>
        <f>IFERROR(IF(SUMIFS(tblDaily[TransfersOut],tblDaily[EntryDate],DATE(2026,1,30),tblDaily[WardCode],"FAE")=0,"",SUMIFS(tblDaily[TransfersOut],tblDaily[EntryDate],DATE(2026,1,30),tblDaily[WardCode],"FAE")),"")</f>
        <v>2</v>
      </c>
      <c r="H36" s="4">
        <f>IFERROR(IF(SUMIFS(tblDaily[Remaining],tblDaily[EntryDate],DATE(2026,1,30),tblDaily[WardCode],"FAE")=0,"",SUMIFS(tblDaily[Remaining],tblDaily[EntryDate],DATE(2026,1,30),tblDaily[WardCode],"FAE")),"")</f>
        <v>6</v>
      </c>
    </row>
    <row r="37" spans="1:8" x14ac:dyDescent="0.25">
      <c r="A37" s="4">
        <v>31</v>
      </c>
      <c r="B37" s="4">
        <f>IFERROR(IF(SUMIFS(tblDaily[Admissions],tblDaily[EntryDate],DATE(2026,1,31),tblDaily[WardCode],"FAE")=0,"",SUMIFS(tblDaily[Admissions],tblDaily[EntryDate],DATE(2026,1,31),tblDaily[WardCode],"FAE")),"")</f>
        <v>1</v>
      </c>
      <c r="C37" s="4">
        <f>IFERROR(IF(SUMIFS(tblDaily[Discharges],tblDaily[EntryDate],DATE(2026,1,31),tblDaily[WardCode],"FAE")=0,"",SUMIFS(tblDaily[Discharges],tblDaily[EntryDate],DATE(2026,1,31),tblDaily[WardCode],"FAE")),"")</f>
        <v>1</v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>
        <f>IFERROR(IF(SUMIFS(tblDaily[TransfersOut],tblDaily[EntryDate],DATE(2026,1,31),tblDaily[WardCode],"FAE")=0,"",SUMIFS(tblDaily[TransfersOut],tblDaily[EntryDate],DATE(2026,1,31),tblDaily[WardCode],"FAE")),"")</f>
        <v>2</v>
      </c>
      <c r="H37" s="4">
        <f>IFERROR(IF(SUMIFS(tblDaily[Remaining],tblDaily[EntryDate],DATE(2026,1,31),tblDaily[WardCode],"FAE")=0,"",SUMIFS(tblDaily[Remaining],tblDaily[EntryDate],DATE(2026,1,31),tblDaily[WardCode],"FAE")),"")</f>
        <v>4</v>
      </c>
    </row>
    <row r="38" spans="1:8" x14ac:dyDescent="0.25">
      <c r="A38" s="9" t="s">
        <v>112</v>
      </c>
      <c r="B38" s="9">
        <f>SUMIFS(tblDaily[Admissions],tblDaily[Month],1,tblDaily[WardCode],"FAE") - SUMIFS(tblDaily[DeathsUnder24Hrs],tblDaily[Month],1,tblDaily[WardCode],"FAE")</f>
        <v>46</v>
      </c>
      <c r="C38" s="9">
        <f>SUMIFS(tblDaily[Discharges],tblDaily[Month],1,tblDaily[WardCode],"FAE")</f>
        <v>13</v>
      </c>
      <c r="D38" s="9">
        <f>SUMIFS(tblDaily[Deaths],tblDaily[Month],1,tblDaily[WardCode],"FAE")</f>
        <v>0</v>
      </c>
      <c r="E38" s="9">
        <f>SUMIFS(tblDaily[DeathsUnder24Hrs],tblDaily[Month],1,tblDaily[WardCode],"FAE")</f>
        <v>1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30</v>
      </c>
      <c r="H38" s="9">
        <f>SUMIFS(tblDaily[Remaining],tblDaily[Month],1,tblDaily[WardCode],"FAE")</f>
        <v>55</v>
      </c>
    </row>
    <row r="40" spans="1:8" ht="18.75" x14ac:dyDescent="0.25">
      <c r="A40" s="28" t="s">
        <v>0</v>
      </c>
      <c r="B40" s="29"/>
      <c r="C40" s="29"/>
      <c r="D40" s="29"/>
      <c r="E40" s="29"/>
      <c r="F40" s="29"/>
      <c r="G40" s="29"/>
    </row>
    <row r="41" spans="1:8" ht="15.75" x14ac:dyDescent="0.25">
      <c r="A41" s="35" t="s">
        <v>101</v>
      </c>
      <c r="B41" s="29"/>
      <c r="C41" s="29"/>
      <c r="D41" s="29"/>
      <c r="E41" s="29"/>
      <c r="F41" s="29"/>
      <c r="G41" s="29"/>
    </row>
    <row r="42" spans="1:8" x14ac:dyDescent="0.25">
      <c r="A42" s="1" t="s">
        <v>4</v>
      </c>
      <c r="B42" s="2" t="s">
        <v>2</v>
      </c>
      <c r="D42" s="1" t="s">
        <v>102</v>
      </c>
      <c r="E42" s="2" t="s">
        <v>120</v>
      </c>
      <c r="F42" s="1" t="s">
        <v>104</v>
      </c>
      <c r="G42" s="2" t="s">
        <v>61</v>
      </c>
    </row>
    <row r="43" spans="1:8" x14ac:dyDescent="0.25">
      <c r="A43" s="1" t="s">
        <v>105</v>
      </c>
      <c r="H43" s="6">
        <f>IFERROR(SUMIFS(tblDaily[Remaining],tblDaily[EntryDate],DATE(2026,1,31),tblDaily[WardCode],"FAE"),0)</f>
        <v>4</v>
      </c>
    </row>
    <row r="44" spans="1:8" x14ac:dyDescent="0.25">
      <c r="A44" s="1" t="s">
        <v>106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107</v>
      </c>
      <c r="B45" s="8" t="s">
        <v>74</v>
      </c>
      <c r="C45" s="8" t="s">
        <v>75</v>
      </c>
      <c r="D45" s="8" t="s">
        <v>76</v>
      </c>
      <c r="E45" s="8" t="s">
        <v>108</v>
      </c>
      <c r="F45" s="8" t="s">
        <v>109</v>
      </c>
      <c r="G45" s="8" t="s">
        <v>110</v>
      </c>
      <c r="H45" s="8" t="s">
        <v>111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112</v>
      </c>
      <c r="B77" s="9">
        <f>SUMIFS(tblDaily[Admissions],tblDaily[Month],2,tblDaily[WardCode],"FAE") - SUMIFS(tblDaily[DeathsUnder24Hrs],tblDaily[Month],2,tblDaily[WardCode],"FAE")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28" t="s">
        <v>0</v>
      </c>
      <c r="B79" s="29"/>
      <c r="C79" s="29"/>
      <c r="D79" s="29"/>
      <c r="E79" s="29"/>
      <c r="F79" s="29"/>
      <c r="G79" s="29"/>
    </row>
    <row r="80" spans="1:8" ht="15.75" x14ac:dyDescent="0.25">
      <c r="A80" s="35" t="s">
        <v>101</v>
      </c>
      <c r="B80" s="29"/>
      <c r="C80" s="29"/>
      <c r="D80" s="29"/>
      <c r="E80" s="29"/>
      <c r="F80" s="29"/>
      <c r="G80" s="29"/>
    </row>
    <row r="81" spans="1:8" x14ac:dyDescent="0.25">
      <c r="A81" s="1" t="s">
        <v>4</v>
      </c>
      <c r="B81" s="2" t="s">
        <v>2</v>
      </c>
      <c r="D81" s="1" t="s">
        <v>102</v>
      </c>
      <c r="E81" s="2" t="s">
        <v>120</v>
      </c>
      <c r="F81" s="1" t="s">
        <v>104</v>
      </c>
      <c r="G81" s="2" t="s">
        <v>62</v>
      </c>
    </row>
    <row r="82" spans="1:8" x14ac:dyDescent="0.25">
      <c r="A82" s="1" t="s">
        <v>105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106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107</v>
      </c>
      <c r="B84" s="8" t="s">
        <v>74</v>
      </c>
      <c r="C84" s="8" t="s">
        <v>75</v>
      </c>
      <c r="D84" s="8" t="s">
        <v>76</v>
      </c>
      <c r="E84" s="8" t="s">
        <v>108</v>
      </c>
      <c r="F84" s="8" t="s">
        <v>109</v>
      </c>
      <c r="G84" s="8" t="s">
        <v>110</v>
      </c>
      <c r="H84" s="8" t="s">
        <v>111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112</v>
      </c>
      <c r="B116" s="9">
        <f>SUMIFS(tblDaily[Admissions],tblDaily[Month],3,tblDaily[WardCode],"FAE") - SUMIFS(tblDaily[DeathsUnder24Hrs],tblDaily[Month],3,tblDaily[WardCode],"FAE")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28" t="s">
        <v>0</v>
      </c>
      <c r="B118" s="29"/>
      <c r="C118" s="29"/>
      <c r="D118" s="29"/>
      <c r="E118" s="29"/>
      <c r="F118" s="29"/>
      <c r="G118" s="29"/>
    </row>
    <row r="119" spans="1:8" ht="15.75" x14ac:dyDescent="0.25">
      <c r="A119" s="35" t="s">
        <v>101</v>
      </c>
      <c r="B119" s="29"/>
      <c r="C119" s="29"/>
      <c r="D119" s="29"/>
      <c r="E119" s="29"/>
      <c r="F119" s="29"/>
      <c r="G119" s="29"/>
    </row>
    <row r="120" spans="1:8" x14ac:dyDescent="0.25">
      <c r="A120" s="1" t="s">
        <v>4</v>
      </c>
      <c r="B120" s="2" t="s">
        <v>2</v>
      </c>
      <c r="D120" s="1" t="s">
        <v>102</v>
      </c>
      <c r="E120" s="2" t="s">
        <v>120</v>
      </c>
      <c r="F120" s="1" t="s">
        <v>104</v>
      </c>
      <c r="G120" s="2" t="s">
        <v>63</v>
      </c>
    </row>
    <row r="121" spans="1:8" x14ac:dyDescent="0.25">
      <c r="A121" s="1" t="s">
        <v>105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106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107</v>
      </c>
      <c r="B123" s="8" t="s">
        <v>74</v>
      </c>
      <c r="C123" s="8" t="s">
        <v>75</v>
      </c>
      <c r="D123" s="8" t="s">
        <v>76</v>
      </c>
      <c r="E123" s="8" t="s">
        <v>108</v>
      </c>
      <c r="F123" s="8" t="s">
        <v>109</v>
      </c>
      <c r="G123" s="8" t="s">
        <v>110</v>
      </c>
      <c r="H123" s="8" t="s">
        <v>111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112</v>
      </c>
      <c r="B155" s="9">
        <f>SUMIFS(tblDaily[Admissions],tblDaily[Month],4,tblDaily[WardCode],"FAE") - SUMIFS(tblDaily[DeathsUnder24Hrs],tblDaily[Month],4,tblDaily[WardCode],"FAE")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28" t="s">
        <v>0</v>
      </c>
      <c r="B157" s="29"/>
      <c r="C157" s="29"/>
      <c r="D157" s="29"/>
      <c r="E157" s="29"/>
      <c r="F157" s="29"/>
      <c r="G157" s="29"/>
    </row>
    <row r="158" spans="1:8" ht="15.75" x14ac:dyDescent="0.25">
      <c r="A158" s="35" t="s">
        <v>101</v>
      </c>
      <c r="B158" s="29"/>
      <c r="C158" s="29"/>
      <c r="D158" s="29"/>
      <c r="E158" s="29"/>
      <c r="F158" s="29"/>
      <c r="G158" s="29"/>
    </row>
    <row r="159" spans="1:8" x14ac:dyDescent="0.25">
      <c r="A159" s="1" t="s">
        <v>4</v>
      </c>
      <c r="B159" s="2" t="s">
        <v>2</v>
      </c>
      <c r="D159" s="1" t="s">
        <v>102</v>
      </c>
      <c r="E159" s="2" t="s">
        <v>120</v>
      </c>
      <c r="F159" s="1" t="s">
        <v>104</v>
      </c>
      <c r="G159" s="2" t="s">
        <v>64</v>
      </c>
    </row>
    <row r="160" spans="1:8" x14ac:dyDescent="0.25">
      <c r="A160" s="1" t="s">
        <v>105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106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107</v>
      </c>
      <c r="B162" s="8" t="s">
        <v>74</v>
      </c>
      <c r="C162" s="8" t="s">
        <v>75</v>
      </c>
      <c r="D162" s="8" t="s">
        <v>76</v>
      </c>
      <c r="E162" s="8" t="s">
        <v>108</v>
      </c>
      <c r="F162" s="8" t="s">
        <v>109</v>
      </c>
      <c r="G162" s="8" t="s">
        <v>110</v>
      </c>
      <c r="H162" s="8" t="s">
        <v>111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112</v>
      </c>
      <c r="B194" s="9">
        <f>SUMIFS(tblDaily[Admissions],tblDaily[Month],5,tblDaily[WardCode],"FAE") - SUMIFS(tblDaily[DeathsUnder24Hrs],tblDaily[Month],5,tblDaily[WardCode],"FAE")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28" t="s">
        <v>0</v>
      </c>
      <c r="B196" s="29"/>
      <c r="C196" s="29"/>
      <c r="D196" s="29"/>
      <c r="E196" s="29"/>
      <c r="F196" s="29"/>
      <c r="G196" s="29"/>
    </row>
    <row r="197" spans="1:8" ht="15.75" x14ac:dyDescent="0.25">
      <c r="A197" s="35" t="s">
        <v>101</v>
      </c>
      <c r="B197" s="29"/>
      <c r="C197" s="29"/>
      <c r="D197" s="29"/>
      <c r="E197" s="29"/>
      <c r="F197" s="29"/>
      <c r="G197" s="29"/>
    </row>
    <row r="198" spans="1:8" x14ac:dyDescent="0.25">
      <c r="A198" s="1" t="s">
        <v>4</v>
      </c>
      <c r="B198" s="2" t="s">
        <v>2</v>
      </c>
      <c r="D198" s="1" t="s">
        <v>102</v>
      </c>
      <c r="E198" s="2" t="s">
        <v>120</v>
      </c>
      <c r="F198" s="1" t="s">
        <v>104</v>
      </c>
      <c r="G198" s="2" t="s">
        <v>65</v>
      </c>
    </row>
    <row r="199" spans="1:8" x14ac:dyDescent="0.25">
      <c r="A199" s="1" t="s">
        <v>105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106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107</v>
      </c>
      <c r="B201" s="8" t="s">
        <v>74</v>
      </c>
      <c r="C201" s="8" t="s">
        <v>75</v>
      </c>
      <c r="D201" s="8" t="s">
        <v>76</v>
      </c>
      <c r="E201" s="8" t="s">
        <v>108</v>
      </c>
      <c r="F201" s="8" t="s">
        <v>109</v>
      </c>
      <c r="G201" s="8" t="s">
        <v>110</v>
      </c>
      <c r="H201" s="8" t="s">
        <v>111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112</v>
      </c>
      <c r="B233" s="9">
        <f>SUMIFS(tblDaily[Admissions],tblDaily[Month],6,tblDaily[WardCode],"FAE") - SUMIFS(tblDaily[DeathsUnder24Hrs],tblDaily[Month],6,tblDaily[WardCode],"FAE")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28" t="s">
        <v>0</v>
      </c>
      <c r="B235" s="29"/>
      <c r="C235" s="29"/>
      <c r="D235" s="29"/>
      <c r="E235" s="29"/>
      <c r="F235" s="29"/>
      <c r="G235" s="29"/>
    </row>
    <row r="236" spans="1:8" ht="15.75" x14ac:dyDescent="0.25">
      <c r="A236" s="35" t="s">
        <v>101</v>
      </c>
      <c r="B236" s="29"/>
      <c r="C236" s="29"/>
      <c r="D236" s="29"/>
      <c r="E236" s="29"/>
      <c r="F236" s="29"/>
      <c r="G236" s="29"/>
    </row>
    <row r="237" spans="1:8" x14ac:dyDescent="0.25">
      <c r="A237" s="1" t="s">
        <v>4</v>
      </c>
      <c r="B237" s="2" t="s">
        <v>2</v>
      </c>
      <c r="D237" s="1" t="s">
        <v>102</v>
      </c>
      <c r="E237" s="2" t="s">
        <v>120</v>
      </c>
      <c r="F237" s="1" t="s">
        <v>104</v>
      </c>
      <c r="G237" s="2" t="s">
        <v>66</v>
      </c>
    </row>
    <row r="238" spans="1:8" x14ac:dyDescent="0.25">
      <c r="A238" s="1" t="s">
        <v>105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106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107</v>
      </c>
      <c r="B240" s="8" t="s">
        <v>74</v>
      </c>
      <c r="C240" s="8" t="s">
        <v>75</v>
      </c>
      <c r="D240" s="8" t="s">
        <v>76</v>
      </c>
      <c r="E240" s="8" t="s">
        <v>108</v>
      </c>
      <c r="F240" s="8" t="s">
        <v>109</v>
      </c>
      <c r="G240" s="8" t="s">
        <v>110</v>
      </c>
      <c r="H240" s="8" t="s">
        <v>111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112</v>
      </c>
      <c r="B272" s="9">
        <f>SUMIFS(tblDaily[Admissions],tblDaily[Month],7,tblDaily[WardCode],"FAE") - SUMIFS(tblDaily[DeathsUnder24Hrs],tblDaily[Month],7,tblDaily[WardCode],"FAE")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28" t="s">
        <v>0</v>
      </c>
      <c r="B274" s="29"/>
      <c r="C274" s="29"/>
      <c r="D274" s="29"/>
      <c r="E274" s="29"/>
      <c r="F274" s="29"/>
      <c r="G274" s="29"/>
    </row>
    <row r="275" spans="1:8" ht="15.75" x14ac:dyDescent="0.25">
      <c r="A275" s="35" t="s">
        <v>101</v>
      </c>
      <c r="B275" s="29"/>
      <c r="C275" s="29"/>
      <c r="D275" s="29"/>
      <c r="E275" s="29"/>
      <c r="F275" s="29"/>
      <c r="G275" s="29"/>
    </row>
    <row r="276" spans="1:8" x14ac:dyDescent="0.25">
      <c r="A276" s="1" t="s">
        <v>4</v>
      </c>
      <c r="B276" s="2" t="s">
        <v>2</v>
      </c>
      <c r="D276" s="1" t="s">
        <v>102</v>
      </c>
      <c r="E276" s="2" t="s">
        <v>120</v>
      </c>
      <c r="F276" s="1" t="s">
        <v>104</v>
      </c>
      <c r="G276" s="2" t="s">
        <v>67</v>
      </c>
    </row>
    <row r="277" spans="1:8" x14ac:dyDescent="0.25">
      <c r="A277" s="1" t="s">
        <v>105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106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107</v>
      </c>
      <c r="B279" s="8" t="s">
        <v>74</v>
      </c>
      <c r="C279" s="8" t="s">
        <v>75</v>
      </c>
      <c r="D279" s="8" t="s">
        <v>76</v>
      </c>
      <c r="E279" s="8" t="s">
        <v>108</v>
      </c>
      <c r="F279" s="8" t="s">
        <v>109</v>
      </c>
      <c r="G279" s="8" t="s">
        <v>110</v>
      </c>
      <c r="H279" s="8" t="s">
        <v>111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112</v>
      </c>
      <c r="B311" s="9">
        <f>SUMIFS(tblDaily[Admissions],tblDaily[Month],8,tblDaily[WardCode],"FAE") - SUMIFS(tblDaily[DeathsUnder24Hrs],tblDaily[Month],8,tblDaily[WardCode],"FAE")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28" t="s">
        <v>0</v>
      </c>
      <c r="B313" s="29"/>
      <c r="C313" s="29"/>
      <c r="D313" s="29"/>
      <c r="E313" s="29"/>
      <c r="F313" s="29"/>
      <c r="G313" s="29"/>
    </row>
    <row r="314" spans="1:8" ht="15.75" x14ac:dyDescent="0.25">
      <c r="A314" s="35" t="s">
        <v>101</v>
      </c>
      <c r="B314" s="29"/>
      <c r="C314" s="29"/>
      <c r="D314" s="29"/>
      <c r="E314" s="29"/>
      <c r="F314" s="29"/>
      <c r="G314" s="29"/>
    </row>
    <row r="315" spans="1:8" x14ac:dyDescent="0.25">
      <c r="A315" s="1" t="s">
        <v>4</v>
      </c>
      <c r="B315" s="2" t="s">
        <v>2</v>
      </c>
      <c r="D315" s="1" t="s">
        <v>102</v>
      </c>
      <c r="E315" s="2" t="s">
        <v>120</v>
      </c>
      <c r="F315" s="1" t="s">
        <v>104</v>
      </c>
      <c r="G315" s="2" t="s">
        <v>68</v>
      </c>
    </row>
    <row r="316" spans="1:8" x14ac:dyDescent="0.25">
      <c r="A316" s="1" t="s">
        <v>105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106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107</v>
      </c>
      <c r="B318" s="8" t="s">
        <v>74</v>
      </c>
      <c r="C318" s="8" t="s">
        <v>75</v>
      </c>
      <c r="D318" s="8" t="s">
        <v>76</v>
      </c>
      <c r="E318" s="8" t="s">
        <v>108</v>
      </c>
      <c r="F318" s="8" t="s">
        <v>109</v>
      </c>
      <c r="G318" s="8" t="s">
        <v>110</v>
      </c>
      <c r="H318" s="8" t="s">
        <v>111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112</v>
      </c>
      <c r="B350" s="9">
        <f>SUMIFS(tblDaily[Admissions],tblDaily[Month],9,tblDaily[WardCode],"FAE") - SUMIFS(tblDaily[DeathsUnder24Hrs],tblDaily[Month],9,tblDaily[WardCode],"FAE")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28" t="s">
        <v>0</v>
      </c>
      <c r="B352" s="29"/>
      <c r="C352" s="29"/>
      <c r="D352" s="29"/>
      <c r="E352" s="29"/>
      <c r="F352" s="29"/>
      <c r="G352" s="29"/>
    </row>
    <row r="353" spans="1:8" ht="15.75" x14ac:dyDescent="0.25">
      <c r="A353" s="35" t="s">
        <v>101</v>
      </c>
      <c r="B353" s="29"/>
      <c r="C353" s="29"/>
      <c r="D353" s="29"/>
      <c r="E353" s="29"/>
      <c r="F353" s="29"/>
      <c r="G353" s="29"/>
    </row>
    <row r="354" spans="1:8" x14ac:dyDescent="0.25">
      <c r="A354" s="1" t="s">
        <v>4</v>
      </c>
      <c r="B354" s="2" t="s">
        <v>2</v>
      </c>
      <c r="D354" s="1" t="s">
        <v>102</v>
      </c>
      <c r="E354" s="2" t="s">
        <v>120</v>
      </c>
      <c r="F354" s="1" t="s">
        <v>104</v>
      </c>
      <c r="G354" s="2" t="s">
        <v>69</v>
      </c>
    </row>
    <row r="355" spans="1:8" x14ac:dyDescent="0.25">
      <c r="A355" s="1" t="s">
        <v>105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106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107</v>
      </c>
      <c r="B357" s="8" t="s">
        <v>74</v>
      </c>
      <c r="C357" s="8" t="s">
        <v>75</v>
      </c>
      <c r="D357" s="8" t="s">
        <v>76</v>
      </c>
      <c r="E357" s="8" t="s">
        <v>108</v>
      </c>
      <c r="F357" s="8" t="s">
        <v>109</v>
      </c>
      <c r="G357" s="8" t="s">
        <v>110</v>
      </c>
      <c r="H357" s="8" t="s">
        <v>111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112</v>
      </c>
      <c r="B389" s="9">
        <f>SUMIFS(tblDaily[Admissions],tblDaily[Month],10,tblDaily[WardCode],"FAE") - SUMIFS(tblDaily[DeathsUnder24Hrs],tblDaily[Month],10,tblDaily[WardCode],"FAE")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28" t="s">
        <v>0</v>
      </c>
      <c r="B391" s="29"/>
      <c r="C391" s="29"/>
      <c r="D391" s="29"/>
      <c r="E391" s="29"/>
      <c r="F391" s="29"/>
      <c r="G391" s="29"/>
    </row>
    <row r="392" spans="1:8" ht="15.75" x14ac:dyDescent="0.25">
      <c r="A392" s="35" t="s">
        <v>101</v>
      </c>
      <c r="B392" s="29"/>
      <c r="C392" s="29"/>
      <c r="D392" s="29"/>
      <c r="E392" s="29"/>
      <c r="F392" s="29"/>
      <c r="G392" s="29"/>
    </row>
    <row r="393" spans="1:8" x14ac:dyDescent="0.25">
      <c r="A393" s="1" t="s">
        <v>4</v>
      </c>
      <c r="B393" s="2" t="s">
        <v>2</v>
      </c>
      <c r="D393" s="1" t="s">
        <v>102</v>
      </c>
      <c r="E393" s="2" t="s">
        <v>120</v>
      </c>
      <c r="F393" s="1" t="s">
        <v>104</v>
      </c>
      <c r="G393" s="2" t="s">
        <v>70</v>
      </c>
    </row>
    <row r="394" spans="1:8" x14ac:dyDescent="0.25">
      <c r="A394" s="1" t="s">
        <v>105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106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107</v>
      </c>
      <c r="B396" s="8" t="s">
        <v>74</v>
      </c>
      <c r="C396" s="8" t="s">
        <v>75</v>
      </c>
      <c r="D396" s="8" t="s">
        <v>76</v>
      </c>
      <c r="E396" s="8" t="s">
        <v>108</v>
      </c>
      <c r="F396" s="8" t="s">
        <v>109</v>
      </c>
      <c r="G396" s="8" t="s">
        <v>110</v>
      </c>
      <c r="H396" s="8" t="s">
        <v>111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112</v>
      </c>
      <c r="B428" s="9">
        <f>SUMIFS(tblDaily[Admissions],tblDaily[Month],11,tblDaily[WardCode],"FAE") - SUMIFS(tblDaily[DeathsUnder24Hrs],tblDaily[Month],11,tblDaily[WardCode],"FAE")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28" t="s">
        <v>0</v>
      </c>
      <c r="B430" s="29"/>
      <c r="C430" s="29"/>
      <c r="D430" s="29"/>
      <c r="E430" s="29"/>
      <c r="F430" s="29"/>
      <c r="G430" s="29"/>
    </row>
    <row r="431" spans="1:8" ht="15.75" x14ac:dyDescent="0.25">
      <c r="A431" s="35" t="s">
        <v>101</v>
      </c>
      <c r="B431" s="29"/>
      <c r="C431" s="29"/>
      <c r="D431" s="29"/>
      <c r="E431" s="29"/>
      <c r="F431" s="29"/>
      <c r="G431" s="29"/>
    </row>
    <row r="432" spans="1:8" x14ac:dyDescent="0.25">
      <c r="A432" s="1" t="s">
        <v>4</v>
      </c>
      <c r="B432" s="2" t="s">
        <v>2</v>
      </c>
      <c r="D432" s="1" t="s">
        <v>102</v>
      </c>
      <c r="E432" s="2" t="s">
        <v>120</v>
      </c>
      <c r="F432" s="1" t="s">
        <v>104</v>
      </c>
      <c r="G432" s="2" t="s">
        <v>71</v>
      </c>
    </row>
    <row r="433" spans="1:8" x14ac:dyDescent="0.25">
      <c r="A433" s="1" t="s">
        <v>105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106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107</v>
      </c>
      <c r="B435" s="8" t="s">
        <v>74</v>
      </c>
      <c r="C435" s="8" t="s">
        <v>75</v>
      </c>
      <c r="D435" s="8" t="s">
        <v>76</v>
      </c>
      <c r="E435" s="8" t="s">
        <v>108</v>
      </c>
      <c r="F435" s="8" t="s">
        <v>109</v>
      </c>
      <c r="G435" s="8" t="s">
        <v>110</v>
      </c>
      <c r="H435" s="8" t="s">
        <v>111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112</v>
      </c>
      <c r="B467" s="9">
        <f>SUMIFS(tblDaily[Admissions],tblDaily[Month],12,tblDaily[WardCode],"FAE") - SUMIFS(tblDaily[DeathsUnder24Hrs],tblDaily[Month],12,tblDaily[WardCode],"FAE")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P479"/>
  <sheetViews>
    <sheetView workbookViewId="0"/>
  </sheetViews>
  <sheetFormatPr defaultRowHeight="15" x14ac:dyDescent="0.25"/>
  <cols>
    <col min="1" max="1" width="5" customWidth="1"/>
    <col min="2" max="15" width="6" customWidth="1"/>
    <col min="16" max="16" width="8" customWidth="1"/>
  </cols>
  <sheetData>
    <row r="1" spans="1:16" ht="18.75" x14ac:dyDescent="0.25">
      <c r="A1" s="3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</row>
    <row r="2" spans="1:16" ht="15.75" x14ac:dyDescent="0.25">
      <c r="A2" s="35" t="s">
        <v>101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</row>
    <row r="3" spans="1:16" x14ac:dyDescent="0.25">
      <c r="A3" s="1" t="s">
        <v>4</v>
      </c>
      <c r="B3" s="2" t="s">
        <v>2</v>
      </c>
      <c r="E3" s="1" t="s">
        <v>102</v>
      </c>
      <c r="F3" s="1" t="s">
        <v>121</v>
      </c>
      <c r="M3" s="1" t="s">
        <v>104</v>
      </c>
      <c r="N3" s="1" t="s">
        <v>60</v>
      </c>
    </row>
    <row r="4" spans="1:16" x14ac:dyDescent="0.25">
      <c r="A4" s="1" t="s">
        <v>105</v>
      </c>
      <c r="B4" s="11">
        <f>IFERROR(INDEX(tblWardConfig[PrevYearRemaining],MATCH("MAE",tblWardConfig[WardCode],0)),0)</f>
        <v>9</v>
      </c>
      <c r="I4" s="11">
        <f>IFERROR(INDEX(tblWardConfig[PrevYearRemaining],MATCH("FAE",tblWardConfig[WardCode],0)),0)</f>
        <v>1</v>
      </c>
    </row>
    <row r="5" spans="1:16" x14ac:dyDescent="0.25">
      <c r="A5" s="1" t="s">
        <v>106</v>
      </c>
      <c r="B5" s="11">
        <f>IFERROR(INDEX(tblWardConfig[BedComplement],MATCH("MAE",tblWardConfig[WardCode],0)),0)</f>
        <v>10</v>
      </c>
      <c r="I5" s="11">
        <f>IFERROR(INDEX(tblWardConfig[BedComplement],MATCH("FAE",tblWardConfig[WardCode],0)),0)</f>
        <v>10</v>
      </c>
      <c r="O5" s="12">
        <f>B5+I5</f>
        <v>20</v>
      </c>
    </row>
    <row r="6" spans="1:16" x14ac:dyDescent="0.25">
      <c r="A6" s="3" t="s">
        <v>122</v>
      </c>
      <c r="B6" s="38" t="s">
        <v>119</v>
      </c>
      <c r="C6" s="29"/>
      <c r="D6" s="29"/>
      <c r="E6" s="29"/>
      <c r="F6" s="29"/>
      <c r="G6" s="29"/>
      <c r="H6" s="29"/>
      <c r="I6" s="40" t="s">
        <v>120</v>
      </c>
      <c r="J6" s="29"/>
      <c r="K6" s="29"/>
      <c r="L6" s="29"/>
      <c r="M6" s="29"/>
      <c r="N6" s="29"/>
      <c r="O6" s="29"/>
      <c r="P6" s="13" t="s">
        <v>112</v>
      </c>
    </row>
    <row r="7" spans="1:16" x14ac:dyDescent="0.25">
      <c r="A7" s="3" t="s">
        <v>122</v>
      </c>
      <c r="B7" s="3" t="s">
        <v>123</v>
      </c>
      <c r="C7" s="3" t="s">
        <v>124</v>
      </c>
      <c r="D7" s="3" t="s">
        <v>125</v>
      </c>
      <c r="E7" s="3" t="s">
        <v>126</v>
      </c>
      <c r="F7" s="3" t="s">
        <v>127</v>
      </c>
      <c r="G7" s="3" t="s">
        <v>128</v>
      </c>
      <c r="H7" s="3" t="s">
        <v>129</v>
      </c>
      <c r="I7" s="3" t="s">
        <v>123</v>
      </c>
      <c r="J7" s="3" t="s">
        <v>124</v>
      </c>
      <c r="K7" s="3" t="s">
        <v>125</v>
      </c>
      <c r="L7" s="3" t="s">
        <v>126</v>
      </c>
      <c r="M7" s="3" t="s">
        <v>127</v>
      </c>
      <c r="N7" s="3" t="s">
        <v>128</v>
      </c>
      <c r="O7" s="3" t="s">
        <v>129</v>
      </c>
      <c r="P7" s="3" t="s">
        <v>130</v>
      </c>
    </row>
    <row r="8" spans="1:16" x14ac:dyDescent="0.25">
      <c r="A8" s="14">
        <v>1</v>
      </c>
      <c r="B8" s="14">
        <f>IFERROR(IF(SUMIFS(tblDaily[Admissions],tblDaily[EntryDate],DATE(2026,1,1),tblDaily[WardCode],"MAE")=0,"",SUMIFS(tblDaily[Admissions],tblDaily[EntryDate],DATE(2026,1,1),tblDaily[WardCode],"MAE")),"")</f>
        <v>3</v>
      </c>
      <c r="C8" s="14">
        <f>IFERROR(IF(SUMIFS(tblDaily[Discharges],tblDaily[EntryDate],DATE(2026,1,1),tblDaily[WardCode],"MAE")=0,"",SUMIFS(tblDaily[Discharges],tblDaily[EntryDate],DATE(2026,1,1),tblDaily[WardCode],"MAE")),"")</f>
        <v>3</v>
      </c>
      <c r="D8" s="14" t="str">
        <f>IFERROR(IF(SUMIFS(tblDaily[Deaths],tblDaily[EntryDate],DATE(2026,1,1),tblDaily[WardCode],"MAE")=0,"",SUMIFS(tblDaily[Deaths],tblDaily[EntryDate],DATE(2026,1,1),tblDaily[WardCode],"MAE")),"")</f>
        <v/>
      </c>
      <c r="E8" s="14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14" t="str">
        <f>IFERROR(IF(SUMIFS(tblDaily[TransfersIn],tblDaily[EntryDate],DATE(2026,1,1),tblDaily[WardCode],"MAE")=0,"",SUMIFS(tblDaily[TransfersIn],tblDaily[EntryDate],DATE(2026,1,1),tblDaily[WardCode],"MAE")),"")</f>
        <v/>
      </c>
      <c r="G8" s="14">
        <f>IFERROR(IF(SUMIFS(tblDaily[TransfersOut],tblDaily[EntryDate],DATE(2026,1,1),tblDaily[WardCode],"MAE")=0,"",SUMIFS(tblDaily[TransfersOut],tblDaily[EntryDate],DATE(2026,1,1),tblDaily[WardCode],"MAE")),"")</f>
        <v>1</v>
      </c>
      <c r="H8" s="14">
        <f>IFERROR(IF(SUMIFS(tblDaily[Remaining],tblDaily[EntryDate],DATE(2026,1,1),tblDaily[WardCode],"MAE")=0,"",SUMIFS(tblDaily[Remaining],tblDaily[EntryDate],DATE(2026,1,1),tblDaily[WardCode],"MAE")),"")</f>
        <v>8</v>
      </c>
      <c r="I8" s="14" t="str">
        <f>IFERROR(IF(SUMIFS(tblDaily[Admissions],tblDaily[EntryDate],DATE(2026,1,1),tblDaily[WardCode],"FAE")=0,"",SUMIFS(tblDaily[Admissions],tblDaily[EntryDate],DATE(2026,1,1),tblDaily[WardCode],"FAE")),"")</f>
        <v/>
      </c>
      <c r="J8" s="14" t="str">
        <f>IFERROR(IF(SUMIFS(tblDaily[Discharges],tblDaily[EntryDate],DATE(2026,1,1),tblDaily[WardCode],"FAE")=0,"",SUMIFS(tblDaily[Discharges],tblDaily[EntryDate],DATE(2026,1,1),tblDaily[WardCode],"FAE")),"")</f>
        <v/>
      </c>
      <c r="K8" s="14" t="str">
        <f>IFERROR(IF(SUMIFS(tblDaily[Deaths],tblDaily[EntryDate],DATE(2026,1,1),tblDaily[WardCode],"FAE")=0,"",SUMIFS(tblDaily[Deaths],tblDaily[EntryDate],DATE(2026,1,1),tblDaily[WardCode],"FAE")),"")</f>
        <v/>
      </c>
      <c r="L8" s="14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14" t="str">
        <f>IFERROR(IF(SUMIFS(tblDaily[TransfersIn],tblDaily[EntryDate],DATE(2026,1,1),tblDaily[WardCode],"FAE")=0,"",SUMIFS(tblDaily[TransfersIn],tblDaily[EntryDate],DATE(2026,1,1),tblDaily[WardCode],"FAE")),"")</f>
        <v/>
      </c>
      <c r="N8" s="14">
        <f>IFERROR(IF(SUMIFS(tblDaily[TransfersOut],tblDaily[EntryDate],DATE(2026,1,1),tblDaily[WardCode],"FAE")=0,"",SUMIFS(tblDaily[TransfersOut],tblDaily[EntryDate],DATE(2026,1,1),tblDaily[WardCode],"FAE")),"")</f>
        <v>1</v>
      </c>
      <c r="O8" s="14" t="str">
        <f>IFERROR(IF(SUMIFS(tblDaily[Remaining],tblDaily[EntryDate],DATE(2026,1,1),tblDaily[WardCode],"FAE")=0,"",SUMIFS(tblDaily[Remaining],tblDaily[EntryDate],DATE(2026,1,1),tblDaily[WardCode],"FAE")),"")</f>
        <v/>
      </c>
      <c r="P8" s="15">
        <f t="shared" ref="P8:P38" si="0">IF(AND(H8="", O8=""), "", N(H8) + N(O8))</f>
        <v>8</v>
      </c>
    </row>
    <row r="9" spans="1:16" x14ac:dyDescent="0.25">
      <c r="A9" s="14">
        <v>2</v>
      </c>
      <c r="B9" s="14">
        <f>IFERROR(IF(SUMIFS(tblDaily[Admissions],tblDaily[EntryDate],DATE(2026,1,2),tblDaily[WardCode],"MAE")=0,"",SUMIFS(tblDaily[Admissions],tblDaily[EntryDate],DATE(2026,1,2),tblDaily[WardCode],"MAE")),"")</f>
        <v>4</v>
      </c>
      <c r="C9" s="14">
        <f>IFERROR(IF(SUMIFS(tblDaily[Discharges],tblDaily[EntryDate],DATE(2026,1,2),tblDaily[WardCode],"MAE")=0,"",SUMIFS(tblDaily[Discharges],tblDaily[EntryDate],DATE(2026,1,2),tblDaily[WardCode],"MAE")),"")</f>
        <v>3</v>
      </c>
      <c r="D9" s="14" t="str">
        <f>IFERROR(IF(SUMIFS(tblDaily[Deaths],tblDaily[EntryDate],DATE(2026,1,2),tblDaily[WardCode],"MAE")=0,"",SUMIFS(tblDaily[Deaths],tblDaily[EntryDate],DATE(2026,1,2),tblDaily[WardCode],"MAE")),"")</f>
        <v/>
      </c>
      <c r="E9" s="14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14" t="str">
        <f>IFERROR(IF(SUMIFS(tblDaily[TransfersIn],tblDaily[EntryDate],DATE(2026,1,2),tblDaily[WardCode],"MAE")=0,"",SUMIFS(tblDaily[TransfersIn],tblDaily[EntryDate],DATE(2026,1,2),tblDaily[WardCode],"MAE")),"")</f>
        <v/>
      </c>
      <c r="G9" s="14" t="str">
        <f>IFERROR(IF(SUMIFS(tblDaily[TransfersOut],tblDaily[EntryDate],DATE(2026,1,2),tblDaily[WardCode],"MAE")=0,"",SUMIFS(tblDaily[TransfersOut],tblDaily[EntryDate],DATE(2026,1,2),tblDaily[WardCode],"MAE")),"")</f>
        <v/>
      </c>
      <c r="H9" s="14">
        <f>IFERROR(IF(SUMIFS(tblDaily[Remaining],tblDaily[EntryDate],DATE(2026,1,2),tblDaily[WardCode],"MAE")=0,"",SUMIFS(tblDaily[Remaining],tblDaily[EntryDate],DATE(2026,1,2),tblDaily[WardCode],"MAE")),"")</f>
        <v>9</v>
      </c>
      <c r="I9" s="14">
        <f>IFERROR(IF(SUMIFS(tblDaily[Admissions],tblDaily[EntryDate],DATE(2026,1,2),tblDaily[WardCode],"FAE")=0,"",SUMIFS(tblDaily[Admissions],tblDaily[EntryDate],DATE(2026,1,2),tblDaily[WardCode],"FAE")),"")</f>
        <v>1</v>
      </c>
      <c r="J9" s="14" t="str">
        <f>IFERROR(IF(SUMIFS(tblDaily[Discharges],tblDaily[EntryDate],DATE(2026,1,2),tblDaily[WardCode],"FAE")=0,"",SUMIFS(tblDaily[Discharges],tblDaily[EntryDate],DATE(2026,1,2),tblDaily[WardCode],"FAE")),"")</f>
        <v/>
      </c>
      <c r="K9" s="14" t="str">
        <f>IFERROR(IF(SUMIFS(tblDaily[Deaths],tblDaily[EntryDate],DATE(2026,1,2),tblDaily[WardCode],"FAE")=0,"",SUMIFS(tblDaily[Deaths],tblDaily[EntryDate],DATE(2026,1,2),tblDaily[WardCode],"FAE")),"")</f>
        <v/>
      </c>
      <c r="L9" s="14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14" t="str">
        <f>IFERROR(IF(SUMIFS(tblDaily[TransfersIn],tblDaily[EntryDate],DATE(2026,1,2),tblDaily[WardCode],"FAE")=0,"",SUMIFS(tblDaily[TransfersIn],tblDaily[EntryDate],DATE(2026,1,2),tblDaily[WardCode],"FAE")),"")</f>
        <v/>
      </c>
      <c r="N9" s="14" t="str">
        <f>IFERROR(IF(SUMIFS(tblDaily[TransfersOut],tblDaily[EntryDate],DATE(2026,1,2),tblDaily[WardCode],"FAE")=0,"",SUMIFS(tblDaily[TransfersOut],tblDaily[EntryDate],DATE(2026,1,2),tblDaily[WardCode],"FAE")),"")</f>
        <v/>
      </c>
      <c r="O9" s="14">
        <f>IFERROR(IF(SUMIFS(tblDaily[Remaining],tblDaily[EntryDate],DATE(2026,1,2),tblDaily[WardCode],"FAE")=0,"",SUMIFS(tblDaily[Remaining],tblDaily[EntryDate],DATE(2026,1,2),tblDaily[WardCode],"FAE")),"")</f>
        <v>1</v>
      </c>
      <c r="P9" s="15">
        <f t="shared" si="0"/>
        <v>10</v>
      </c>
    </row>
    <row r="10" spans="1:16" x14ac:dyDescent="0.25">
      <c r="A10" s="14">
        <v>3</v>
      </c>
      <c r="B10" s="14">
        <f>IFERROR(IF(SUMIFS(tblDaily[Admissions],tblDaily[EntryDate],DATE(2026,1,3),tblDaily[WardCode],"MAE")=0,"",SUMIFS(tblDaily[Admissions],tblDaily[EntryDate],DATE(2026,1,3),tblDaily[WardCode],"MAE")),"")</f>
        <v>5</v>
      </c>
      <c r="C10" s="14">
        <f>IFERROR(IF(SUMIFS(tblDaily[Discharges],tblDaily[EntryDate],DATE(2026,1,3),tblDaily[WardCode],"MAE")=0,"",SUMIFS(tblDaily[Discharges],tblDaily[EntryDate],DATE(2026,1,3),tblDaily[WardCode],"MAE")),"")</f>
        <v>2</v>
      </c>
      <c r="D10" s="14" t="str">
        <f>IFERROR(IF(SUMIFS(tblDaily[Deaths],tblDaily[EntryDate],DATE(2026,1,3),tblDaily[WardCode],"MAE")=0,"",SUMIFS(tblDaily[Deaths],tblDaily[EntryDate],DATE(2026,1,3),tblDaily[WardCode],"MAE")),"")</f>
        <v/>
      </c>
      <c r="E10" s="14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14" t="str">
        <f>IFERROR(IF(SUMIFS(tblDaily[TransfersIn],tblDaily[EntryDate],DATE(2026,1,3),tblDaily[WardCode],"MAE")=0,"",SUMIFS(tblDaily[TransfersIn],tblDaily[EntryDate],DATE(2026,1,3),tblDaily[WardCode],"MAE")),"")</f>
        <v/>
      </c>
      <c r="G10" s="14">
        <f>IFERROR(IF(SUMIFS(tblDaily[TransfersOut],tblDaily[EntryDate],DATE(2026,1,3),tblDaily[WardCode],"MAE")=0,"",SUMIFS(tblDaily[TransfersOut],tblDaily[EntryDate],DATE(2026,1,3),tblDaily[WardCode],"MAE")),"")</f>
        <v>2</v>
      </c>
      <c r="H10" s="14">
        <f>IFERROR(IF(SUMIFS(tblDaily[Remaining],tblDaily[EntryDate],DATE(2026,1,3),tblDaily[WardCode],"MAE")=0,"",SUMIFS(tblDaily[Remaining],tblDaily[EntryDate],DATE(2026,1,3),tblDaily[WardCode],"MAE")),"")</f>
        <v>10</v>
      </c>
      <c r="I10" s="14" t="str">
        <f>IFERROR(IF(SUMIFS(tblDaily[Admissions],tblDaily[EntryDate],DATE(2026,1,3),tblDaily[WardCode],"FAE")=0,"",SUMIFS(tblDaily[Admissions],tblDaily[EntryDate],DATE(2026,1,3),tblDaily[WardCode],"FAE")),"")</f>
        <v/>
      </c>
      <c r="J10" s="14" t="str">
        <f>IFERROR(IF(SUMIFS(tblDaily[Discharges],tblDaily[EntryDate],DATE(2026,1,3),tblDaily[WardCode],"FAE")=0,"",SUMIFS(tblDaily[Discharges],tblDaily[EntryDate],DATE(2026,1,3),tblDaily[WardCode],"FAE")),"")</f>
        <v/>
      </c>
      <c r="K10" s="14" t="str">
        <f>IFERROR(IF(SUMIFS(tblDaily[Deaths],tblDaily[EntryDate],DATE(2026,1,3),tblDaily[WardCode],"FAE")=0,"",SUMIFS(tblDaily[Deaths],tblDaily[EntryDate],DATE(2026,1,3),tblDaily[WardCode],"FAE")),"")</f>
        <v/>
      </c>
      <c r="L10" s="14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14" t="str">
        <f>IFERROR(IF(SUMIFS(tblDaily[TransfersIn],tblDaily[EntryDate],DATE(2026,1,3),tblDaily[WardCode],"FAE")=0,"",SUMIFS(tblDaily[TransfersIn],tblDaily[EntryDate],DATE(2026,1,3),tblDaily[WardCode],"FAE")),"")</f>
        <v/>
      </c>
      <c r="N10" s="14">
        <f>IFERROR(IF(SUMIFS(tblDaily[TransfersOut],tblDaily[EntryDate],DATE(2026,1,3),tblDaily[WardCode],"FAE")=0,"",SUMIFS(tblDaily[TransfersOut],tblDaily[EntryDate],DATE(2026,1,3),tblDaily[WardCode],"FAE")),"")</f>
        <v>1</v>
      </c>
      <c r="O10" s="14" t="str">
        <f>IFERROR(IF(SUMIFS(tblDaily[Remaining],tblDaily[EntryDate],DATE(2026,1,3),tblDaily[WardCode],"FAE")=0,"",SUMIFS(tblDaily[Remaining],tblDaily[EntryDate],DATE(2026,1,3),tblDaily[WardCode],"FAE")),"")</f>
        <v/>
      </c>
      <c r="P10" s="15">
        <f t="shared" si="0"/>
        <v>10</v>
      </c>
    </row>
    <row r="11" spans="1:16" x14ac:dyDescent="0.25">
      <c r="A11" s="14">
        <v>4</v>
      </c>
      <c r="B11" s="14">
        <f>IFERROR(IF(SUMIFS(tblDaily[Admissions],tblDaily[EntryDate],DATE(2026,1,4),tblDaily[WardCode],"MAE")=0,"",SUMIFS(tblDaily[Admissions],tblDaily[EntryDate],DATE(2026,1,4),tblDaily[WardCode],"MAE")),"")</f>
        <v>4</v>
      </c>
      <c r="C11" s="14">
        <f>IFERROR(IF(SUMIFS(tblDaily[Discharges],tblDaily[EntryDate],DATE(2026,1,4),tblDaily[WardCode],"MAE")=0,"",SUMIFS(tblDaily[Discharges],tblDaily[EntryDate],DATE(2026,1,4),tblDaily[WardCode],"MAE")),"")</f>
        <v>1</v>
      </c>
      <c r="D11" s="14" t="str">
        <f>IFERROR(IF(SUMIFS(tblDaily[Deaths],tblDaily[EntryDate],DATE(2026,1,4),tblDaily[WardCode],"MAE")=0,"",SUMIFS(tblDaily[Deaths],tblDaily[EntryDate],DATE(2026,1,4),tblDaily[WardCode],"MAE")),"")</f>
        <v/>
      </c>
      <c r="E11" s="14">
        <f>IFERROR(IF(SUMIFS(tblDaily[DeathsUnder24Hrs],tblDaily[EntryDate],DATE(2026,1,4),tblDaily[WardCode],"MAE")=0,"",SUMIFS(tblDaily[DeathsUnder24Hrs],tblDaily[EntryDate],DATE(2026,1,4),tblDaily[WardCode],"MAE")),"")</f>
        <v>1</v>
      </c>
      <c r="F11" s="14" t="str">
        <f>IFERROR(IF(SUMIFS(tblDaily[TransfersIn],tblDaily[EntryDate],DATE(2026,1,4),tblDaily[WardCode],"MAE")=0,"",SUMIFS(tblDaily[TransfersIn],tblDaily[EntryDate],DATE(2026,1,4),tblDaily[WardCode],"MAE")),"")</f>
        <v/>
      </c>
      <c r="G11" s="14">
        <f>IFERROR(IF(SUMIFS(tblDaily[TransfersOut],tblDaily[EntryDate],DATE(2026,1,4),tblDaily[WardCode],"MAE")=0,"",SUMIFS(tblDaily[TransfersOut],tblDaily[EntryDate],DATE(2026,1,4),tblDaily[WardCode],"MAE")),"")</f>
        <v>3</v>
      </c>
      <c r="H11" s="14">
        <f>IFERROR(IF(SUMIFS(tblDaily[Remaining],tblDaily[EntryDate],DATE(2026,1,4),tblDaily[WardCode],"MAE")=0,"",SUMIFS(tblDaily[Remaining],tblDaily[EntryDate],DATE(2026,1,4),tblDaily[WardCode],"MAE")),"")</f>
        <v>9</v>
      </c>
      <c r="I11" s="14" t="str">
        <f>IFERROR(IF(SUMIFS(tblDaily[Admissions],tblDaily[EntryDate],DATE(2026,1,4),tblDaily[WardCode],"FAE")=0,"",SUMIFS(tblDaily[Admissions],tblDaily[EntryDate],DATE(2026,1,4),tblDaily[WardCode],"FAE")),"")</f>
        <v/>
      </c>
      <c r="J11" s="14" t="str">
        <f>IFERROR(IF(SUMIFS(tblDaily[Discharges],tblDaily[EntryDate],DATE(2026,1,4),tblDaily[WardCode],"FAE")=0,"",SUMIFS(tblDaily[Discharges],tblDaily[EntryDate],DATE(2026,1,4),tblDaily[WardCode],"FAE")),"")</f>
        <v/>
      </c>
      <c r="K11" s="14" t="str">
        <f>IFERROR(IF(SUMIFS(tblDaily[Deaths],tblDaily[EntryDate],DATE(2026,1,4),tblDaily[WardCode],"FAE")=0,"",SUMIFS(tblDaily[Deaths],tblDaily[EntryDate],DATE(2026,1,4),tblDaily[WardCode],"FAE")),"")</f>
        <v/>
      </c>
      <c r="L11" s="14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14" t="str">
        <f>IFERROR(IF(SUMIFS(tblDaily[TransfersIn],tblDaily[EntryDate],DATE(2026,1,4),tblDaily[WardCode],"FAE")=0,"",SUMIFS(tblDaily[TransfersIn],tblDaily[EntryDate],DATE(2026,1,4),tblDaily[WardCode],"FAE")),"")</f>
        <v/>
      </c>
      <c r="N11" s="14" t="str">
        <f>IFERROR(IF(SUMIFS(tblDaily[TransfersOut],tblDaily[EntryDate],DATE(2026,1,4),tblDaily[WardCode],"FAE")=0,"",SUMIFS(tblDaily[TransfersOut],tblDaily[EntryDate],DATE(2026,1,4),tblDaily[WardCode],"FAE")),"")</f>
        <v/>
      </c>
      <c r="O11" s="14" t="str">
        <f>IFERROR(IF(SUMIFS(tblDaily[Remaining],tblDaily[EntryDate],DATE(2026,1,4),tblDaily[WardCode],"FAE")=0,"",SUMIFS(tblDaily[Remaining],tblDaily[EntryDate],DATE(2026,1,4),tblDaily[WardCode],"FAE")),"")</f>
        <v/>
      </c>
      <c r="P11" s="15">
        <f t="shared" si="0"/>
        <v>9</v>
      </c>
    </row>
    <row r="12" spans="1:16" x14ac:dyDescent="0.25">
      <c r="A12" s="14">
        <v>5</v>
      </c>
      <c r="B12" s="14">
        <f>IFERROR(IF(SUMIFS(tblDaily[Admissions],tblDaily[EntryDate],DATE(2026,1,5),tblDaily[WardCode],"MAE")=0,"",SUMIFS(tblDaily[Admissions],tblDaily[EntryDate],DATE(2026,1,5),tblDaily[WardCode],"MAE")),"")</f>
        <v>1</v>
      </c>
      <c r="C12" s="14">
        <f>IFERROR(IF(SUMIFS(tblDaily[Discharges],tblDaily[EntryDate],DATE(2026,1,5),tblDaily[WardCode],"MAE")=0,"",SUMIFS(tblDaily[Discharges],tblDaily[EntryDate],DATE(2026,1,5),tblDaily[WardCode],"MAE")),"")</f>
        <v>8</v>
      </c>
      <c r="D12" s="14" t="str">
        <f>IFERROR(IF(SUMIFS(tblDaily[Deaths],tblDaily[EntryDate],DATE(2026,1,5),tblDaily[WardCode],"MAE")=0,"",SUMIFS(tblDaily[Deaths],tblDaily[EntryDate],DATE(2026,1,5),tblDaily[WardCode],"MAE")),"")</f>
        <v/>
      </c>
      <c r="E12" s="14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14" t="str">
        <f>IFERROR(IF(SUMIFS(tblDaily[TransfersIn],tblDaily[EntryDate],DATE(2026,1,5),tblDaily[WardCode],"MAE")=0,"",SUMIFS(tblDaily[TransfersIn],tblDaily[EntryDate],DATE(2026,1,5),tblDaily[WardCode],"MAE")),"")</f>
        <v/>
      </c>
      <c r="G12" s="14" t="str">
        <f>IFERROR(IF(SUMIFS(tblDaily[TransfersOut],tblDaily[EntryDate],DATE(2026,1,5),tblDaily[WardCode],"MAE")=0,"",SUMIFS(tblDaily[TransfersOut],tblDaily[EntryDate],DATE(2026,1,5),tblDaily[WardCode],"MAE")),"")</f>
        <v/>
      </c>
      <c r="H12" s="14">
        <f>IFERROR(IF(SUMIFS(tblDaily[Remaining],tblDaily[EntryDate],DATE(2026,1,5),tblDaily[WardCode],"MAE")=0,"",SUMIFS(tblDaily[Remaining],tblDaily[EntryDate],DATE(2026,1,5),tblDaily[WardCode],"MAE")),"")</f>
        <v>2</v>
      </c>
      <c r="I12" s="14">
        <f>IFERROR(IF(SUMIFS(tblDaily[Admissions],tblDaily[EntryDate],DATE(2026,1,5),tblDaily[WardCode],"FAE")=0,"",SUMIFS(tblDaily[Admissions],tblDaily[EntryDate],DATE(2026,1,5),tblDaily[WardCode],"FAE")),"")</f>
        <v>4</v>
      </c>
      <c r="J12" s="14" t="str">
        <f>IFERROR(IF(SUMIFS(tblDaily[Discharges],tblDaily[EntryDate],DATE(2026,1,5),tblDaily[WardCode],"FAE")=0,"",SUMIFS(tblDaily[Discharges],tblDaily[EntryDate],DATE(2026,1,5),tblDaily[WardCode],"FAE")),"")</f>
        <v/>
      </c>
      <c r="K12" s="14" t="str">
        <f>IFERROR(IF(SUMIFS(tblDaily[Deaths],tblDaily[EntryDate],DATE(2026,1,5),tblDaily[WardCode],"FAE")=0,"",SUMIFS(tblDaily[Deaths],tblDaily[EntryDate],DATE(2026,1,5),tblDaily[WardCode],"FAE")),"")</f>
        <v/>
      </c>
      <c r="L12" s="14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14" t="str">
        <f>IFERROR(IF(SUMIFS(tblDaily[TransfersIn],tblDaily[EntryDate],DATE(2026,1,5),tblDaily[WardCode],"FAE")=0,"",SUMIFS(tblDaily[TransfersIn],tblDaily[EntryDate],DATE(2026,1,5),tblDaily[WardCode],"FAE")),"")</f>
        <v/>
      </c>
      <c r="N12" s="14">
        <f>IFERROR(IF(SUMIFS(tblDaily[TransfersOut],tblDaily[EntryDate],DATE(2026,1,5),tblDaily[WardCode],"FAE")=0,"",SUMIFS(tblDaily[TransfersOut],tblDaily[EntryDate],DATE(2026,1,5),tblDaily[WardCode],"FAE")),"")</f>
        <v>3</v>
      </c>
      <c r="O12" s="14">
        <f>IFERROR(IF(SUMIFS(tblDaily[Remaining],tblDaily[EntryDate],DATE(2026,1,5),tblDaily[WardCode],"FAE")=0,"",SUMIFS(tblDaily[Remaining],tblDaily[EntryDate],DATE(2026,1,5),tblDaily[WardCode],"FAE")),"")</f>
        <v>1</v>
      </c>
      <c r="P12" s="15">
        <f t="shared" si="0"/>
        <v>3</v>
      </c>
    </row>
    <row r="13" spans="1:16" x14ac:dyDescent="0.25">
      <c r="A13" s="14">
        <v>6</v>
      </c>
      <c r="B13" s="14">
        <f>IFERROR(IF(SUMIFS(tblDaily[Admissions],tblDaily[EntryDate],DATE(2026,1,6),tblDaily[WardCode],"MAE")=0,"",SUMIFS(tblDaily[Admissions],tblDaily[EntryDate],DATE(2026,1,6),tblDaily[WardCode],"MAE")),"")</f>
        <v>2</v>
      </c>
      <c r="C13" s="14">
        <f>IFERROR(IF(SUMIFS(tblDaily[Discharges],tblDaily[EntryDate],DATE(2026,1,6),tblDaily[WardCode],"MAE")=0,"",SUMIFS(tblDaily[Discharges],tblDaily[EntryDate],DATE(2026,1,6),tblDaily[WardCode],"MAE")),"")</f>
        <v>1</v>
      </c>
      <c r="D13" s="14" t="str">
        <f>IFERROR(IF(SUMIFS(tblDaily[Deaths],tblDaily[EntryDate],DATE(2026,1,6),tblDaily[WardCode],"MAE")=0,"",SUMIFS(tblDaily[Deaths],tblDaily[EntryDate],DATE(2026,1,6),tblDaily[WardCode],"MAE")),"")</f>
        <v/>
      </c>
      <c r="E13" s="14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14" t="str">
        <f>IFERROR(IF(SUMIFS(tblDaily[TransfersIn],tblDaily[EntryDate],DATE(2026,1,6),tblDaily[WardCode],"MAE")=0,"",SUMIFS(tblDaily[TransfersIn],tblDaily[EntryDate],DATE(2026,1,6),tblDaily[WardCode],"MAE")),"")</f>
        <v/>
      </c>
      <c r="G13" s="14">
        <f>IFERROR(IF(SUMIFS(tblDaily[TransfersOut],tblDaily[EntryDate],DATE(2026,1,6),tblDaily[WardCode],"MAE")=0,"",SUMIFS(tblDaily[TransfersOut],tblDaily[EntryDate],DATE(2026,1,6),tblDaily[WardCode],"MAE")),"")</f>
        <v>2</v>
      </c>
      <c r="H13" s="14">
        <f>IFERROR(IF(SUMIFS(tblDaily[Remaining],tblDaily[EntryDate],DATE(2026,1,6),tblDaily[WardCode],"MAE")=0,"",SUMIFS(tblDaily[Remaining],tblDaily[EntryDate],DATE(2026,1,6),tblDaily[WardCode],"MAE")),"")</f>
        <v>1</v>
      </c>
      <c r="I13" s="14">
        <f>IFERROR(IF(SUMIFS(tblDaily[Admissions],tblDaily[EntryDate],DATE(2026,1,6),tblDaily[WardCode],"FAE")=0,"",SUMIFS(tblDaily[Admissions],tblDaily[EntryDate],DATE(2026,1,6),tblDaily[WardCode],"FAE")),"")</f>
        <v>1</v>
      </c>
      <c r="J13" s="14" t="str">
        <f>IFERROR(IF(SUMIFS(tblDaily[Discharges],tblDaily[EntryDate],DATE(2026,1,6),tblDaily[WardCode],"FAE")=0,"",SUMIFS(tblDaily[Discharges],tblDaily[EntryDate],DATE(2026,1,6),tblDaily[WardCode],"FAE")),"")</f>
        <v/>
      </c>
      <c r="K13" s="14" t="str">
        <f>IFERROR(IF(SUMIFS(tblDaily[Deaths],tblDaily[EntryDate],DATE(2026,1,6),tblDaily[WardCode],"FAE")=0,"",SUMIFS(tblDaily[Deaths],tblDaily[EntryDate],DATE(2026,1,6),tblDaily[WardCode],"FAE")),"")</f>
        <v/>
      </c>
      <c r="L13" s="14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14" t="str">
        <f>IFERROR(IF(SUMIFS(tblDaily[TransfersIn],tblDaily[EntryDate],DATE(2026,1,6),tblDaily[WardCode],"FAE")=0,"",SUMIFS(tblDaily[TransfersIn],tblDaily[EntryDate],DATE(2026,1,6),tblDaily[WardCode],"FAE")),"")</f>
        <v/>
      </c>
      <c r="N13" s="14" t="str">
        <f>IFERROR(IF(SUMIFS(tblDaily[TransfersOut],tblDaily[EntryDate],DATE(2026,1,6),tblDaily[WardCode],"FAE")=0,"",SUMIFS(tblDaily[TransfersOut],tblDaily[EntryDate],DATE(2026,1,6),tblDaily[WardCode],"FAE")),"")</f>
        <v/>
      </c>
      <c r="O13" s="14">
        <f>IFERROR(IF(SUMIFS(tblDaily[Remaining],tblDaily[EntryDate],DATE(2026,1,6),tblDaily[WardCode],"FAE")=0,"",SUMIFS(tblDaily[Remaining],tblDaily[EntryDate],DATE(2026,1,6),tblDaily[WardCode],"FAE")),"")</f>
        <v>2</v>
      </c>
      <c r="P13" s="15">
        <f t="shared" si="0"/>
        <v>3</v>
      </c>
    </row>
    <row r="14" spans="1:16" x14ac:dyDescent="0.25">
      <c r="A14" s="14">
        <v>7</v>
      </c>
      <c r="B14" s="14">
        <f>IFERROR(IF(SUMIFS(tblDaily[Admissions],tblDaily[EntryDate],DATE(2026,1,7),tblDaily[WardCode],"MAE")=0,"",SUMIFS(tblDaily[Admissions],tblDaily[EntryDate],DATE(2026,1,7),tblDaily[WardCode],"MAE")),"")</f>
        <v>3</v>
      </c>
      <c r="C14" s="14">
        <f>IFERROR(IF(SUMIFS(tblDaily[Discharges],tblDaily[EntryDate],DATE(2026,1,7),tblDaily[WardCode],"MAE")=0,"",SUMIFS(tblDaily[Discharges],tblDaily[EntryDate],DATE(2026,1,7),tblDaily[WardCode],"MAE")),"")</f>
        <v>1</v>
      </c>
      <c r="D14" s="14" t="str">
        <f>IFERROR(IF(SUMIFS(tblDaily[Deaths],tblDaily[EntryDate],DATE(2026,1,7),tblDaily[WardCode],"MAE")=0,"",SUMIFS(tblDaily[Deaths],tblDaily[EntryDate],DATE(2026,1,7),tblDaily[WardCode],"MAE")),"")</f>
        <v/>
      </c>
      <c r="E14" s="14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14" t="str">
        <f>IFERROR(IF(SUMIFS(tblDaily[TransfersIn],tblDaily[EntryDate],DATE(2026,1,7),tblDaily[WardCode],"MAE")=0,"",SUMIFS(tblDaily[TransfersIn],tblDaily[EntryDate],DATE(2026,1,7),tblDaily[WardCode],"MAE")),"")</f>
        <v/>
      </c>
      <c r="G14" s="14">
        <f>IFERROR(IF(SUMIFS(tblDaily[TransfersOut],tblDaily[EntryDate],DATE(2026,1,7),tblDaily[WardCode],"MAE")=0,"",SUMIFS(tblDaily[TransfersOut],tblDaily[EntryDate],DATE(2026,1,7),tblDaily[WardCode],"MAE")),"")</f>
        <v>1</v>
      </c>
      <c r="H14" s="14">
        <f>IFERROR(IF(SUMIFS(tblDaily[Remaining],tblDaily[EntryDate],DATE(2026,1,7),tblDaily[WardCode],"MAE")=0,"",SUMIFS(tblDaily[Remaining],tblDaily[EntryDate],DATE(2026,1,7),tblDaily[WardCode],"MAE")),"")</f>
        <v>2</v>
      </c>
      <c r="I14" s="14" t="str">
        <f>IFERROR(IF(SUMIFS(tblDaily[Admissions],tblDaily[EntryDate],DATE(2026,1,7),tblDaily[WardCode],"FAE")=0,"",SUMIFS(tblDaily[Admissions],tblDaily[EntryDate],DATE(2026,1,7),tblDaily[WardCode],"FAE")),"")</f>
        <v/>
      </c>
      <c r="J14" s="14" t="str">
        <f>IFERROR(IF(SUMIFS(tblDaily[Discharges],tblDaily[EntryDate],DATE(2026,1,7),tblDaily[WardCode],"FAE")=0,"",SUMIFS(tblDaily[Discharges],tblDaily[EntryDate],DATE(2026,1,7),tblDaily[WardCode],"FAE")),"")</f>
        <v/>
      </c>
      <c r="K14" s="14" t="str">
        <f>IFERROR(IF(SUMIFS(tblDaily[Deaths],tblDaily[EntryDate],DATE(2026,1,7),tblDaily[WardCode],"FAE")=0,"",SUMIFS(tblDaily[Deaths],tblDaily[EntryDate],DATE(2026,1,7),tblDaily[WardCode],"FAE")),"")</f>
        <v/>
      </c>
      <c r="L14" s="14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14" t="str">
        <f>IFERROR(IF(SUMIFS(tblDaily[TransfersIn],tblDaily[EntryDate],DATE(2026,1,7),tblDaily[WardCode],"FAE")=0,"",SUMIFS(tblDaily[TransfersIn],tblDaily[EntryDate],DATE(2026,1,7),tblDaily[WardCode],"FAE")),"")</f>
        <v/>
      </c>
      <c r="N14" s="14" t="str">
        <f>IFERROR(IF(SUMIFS(tblDaily[TransfersOut],tblDaily[EntryDate],DATE(2026,1,7),tblDaily[WardCode],"FAE")=0,"",SUMIFS(tblDaily[TransfersOut],tblDaily[EntryDate],DATE(2026,1,7),tblDaily[WardCode],"FAE")),"")</f>
        <v/>
      </c>
      <c r="O14" s="14">
        <f>IFERROR(IF(SUMIFS(tblDaily[Remaining],tblDaily[EntryDate],DATE(2026,1,7),tblDaily[WardCode],"FAE")=0,"",SUMIFS(tblDaily[Remaining],tblDaily[EntryDate],DATE(2026,1,7),tblDaily[WardCode],"FAE")),"")</f>
        <v>2</v>
      </c>
      <c r="P14" s="15">
        <f t="shared" si="0"/>
        <v>4</v>
      </c>
    </row>
    <row r="15" spans="1:16" x14ac:dyDescent="0.25">
      <c r="A15" s="14">
        <v>8</v>
      </c>
      <c r="B15" s="14">
        <f>IFERROR(IF(SUMIFS(tblDaily[Admissions],tblDaily[EntryDate],DATE(2026,1,8),tblDaily[WardCode],"MAE")=0,"",SUMIFS(tblDaily[Admissions],tblDaily[EntryDate],DATE(2026,1,8),tblDaily[WardCode],"MAE")),"")</f>
        <v>5</v>
      </c>
      <c r="C15" s="14">
        <f>IFERROR(IF(SUMIFS(tblDaily[Discharges],tblDaily[EntryDate],DATE(2026,1,8),tblDaily[WardCode],"MAE")=0,"",SUMIFS(tblDaily[Discharges],tblDaily[EntryDate],DATE(2026,1,8),tblDaily[WardCode],"MAE")),"")</f>
        <v>1</v>
      </c>
      <c r="D15" s="14" t="str">
        <f>IFERROR(IF(SUMIFS(tblDaily[Deaths],tblDaily[EntryDate],DATE(2026,1,8),tblDaily[WardCode],"MAE")=0,"",SUMIFS(tblDaily[Deaths],tblDaily[EntryDate],DATE(2026,1,8),tblDaily[WardCode],"MAE")),"")</f>
        <v/>
      </c>
      <c r="E15" s="14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14" t="str">
        <f>IFERROR(IF(SUMIFS(tblDaily[TransfersIn],tblDaily[EntryDate],DATE(2026,1,8),tblDaily[WardCode],"MAE")=0,"",SUMIFS(tblDaily[TransfersIn],tblDaily[EntryDate],DATE(2026,1,8),tblDaily[WardCode],"MAE")),"")</f>
        <v/>
      </c>
      <c r="G15" s="14" t="str">
        <f>IFERROR(IF(SUMIFS(tblDaily[TransfersOut],tblDaily[EntryDate],DATE(2026,1,8),tblDaily[WardCode],"MAE")=0,"",SUMIFS(tblDaily[TransfersOut],tblDaily[EntryDate],DATE(2026,1,8),tblDaily[WardCode],"MAE")),"")</f>
        <v/>
      </c>
      <c r="H15" s="14">
        <f>IFERROR(IF(SUMIFS(tblDaily[Remaining],tblDaily[EntryDate],DATE(2026,1,8),tblDaily[WardCode],"MAE")=0,"",SUMIFS(tblDaily[Remaining],tblDaily[EntryDate],DATE(2026,1,8),tblDaily[WardCode],"MAE")),"")</f>
        <v>6</v>
      </c>
      <c r="I15" s="14" t="str">
        <f>IFERROR(IF(SUMIFS(tblDaily[Admissions],tblDaily[EntryDate],DATE(2026,1,8),tblDaily[WardCode],"FAE")=0,"",SUMIFS(tblDaily[Admissions],tblDaily[EntryDate],DATE(2026,1,8),tblDaily[WardCode],"FAE")),"")</f>
        <v/>
      </c>
      <c r="J15" s="14" t="str">
        <f>IFERROR(IF(SUMIFS(tblDaily[Discharges],tblDaily[EntryDate],DATE(2026,1,8),tblDaily[WardCode],"FAE")=0,"",SUMIFS(tblDaily[Discharges],tblDaily[EntryDate],DATE(2026,1,8),tblDaily[WardCode],"FAE")),"")</f>
        <v/>
      </c>
      <c r="K15" s="14" t="str">
        <f>IFERROR(IF(SUMIFS(tblDaily[Deaths],tblDaily[EntryDate],DATE(2026,1,8),tblDaily[WardCode],"FAE")=0,"",SUMIFS(tblDaily[Deaths],tblDaily[EntryDate],DATE(2026,1,8),tblDaily[WardCode],"FAE")),"")</f>
        <v/>
      </c>
      <c r="L15" s="14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14" t="str">
        <f>IFERROR(IF(SUMIFS(tblDaily[TransfersIn],tblDaily[EntryDate],DATE(2026,1,8),tblDaily[WardCode],"FAE")=0,"",SUMIFS(tblDaily[TransfersIn],tblDaily[EntryDate],DATE(2026,1,8),tblDaily[WardCode],"FAE")),"")</f>
        <v/>
      </c>
      <c r="N15" s="14">
        <f>IFERROR(IF(SUMIFS(tblDaily[TransfersOut],tblDaily[EntryDate],DATE(2026,1,8),tblDaily[WardCode],"FAE")=0,"",SUMIFS(tblDaily[TransfersOut],tblDaily[EntryDate],DATE(2026,1,8),tblDaily[WardCode],"FAE")),"")</f>
        <v>2</v>
      </c>
      <c r="O15" s="14" t="str">
        <f>IFERROR(IF(SUMIFS(tblDaily[Remaining],tblDaily[EntryDate],DATE(2026,1,8),tblDaily[WardCode],"FAE")=0,"",SUMIFS(tblDaily[Remaining],tblDaily[EntryDate],DATE(2026,1,8),tblDaily[WardCode],"FAE")),"")</f>
        <v/>
      </c>
      <c r="P15" s="15">
        <f t="shared" si="0"/>
        <v>6</v>
      </c>
    </row>
    <row r="16" spans="1:16" x14ac:dyDescent="0.25">
      <c r="A16" s="14">
        <v>9</v>
      </c>
      <c r="B16" s="14" t="str">
        <f>IFERROR(IF(SUMIFS(tblDaily[Admissions],tblDaily[EntryDate],DATE(2026,1,9),tblDaily[WardCode],"MAE")=0,"",SUMIFS(tblDaily[Admissions],tblDaily[EntryDate],DATE(2026,1,9),tblDaily[WardCode],"MAE")),"")</f>
        <v/>
      </c>
      <c r="C16" s="14">
        <f>IFERROR(IF(SUMIFS(tblDaily[Discharges],tblDaily[EntryDate],DATE(2026,1,9),tblDaily[WardCode],"MAE")=0,"",SUMIFS(tblDaily[Discharges],tblDaily[EntryDate],DATE(2026,1,9),tblDaily[WardCode],"MAE")),"")</f>
        <v>2</v>
      </c>
      <c r="D16" s="14" t="str">
        <f>IFERROR(IF(SUMIFS(tblDaily[Deaths],tblDaily[EntryDate],DATE(2026,1,9),tblDaily[WardCode],"MAE")=0,"",SUMIFS(tblDaily[Deaths],tblDaily[EntryDate],DATE(2026,1,9),tblDaily[WardCode],"MAE")),"")</f>
        <v/>
      </c>
      <c r="E16" s="14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14" t="str">
        <f>IFERROR(IF(SUMIFS(tblDaily[TransfersIn],tblDaily[EntryDate],DATE(2026,1,9),tblDaily[WardCode],"MAE")=0,"",SUMIFS(tblDaily[TransfersIn],tblDaily[EntryDate],DATE(2026,1,9),tblDaily[WardCode],"MAE")),"")</f>
        <v/>
      </c>
      <c r="G16" s="14">
        <f>IFERROR(IF(SUMIFS(tblDaily[TransfersOut],tblDaily[EntryDate],DATE(2026,1,9),tblDaily[WardCode],"MAE")=0,"",SUMIFS(tblDaily[TransfersOut],tblDaily[EntryDate],DATE(2026,1,9),tblDaily[WardCode],"MAE")),"")</f>
        <v>2</v>
      </c>
      <c r="H16" s="14">
        <f>IFERROR(IF(SUMIFS(tblDaily[Remaining],tblDaily[EntryDate],DATE(2026,1,9),tblDaily[WardCode],"MAE")=0,"",SUMIFS(tblDaily[Remaining],tblDaily[EntryDate],DATE(2026,1,9),tblDaily[WardCode],"MAE")),"")</f>
        <v>2</v>
      </c>
      <c r="I16" s="14">
        <f>IFERROR(IF(SUMIFS(tblDaily[Admissions],tblDaily[EntryDate],DATE(2026,1,9),tblDaily[WardCode],"FAE")=0,"",SUMIFS(tblDaily[Admissions],tblDaily[EntryDate],DATE(2026,1,9),tblDaily[WardCode],"FAE")),"")</f>
        <v>1</v>
      </c>
      <c r="J16" s="14" t="str">
        <f>IFERROR(IF(SUMIFS(tblDaily[Discharges],tblDaily[EntryDate],DATE(2026,1,9),tblDaily[WardCode],"FAE")=0,"",SUMIFS(tblDaily[Discharges],tblDaily[EntryDate],DATE(2026,1,9),tblDaily[WardCode],"FAE")),"")</f>
        <v/>
      </c>
      <c r="K16" s="14" t="str">
        <f>IFERROR(IF(SUMIFS(tblDaily[Deaths],tblDaily[EntryDate],DATE(2026,1,9),tblDaily[WardCode],"FAE")=0,"",SUMIFS(tblDaily[Deaths],tblDaily[EntryDate],DATE(2026,1,9),tblDaily[WardCode],"FAE")),"")</f>
        <v/>
      </c>
      <c r="L16" s="14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14" t="str">
        <f>IFERROR(IF(SUMIFS(tblDaily[TransfersIn],tblDaily[EntryDate],DATE(2026,1,9),tblDaily[WardCode],"FAE")=0,"",SUMIFS(tblDaily[TransfersIn],tblDaily[EntryDate],DATE(2026,1,9),tblDaily[WardCode],"FAE")),"")</f>
        <v/>
      </c>
      <c r="N16" s="14" t="str">
        <f>IFERROR(IF(SUMIFS(tblDaily[TransfersOut],tblDaily[EntryDate],DATE(2026,1,9),tblDaily[WardCode],"FAE")=0,"",SUMIFS(tblDaily[TransfersOut],tblDaily[EntryDate],DATE(2026,1,9),tblDaily[WardCode],"FAE")),"")</f>
        <v/>
      </c>
      <c r="O16" s="14">
        <f>IFERROR(IF(SUMIFS(tblDaily[Remaining],tblDaily[EntryDate],DATE(2026,1,9),tblDaily[WardCode],"FAE")=0,"",SUMIFS(tblDaily[Remaining],tblDaily[EntryDate],DATE(2026,1,9),tblDaily[WardCode],"FAE")),"")</f>
        <v>1</v>
      </c>
      <c r="P16" s="15">
        <f t="shared" si="0"/>
        <v>3</v>
      </c>
    </row>
    <row r="17" spans="1:16" x14ac:dyDescent="0.25">
      <c r="A17" s="14">
        <v>10</v>
      </c>
      <c r="B17" s="14">
        <f>IFERROR(IF(SUMIFS(tblDaily[Admissions],tblDaily[EntryDate],DATE(2026,1,10),tblDaily[WardCode],"MAE")=0,"",SUMIFS(tblDaily[Admissions],tblDaily[EntryDate],DATE(2026,1,10),tblDaily[WardCode],"MAE")),"")</f>
        <v>2</v>
      </c>
      <c r="C17" s="14" t="str">
        <f>IFERROR(IF(SUMIFS(tblDaily[Discharges],tblDaily[EntryDate],DATE(2026,1,10),tblDaily[WardCode],"MAE")=0,"",SUMIFS(tblDaily[Discharges],tblDaily[EntryDate],DATE(2026,1,10),tblDaily[WardCode],"MAE")),"")</f>
        <v/>
      </c>
      <c r="D17" s="14" t="str">
        <f>IFERROR(IF(SUMIFS(tblDaily[Deaths],tblDaily[EntryDate],DATE(2026,1,10),tblDaily[WardCode],"MAE")=0,"",SUMIFS(tblDaily[Deaths],tblDaily[EntryDate],DATE(2026,1,10),tblDaily[WardCode],"MAE")),"")</f>
        <v/>
      </c>
      <c r="E17" s="14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14" t="str">
        <f>IFERROR(IF(SUMIFS(tblDaily[TransfersIn],tblDaily[EntryDate],DATE(2026,1,10),tblDaily[WardCode],"MAE")=0,"",SUMIFS(tblDaily[TransfersIn],tblDaily[EntryDate],DATE(2026,1,10),tblDaily[WardCode],"MAE")),"")</f>
        <v/>
      </c>
      <c r="G17" s="14" t="str">
        <f>IFERROR(IF(SUMIFS(tblDaily[TransfersOut],tblDaily[EntryDate],DATE(2026,1,10),tblDaily[WardCode],"MAE")=0,"",SUMIFS(tblDaily[TransfersOut],tblDaily[EntryDate],DATE(2026,1,10),tblDaily[WardCode],"MAE")),"")</f>
        <v/>
      </c>
      <c r="H17" s="14">
        <f>IFERROR(IF(SUMIFS(tblDaily[Remaining],tblDaily[EntryDate],DATE(2026,1,10),tblDaily[WardCode],"MAE")=0,"",SUMIFS(tblDaily[Remaining],tblDaily[EntryDate],DATE(2026,1,10),tblDaily[WardCode],"MAE")),"")</f>
        <v>4</v>
      </c>
      <c r="I17" s="14">
        <f>IFERROR(IF(SUMIFS(tblDaily[Admissions],tblDaily[EntryDate],DATE(2026,1,10),tblDaily[WardCode],"FAE")=0,"",SUMIFS(tblDaily[Admissions],tblDaily[EntryDate],DATE(2026,1,10),tblDaily[WardCode],"FAE")),"")</f>
        <v>3</v>
      </c>
      <c r="J17" s="14" t="str">
        <f>IFERROR(IF(SUMIFS(tblDaily[Discharges],tblDaily[EntryDate],DATE(2026,1,10),tblDaily[WardCode],"FAE")=0,"",SUMIFS(tblDaily[Discharges],tblDaily[EntryDate],DATE(2026,1,10),tblDaily[WardCode],"FAE")),"")</f>
        <v/>
      </c>
      <c r="K17" s="14" t="str">
        <f>IFERROR(IF(SUMIFS(tblDaily[Deaths],tblDaily[EntryDate],DATE(2026,1,10),tblDaily[WardCode],"FAE")=0,"",SUMIFS(tblDaily[Deaths],tblDaily[EntryDate],DATE(2026,1,10),tblDaily[WardCode],"FAE")),"")</f>
        <v/>
      </c>
      <c r="L17" s="14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14" t="str">
        <f>IFERROR(IF(SUMIFS(tblDaily[TransfersIn],tblDaily[EntryDate],DATE(2026,1,10),tblDaily[WardCode],"FAE")=0,"",SUMIFS(tblDaily[TransfersIn],tblDaily[EntryDate],DATE(2026,1,10),tblDaily[WardCode],"FAE")),"")</f>
        <v/>
      </c>
      <c r="N17" s="14" t="str">
        <f>IFERROR(IF(SUMIFS(tblDaily[TransfersOut],tblDaily[EntryDate],DATE(2026,1,10),tblDaily[WardCode],"FAE")=0,"",SUMIFS(tblDaily[TransfersOut],tblDaily[EntryDate],DATE(2026,1,10),tblDaily[WardCode],"FAE")),"")</f>
        <v/>
      </c>
      <c r="O17" s="14">
        <f>IFERROR(IF(SUMIFS(tblDaily[Remaining],tblDaily[EntryDate],DATE(2026,1,10),tblDaily[WardCode],"FAE")=0,"",SUMIFS(tblDaily[Remaining],tblDaily[EntryDate],DATE(2026,1,10),tblDaily[WardCode],"FAE")),"")</f>
        <v>4</v>
      </c>
      <c r="P17" s="15">
        <f t="shared" si="0"/>
        <v>8</v>
      </c>
    </row>
    <row r="18" spans="1:16" x14ac:dyDescent="0.25">
      <c r="A18" s="14">
        <v>11</v>
      </c>
      <c r="B18" s="14">
        <f>IFERROR(IF(SUMIFS(tblDaily[Admissions],tblDaily[EntryDate],DATE(2026,1,11),tblDaily[WardCode],"MAE")=0,"",SUMIFS(tblDaily[Admissions],tblDaily[EntryDate],DATE(2026,1,11),tblDaily[WardCode],"MAE")),"")</f>
        <v>4</v>
      </c>
      <c r="C18" s="14">
        <f>IFERROR(IF(SUMIFS(tblDaily[Discharges],tblDaily[EntryDate],DATE(2026,1,11),tblDaily[WardCode],"MAE")=0,"",SUMIFS(tblDaily[Discharges],tblDaily[EntryDate],DATE(2026,1,11),tblDaily[WardCode],"MAE")),"")</f>
        <v>1</v>
      </c>
      <c r="D18" s="14" t="str">
        <f>IFERROR(IF(SUMIFS(tblDaily[Deaths],tblDaily[EntryDate],DATE(2026,1,11),tblDaily[WardCode],"MAE")=0,"",SUMIFS(tblDaily[Deaths],tblDaily[EntryDate],DATE(2026,1,11),tblDaily[WardCode],"MAE")),"")</f>
        <v/>
      </c>
      <c r="E18" s="14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14" t="str">
        <f>IFERROR(IF(SUMIFS(tblDaily[TransfersIn],tblDaily[EntryDate],DATE(2026,1,11),tblDaily[WardCode],"MAE")=0,"",SUMIFS(tblDaily[TransfersIn],tblDaily[EntryDate],DATE(2026,1,11),tblDaily[WardCode],"MAE")),"")</f>
        <v/>
      </c>
      <c r="G18" s="14">
        <f>IFERROR(IF(SUMIFS(tblDaily[TransfersOut],tblDaily[EntryDate],DATE(2026,1,11),tblDaily[WardCode],"MAE")=0,"",SUMIFS(tblDaily[TransfersOut],tblDaily[EntryDate],DATE(2026,1,11),tblDaily[WardCode],"MAE")),"")</f>
        <v>4</v>
      </c>
      <c r="H18" s="14">
        <f>IFERROR(IF(SUMIFS(tblDaily[Remaining],tblDaily[EntryDate],DATE(2026,1,11),tblDaily[WardCode],"MAE")=0,"",SUMIFS(tblDaily[Remaining],tblDaily[EntryDate],DATE(2026,1,11),tblDaily[WardCode],"MAE")),"")</f>
        <v>3</v>
      </c>
      <c r="I18" s="14" t="str">
        <f>IFERROR(IF(SUMIFS(tblDaily[Admissions],tblDaily[EntryDate],DATE(2026,1,11),tblDaily[WardCode],"FAE")=0,"",SUMIFS(tblDaily[Admissions],tblDaily[EntryDate],DATE(2026,1,11),tblDaily[WardCode],"FAE")),"")</f>
        <v/>
      </c>
      <c r="J18" s="14">
        <f>IFERROR(IF(SUMIFS(tblDaily[Discharges],tblDaily[EntryDate],DATE(2026,1,11),tblDaily[WardCode],"FAE")=0,"",SUMIFS(tblDaily[Discharges],tblDaily[EntryDate],DATE(2026,1,11),tblDaily[WardCode],"FAE")),"")</f>
        <v>1</v>
      </c>
      <c r="K18" s="14" t="str">
        <f>IFERROR(IF(SUMIFS(tblDaily[Deaths],tblDaily[EntryDate],DATE(2026,1,11),tblDaily[WardCode],"FAE")=0,"",SUMIFS(tblDaily[Deaths],tblDaily[EntryDate],DATE(2026,1,11),tblDaily[WardCode],"FAE")),"")</f>
        <v/>
      </c>
      <c r="L18" s="14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14" t="str">
        <f>IFERROR(IF(SUMIFS(tblDaily[TransfersIn],tblDaily[EntryDate],DATE(2026,1,11),tblDaily[WardCode],"FAE")=0,"",SUMIFS(tblDaily[TransfersIn],tblDaily[EntryDate],DATE(2026,1,11),tblDaily[WardCode],"FAE")),"")</f>
        <v/>
      </c>
      <c r="N18" s="14">
        <f>IFERROR(IF(SUMIFS(tblDaily[TransfersOut],tblDaily[EntryDate],DATE(2026,1,11),tblDaily[WardCode],"FAE")=0,"",SUMIFS(tblDaily[TransfersOut],tblDaily[EntryDate],DATE(2026,1,11),tblDaily[WardCode],"FAE")),"")</f>
        <v>1</v>
      </c>
      <c r="O18" s="14">
        <f>IFERROR(IF(SUMIFS(tblDaily[Remaining],tblDaily[EntryDate],DATE(2026,1,11),tblDaily[WardCode],"FAE")=0,"",SUMIFS(tblDaily[Remaining],tblDaily[EntryDate],DATE(2026,1,11),tblDaily[WardCode],"FAE")),"")</f>
        <v>2</v>
      </c>
      <c r="P18" s="15">
        <f t="shared" si="0"/>
        <v>5</v>
      </c>
    </row>
    <row r="19" spans="1:16" x14ac:dyDescent="0.25">
      <c r="A19" s="14">
        <v>12</v>
      </c>
      <c r="B19" s="14">
        <f>IFERROR(IF(SUMIFS(tblDaily[Admissions],tblDaily[EntryDate],DATE(2026,1,12),tblDaily[WardCode],"MAE")=0,"",SUMIFS(tblDaily[Admissions],tblDaily[EntryDate],DATE(2026,1,12),tblDaily[WardCode],"MAE")),"")</f>
        <v>1</v>
      </c>
      <c r="C19" s="14" t="str">
        <f>IFERROR(IF(SUMIFS(tblDaily[Discharges],tblDaily[EntryDate],DATE(2026,1,12),tblDaily[WardCode],"MAE")=0,"",SUMIFS(tblDaily[Discharges],tblDaily[EntryDate],DATE(2026,1,12),tblDaily[WardCode],"MAE")),"")</f>
        <v/>
      </c>
      <c r="D19" s="14" t="str">
        <f>IFERROR(IF(SUMIFS(tblDaily[Deaths],tblDaily[EntryDate],DATE(2026,1,12),tblDaily[WardCode],"MAE")=0,"",SUMIFS(tblDaily[Deaths],tblDaily[EntryDate],DATE(2026,1,12),tblDaily[WardCode],"MAE")),"")</f>
        <v/>
      </c>
      <c r="E19" s="14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14" t="str">
        <f>IFERROR(IF(SUMIFS(tblDaily[TransfersIn],tblDaily[EntryDate],DATE(2026,1,12),tblDaily[WardCode],"MAE")=0,"",SUMIFS(tblDaily[TransfersIn],tblDaily[EntryDate],DATE(2026,1,12),tblDaily[WardCode],"MAE")),"")</f>
        <v/>
      </c>
      <c r="G19" s="14">
        <f>IFERROR(IF(SUMIFS(tblDaily[TransfersOut],tblDaily[EntryDate],DATE(2026,1,12),tblDaily[WardCode],"MAE")=0,"",SUMIFS(tblDaily[TransfersOut],tblDaily[EntryDate],DATE(2026,1,12),tblDaily[WardCode],"MAE")),"")</f>
        <v>3</v>
      </c>
      <c r="H19" s="14">
        <f>IFERROR(IF(SUMIFS(tblDaily[Remaining],tblDaily[EntryDate],DATE(2026,1,12),tblDaily[WardCode],"MAE")=0,"",SUMIFS(tblDaily[Remaining],tblDaily[EntryDate],DATE(2026,1,12),tblDaily[WardCode],"MAE")),"")</f>
        <v>1</v>
      </c>
      <c r="I19" s="14" t="str">
        <f>IFERROR(IF(SUMIFS(tblDaily[Admissions],tblDaily[EntryDate],DATE(2026,1,12),tblDaily[WardCode],"FAE")=0,"",SUMIFS(tblDaily[Admissions],tblDaily[EntryDate],DATE(2026,1,12),tblDaily[WardCode],"FAE")),"")</f>
        <v/>
      </c>
      <c r="J19" s="14">
        <f>IFERROR(IF(SUMIFS(tblDaily[Discharges],tblDaily[EntryDate],DATE(2026,1,12),tblDaily[WardCode],"FAE")=0,"",SUMIFS(tblDaily[Discharges],tblDaily[EntryDate],DATE(2026,1,12),tblDaily[WardCode],"FAE")),"")</f>
        <v>2</v>
      </c>
      <c r="K19" s="14" t="str">
        <f>IFERROR(IF(SUMIFS(tblDaily[Deaths],tblDaily[EntryDate],DATE(2026,1,12),tblDaily[WardCode],"FAE")=0,"",SUMIFS(tblDaily[Deaths],tblDaily[EntryDate],DATE(2026,1,12),tblDaily[WardCode],"FAE")),"")</f>
        <v/>
      </c>
      <c r="L19" s="14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14" t="str">
        <f>IFERROR(IF(SUMIFS(tblDaily[TransfersIn],tblDaily[EntryDate],DATE(2026,1,12),tblDaily[WardCode],"FAE")=0,"",SUMIFS(tblDaily[TransfersIn],tblDaily[EntryDate],DATE(2026,1,12),tblDaily[WardCode],"FAE")),"")</f>
        <v/>
      </c>
      <c r="N19" s="14" t="str">
        <f>IFERROR(IF(SUMIFS(tblDaily[TransfersOut],tblDaily[EntryDate],DATE(2026,1,12),tblDaily[WardCode],"FAE")=0,"",SUMIFS(tblDaily[TransfersOut],tblDaily[EntryDate],DATE(2026,1,12),tblDaily[WardCode],"FAE")),"")</f>
        <v/>
      </c>
      <c r="O19" s="14" t="str">
        <f>IFERROR(IF(SUMIFS(tblDaily[Remaining],tblDaily[EntryDate],DATE(2026,1,12),tblDaily[WardCode],"FAE")=0,"",SUMIFS(tblDaily[Remaining],tblDaily[EntryDate],DATE(2026,1,12),tblDaily[WardCode],"FAE")),"")</f>
        <v/>
      </c>
      <c r="P19" s="15">
        <f t="shared" si="0"/>
        <v>1</v>
      </c>
    </row>
    <row r="20" spans="1:16" x14ac:dyDescent="0.25">
      <c r="A20" s="14">
        <v>13</v>
      </c>
      <c r="B20" s="14">
        <f>IFERROR(IF(SUMIFS(tblDaily[Admissions],tblDaily[EntryDate],DATE(2026,1,13),tblDaily[WardCode],"MAE")=0,"",SUMIFS(tblDaily[Admissions],tblDaily[EntryDate],DATE(2026,1,13),tblDaily[WardCode],"MAE")),"")</f>
        <v>4</v>
      </c>
      <c r="C20" s="14" t="str">
        <f>IFERROR(IF(SUMIFS(tblDaily[Discharges],tblDaily[EntryDate],DATE(2026,1,13),tblDaily[WardCode],"MAE")=0,"",SUMIFS(tblDaily[Discharges],tblDaily[EntryDate],DATE(2026,1,13),tblDaily[WardCode],"MAE")),"")</f>
        <v/>
      </c>
      <c r="D20" s="14" t="str">
        <f>IFERROR(IF(SUMIFS(tblDaily[Deaths],tblDaily[EntryDate],DATE(2026,1,13),tblDaily[WardCode],"MAE")=0,"",SUMIFS(tblDaily[Deaths],tblDaily[EntryDate],DATE(2026,1,13),tblDaily[WardCode],"MAE")),"")</f>
        <v/>
      </c>
      <c r="E20" s="14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14" t="str">
        <f>IFERROR(IF(SUMIFS(tblDaily[TransfersIn],tblDaily[EntryDate],DATE(2026,1,13),tblDaily[WardCode],"MAE")=0,"",SUMIFS(tblDaily[TransfersIn],tblDaily[EntryDate],DATE(2026,1,13),tblDaily[WardCode],"MAE")),"")</f>
        <v/>
      </c>
      <c r="G20" s="14">
        <f>IFERROR(IF(SUMIFS(tblDaily[TransfersOut],tblDaily[EntryDate],DATE(2026,1,13),tblDaily[WardCode],"MAE")=0,"",SUMIFS(tblDaily[TransfersOut],tblDaily[EntryDate],DATE(2026,1,13),tblDaily[WardCode],"MAE")),"")</f>
        <v>2</v>
      </c>
      <c r="H20" s="14">
        <f>IFERROR(IF(SUMIFS(tblDaily[Remaining],tblDaily[EntryDate],DATE(2026,1,13),tblDaily[WardCode],"MAE")=0,"",SUMIFS(tblDaily[Remaining],tblDaily[EntryDate],DATE(2026,1,13),tblDaily[WardCode],"MAE")),"")</f>
        <v>3</v>
      </c>
      <c r="I20" s="14">
        <f>IFERROR(IF(SUMIFS(tblDaily[Admissions],tblDaily[EntryDate],DATE(2026,1,13),tblDaily[WardCode],"FAE")=0,"",SUMIFS(tblDaily[Admissions],tblDaily[EntryDate],DATE(2026,1,13),tblDaily[WardCode],"FAE")),"")</f>
        <v>1</v>
      </c>
      <c r="J20" s="14" t="str">
        <f>IFERROR(IF(SUMIFS(tblDaily[Discharges],tblDaily[EntryDate],DATE(2026,1,13),tblDaily[WardCode],"FAE")=0,"",SUMIFS(tblDaily[Discharges],tblDaily[EntryDate],DATE(2026,1,13),tblDaily[WardCode],"FAE")),"")</f>
        <v/>
      </c>
      <c r="K20" s="14" t="str">
        <f>IFERROR(IF(SUMIFS(tblDaily[Deaths],tblDaily[EntryDate],DATE(2026,1,13),tblDaily[WardCode],"FAE")=0,"",SUMIFS(tblDaily[Deaths],tblDaily[EntryDate],DATE(2026,1,13),tblDaily[WardCode],"FAE")),"")</f>
        <v/>
      </c>
      <c r="L20" s="14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14" t="str">
        <f>IFERROR(IF(SUMIFS(tblDaily[TransfersIn],tblDaily[EntryDate],DATE(2026,1,13),tblDaily[WardCode],"FAE")=0,"",SUMIFS(tblDaily[TransfersIn],tblDaily[EntryDate],DATE(2026,1,13),tblDaily[WardCode],"FAE")),"")</f>
        <v/>
      </c>
      <c r="N20" s="14" t="str">
        <f>IFERROR(IF(SUMIFS(tblDaily[TransfersOut],tblDaily[EntryDate],DATE(2026,1,13),tblDaily[WardCode],"FAE")=0,"",SUMIFS(tblDaily[TransfersOut],tblDaily[EntryDate],DATE(2026,1,13),tblDaily[WardCode],"FAE")),"")</f>
        <v/>
      </c>
      <c r="O20" s="14">
        <f>IFERROR(IF(SUMIFS(tblDaily[Remaining],tblDaily[EntryDate],DATE(2026,1,13),tblDaily[WardCode],"FAE")=0,"",SUMIFS(tblDaily[Remaining],tblDaily[EntryDate],DATE(2026,1,13),tblDaily[WardCode],"FAE")),"")</f>
        <v>1</v>
      </c>
      <c r="P20" s="15">
        <f t="shared" si="0"/>
        <v>4</v>
      </c>
    </row>
    <row r="21" spans="1:16" x14ac:dyDescent="0.25">
      <c r="A21" s="14">
        <v>14</v>
      </c>
      <c r="B21" s="14">
        <f>IFERROR(IF(SUMIFS(tblDaily[Admissions],tblDaily[EntryDate],DATE(2026,1,14),tblDaily[WardCode],"MAE")=0,"",SUMIFS(tblDaily[Admissions],tblDaily[EntryDate],DATE(2026,1,14),tblDaily[WardCode],"MAE")),"")</f>
        <v>4</v>
      </c>
      <c r="C21" s="14" t="str">
        <f>IFERROR(IF(SUMIFS(tblDaily[Discharges],tblDaily[EntryDate],DATE(2026,1,14),tblDaily[WardCode],"MAE")=0,"",SUMIFS(tblDaily[Discharges],tblDaily[EntryDate],DATE(2026,1,14),tblDaily[WardCode],"MAE")),"")</f>
        <v/>
      </c>
      <c r="D21" s="14" t="str">
        <f>IFERROR(IF(SUMIFS(tblDaily[Deaths],tblDaily[EntryDate],DATE(2026,1,14),tblDaily[WardCode],"MAE")=0,"",SUMIFS(tblDaily[Deaths],tblDaily[EntryDate],DATE(2026,1,14),tblDaily[WardCode],"MAE")),"")</f>
        <v/>
      </c>
      <c r="E21" s="14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14" t="str">
        <f>IFERROR(IF(SUMIFS(tblDaily[TransfersIn],tblDaily[EntryDate],DATE(2026,1,14),tblDaily[WardCode],"MAE")=0,"",SUMIFS(tblDaily[TransfersIn],tblDaily[EntryDate],DATE(2026,1,14),tblDaily[WardCode],"MAE")),"")</f>
        <v/>
      </c>
      <c r="G21" s="14">
        <f>IFERROR(IF(SUMIFS(tblDaily[TransfersOut],tblDaily[EntryDate],DATE(2026,1,14),tblDaily[WardCode],"MAE")=0,"",SUMIFS(tblDaily[TransfersOut],tblDaily[EntryDate],DATE(2026,1,14),tblDaily[WardCode],"MAE")),"")</f>
        <v>1</v>
      </c>
      <c r="H21" s="14">
        <f>IFERROR(IF(SUMIFS(tblDaily[Remaining],tblDaily[EntryDate],DATE(2026,1,14),tblDaily[WardCode],"MAE")=0,"",SUMIFS(tblDaily[Remaining],tblDaily[EntryDate],DATE(2026,1,14),tblDaily[WardCode],"MAE")),"")</f>
        <v>6</v>
      </c>
      <c r="I21" s="14">
        <f>IFERROR(IF(SUMIFS(tblDaily[Admissions],tblDaily[EntryDate],DATE(2026,1,14),tblDaily[WardCode],"FAE")=0,"",SUMIFS(tblDaily[Admissions],tblDaily[EntryDate],DATE(2026,1,14),tblDaily[WardCode],"FAE")),"")</f>
        <v>4</v>
      </c>
      <c r="J21" s="14">
        <f>IFERROR(IF(SUMIFS(tblDaily[Discharges],tblDaily[EntryDate],DATE(2026,1,14),tblDaily[WardCode],"FAE")=0,"",SUMIFS(tblDaily[Discharges],tblDaily[EntryDate],DATE(2026,1,14),tblDaily[WardCode],"FAE")),"")</f>
        <v>2</v>
      </c>
      <c r="K21" s="14" t="str">
        <f>IFERROR(IF(SUMIFS(tblDaily[Deaths],tblDaily[EntryDate],DATE(2026,1,14),tblDaily[WardCode],"FAE")=0,"",SUMIFS(tblDaily[Deaths],tblDaily[EntryDate],DATE(2026,1,14),tblDaily[WardCode],"FAE")),"")</f>
        <v/>
      </c>
      <c r="L21" s="14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14" t="str">
        <f>IFERROR(IF(SUMIFS(tblDaily[TransfersIn],tblDaily[EntryDate],DATE(2026,1,14),tblDaily[WardCode],"FAE")=0,"",SUMIFS(tblDaily[TransfersIn],tblDaily[EntryDate],DATE(2026,1,14),tblDaily[WardCode],"FAE")),"")</f>
        <v/>
      </c>
      <c r="N21" s="14">
        <f>IFERROR(IF(SUMIFS(tblDaily[TransfersOut],tblDaily[EntryDate],DATE(2026,1,14),tblDaily[WardCode],"FAE")=0,"",SUMIFS(tblDaily[TransfersOut],tblDaily[EntryDate],DATE(2026,1,14),tblDaily[WardCode],"FAE")),"")</f>
        <v>1</v>
      </c>
      <c r="O21" s="14">
        <f>IFERROR(IF(SUMIFS(tblDaily[Remaining],tblDaily[EntryDate],DATE(2026,1,14),tblDaily[WardCode],"FAE")=0,"",SUMIFS(tblDaily[Remaining],tblDaily[EntryDate],DATE(2026,1,14),tblDaily[WardCode],"FAE")),"")</f>
        <v>2</v>
      </c>
      <c r="P21" s="15">
        <f t="shared" si="0"/>
        <v>8</v>
      </c>
    </row>
    <row r="22" spans="1:16" x14ac:dyDescent="0.25">
      <c r="A22" s="14">
        <v>15</v>
      </c>
      <c r="B22" s="14">
        <f>IFERROR(IF(SUMIFS(tblDaily[Admissions],tblDaily[EntryDate],DATE(2026,1,15),tblDaily[WardCode],"MAE")=0,"",SUMIFS(tblDaily[Admissions],tblDaily[EntryDate],DATE(2026,1,15),tblDaily[WardCode],"MAE")),"")</f>
        <v>1</v>
      </c>
      <c r="C22" s="14">
        <f>IFERROR(IF(SUMIFS(tblDaily[Discharges],tblDaily[EntryDate],DATE(2026,1,15),tblDaily[WardCode],"MAE")=0,"",SUMIFS(tblDaily[Discharges],tblDaily[EntryDate],DATE(2026,1,15),tblDaily[WardCode],"MAE")),"")</f>
        <v>2</v>
      </c>
      <c r="D22" s="14" t="str">
        <f>IFERROR(IF(SUMIFS(tblDaily[Deaths],tblDaily[EntryDate],DATE(2026,1,15),tblDaily[WardCode],"MAE")=0,"",SUMIFS(tblDaily[Deaths],tblDaily[EntryDate],DATE(2026,1,15),tblDaily[WardCode],"MAE")),"")</f>
        <v/>
      </c>
      <c r="E22" s="14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14" t="str">
        <f>IFERROR(IF(SUMIFS(tblDaily[TransfersIn],tblDaily[EntryDate],DATE(2026,1,15),tblDaily[WardCode],"MAE")=0,"",SUMIFS(tblDaily[TransfersIn],tblDaily[EntryDate],DATE(2026,1,15),tblDaily[WardCode],"MAE")),"")</f>
        <v/>
      </c>
      <c r="G22" s="14" t="str">
        <f>IFERROR(IF(SUMIFS(tblDaily[TransfersOut],tblDaily[EntryDate],DATE(2026,1,15),tblDaily[WardCode],"MAE")=0,"",SUMIFS(tblDaily[TransfersOut],tblDaily[EntryDate],DATE(2026,1,15),tblDaily[WardCode],"MAE")),"")</f>
        <v/>
      </c>
      <c r="H22" s="14">
        <f>IFERROR(IF(SUMIFS(tblDaily[Remaining],tblDaily[EntryDate],DATE(2026,1,15),tblDaily[WardCode],"MAE")=0,"",SUMIFS(tblDaily[Remaining],tblDaily[EntryDate],DATE(2026,1,15),tblDaily[WardCode],"MAE")),"")</f>
        <v>5</v>
      </c>
      <c r="I22" s="14">
        <f>IFERROR(IF(SUMIFS(tblDaily[Admissions],tblDaily[EntryDate],DATE(2026,1,15),tblDaily[WardCode],"FAE")=0,"",SUMIFS(tblDaily[Admissions],tblDaily[EntryDate],DATE(2026,1,15),tblDaily[WardCode],"FAE")),"")</f>
        <v>3</v>
      </c>
      <c r="J22" s="14">
        <f>IFERROR(IF(SUMIFS(tblDaily[Discharges],tblDaily[EntryDate],DATE(2026,1,15),tblDaily[WardCode],"FAE")=0,"",SUMIFS(tblDaily[Discharges],tblDaily[EntryDate],DATE(2026,1,15),tblDaily[WardCode],"FAE")),"")</f>
        <v>2</v>
      </c>
      <c r="K22" s="14" t="str">
        <f>IFERROR(IF(SUMIFS(tblDaily[Deaths],tblDaily[EntryDate],DATE(2026,1,15),tblDaily[WardCode],"FAE")=0,"",SUMIFS(tblDaily[Deaths],tblDaily[EntryDate],DATE(2026,1,15),tblDaily[WardCode],"FAE")),"")</f>
        <v/>
      </c>
      <c r="L22" s="14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14" t="str">
        <f>IFERROR(IF(SUMIFS(tblDaily[TransfersIn],tblDaily[EntryDate],DATE(2026,1,15),tblDaily[WardCode],"FAE")=0,"",SUMIFS(tblDaily[TransfersIn],tblDaily[EntryDate],DATE(2026,1,15),tblDaily[WardCode],"FAE")),"")</f>
        <v/>
      </c>
      <c r="N22" s="14">
        <f>IFERROR(IF(SUMIFS(tblDaily[TransfersOut],tblDaily[EntryDate],DATE(2026,1,15),tblDaily[WardCode],"FAE")=0,"",SUMIFS(tblDaily[TransfersOut],tblDaily[EntryDate],DATE(2026,1,15),tblDaily[WardCode],"FAE")),"")</f>
        <v>2</v>
      </c>
      <c r="O22" s="14">
        <f>IFERROR(IF(SUMIFS(tblDaily[Remaining],tblDaily[EntryDate],DATE(2026,1,15),tblDaily[WardCode],"FAE")=0,"",SUMIFS(tblDaily[Remaining],tblDaily[EntryDate],DATE(2026,1,15),tblDaily[WardCode],"FAE")),"")</f>
        <v>1</v>
      </c>
      <c r="P22" s="15">
        <f t="shared" si="0"/>
        <v>6</v>
      </c>
    </row>
    <row r="23" spans="1:16" x14ac:dyDescent="0.25">
      <c r="A23" s="14">
        <v>16</v>
      </c>
      <c r="B23" s="14">
        <f>IFERROR(IF(SUMIFS(tblDaily[Admissions],tblDaily[EntryDate],DATE(2026,1,16),tblDaily[WardCode],"MAE")=0,"",SUMIFS(tblDaily[Admissions],tblDaily[EntryDate],DATE(2026,1,16),tblDaily[WardCode],"MAE")),"")</f>
        <v>6</v>
      </c>
      <c r="C23" s="14">
        <f>IFERROR(IF(SUMIFS(tblDaily[Discharges],tblDaily[EntryDate],DATE(2026,1,16),tblDaily[WardCode],"MAE")=0,"",SUMIFS(tblDaily[Discharges],tblDaily[EntryDate],DATE(2026,1,16),tblDaily[WardCode],"MAE")),"")</f>
        <v>1</v>
      </c>
      <c r="D23" s="14" t="str">
        <f>IFERROR(IF(SUMIFS(tblDaily[Deaths],tblDaily[EntryDate],DATE(2026,1,16),tblDaily[WardCode],"MAE")=0,"",SUMIFS(tblDaily[Deaths],tblDaily[EntryDate],DATE(2026,1,16),tblDaily[WardCode],"MAE")),"")</f>
        <v/>
      </c>
      <c r="E23" s="14">
        <f>IFERROR(IF(SUMIFS(tblDaily[DeathsUnder24Hrs],tblDaily[EntryDate],DATE(2026,1,16),tblDaily[WardCode],"MAE")=0,"",SUMIFS(tblDaily[DeathsUnder24Hrs],tblDaily[EntryDate],DATE(2026,1,16),tblDaily[WardCode],"MAE")),"")</f>
        <v>1</v>
      </c>
      <c r="F23" s="14" t="str">
        <f>IFERROR(IF(SUMIFS(tblDaily[TransfersIn],tblDaily[EntryDate],DATE(2026,1,16),tblDaily[WardCode],"MAE")=0,"",SUMIFS(tblDaily[TransfersIn],tblDaily[EntryDate],DATE(2026,1,16),tblDaily[WardCode],"MAE")),"")</f>
        <v/>
      </c>
      <c r="G23" s="14" t="str">
        <f>IFERROR(IF(SUMIFS(tblDaily[TransfersOut],tblDaily[EntryDate],DATE(2026,1,16),tblDaily[WardCode],"MAE")=0,"",SUMIFS(tblDaily[TransfersOut],tblDaily[EntryDate],DATE(2026,1,16),tblDaily[WardCode],"MAE")),"")</f>
        <v/>
      </c>
      <c r="H23" s="14">
        <f>IFERROR(IF(SUMIFS(tblDaily[Remaining],tblDaily[EntryDate],DATE(2026,1,16),tblDaily[WardCode],"MAE")=0,"",SUMIFS(tblDaily[Remaining],tblDaily[EntryDate],DATE(2026,1,16),tblDaily[WardCode],"MAE")),"")</f>
        <v>9</v>
      </c>
      <c r="I23" s="14">
        <f>IFERROR(IF(SUMIFS(tblDaily[Admissions],tblDaily[EntryDate],DATE(2026,1,16),tblDaily[WardCode],"FAE")=0,"",SUMIFS(tblDaily[Admissions],tblDaily[EntryDate],DATE(2026,1,16),tblDaily[WardCode],"FAE")),"")</f>
        <v>1</v>
      </c>
      <c r="J23" s="14" t="str">
        <f>IFERROR(IF(SUMIFS(tblDaily[Discharges],tblDaily[EntryDate],DATE(2026,1,16),tblDaily[WardCode],"FAE")=0,"",SUMIFS(tblDaily[Discharges],tblDaily[EntryDate],DATE(2026,1,16),tblDaily[WardCode],"FAE")),"")</f>
        <v/>
      </c>
      <c r="K23" s="14" t="str">
        <f>IFERROR(IF(SUMIFS(tblDaily[Deaths],tblDaily[EntryDate],DATE(2026,1,16),tblDaily[WardCode],"FAE")=0,"",SUMIFS(tblDaily[Deaths],tblDaily[EntryDate],DATE(2026,1,16),tblDaily[WardCode],"FAE")),"")</f>
        <v/>
      </c>
      <c r="L23" s="14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14" t="str">
        <f>IFERROR(IF(SUMIFS(tblDaily[TransfersIn],tblDaily[EntryDate],DATE(2026,1,16),tblDaily[WardCode],"FAE")=0,"",SUMIFS(tblDaily[TransfersIn],tblDaily[EntryDate],DATE(2026,1,16),tblDaily[WardCode],"FAE")),"")</f>
        <v/>
      </c>
      <c r="N23" s="14">
        <f>IFERROR(IF(SUMIFS(tblDaily[TransfersOut],tblDaily[EntryDate],DATE(2026,1,16),tblDaily[WardCode],"FAE")=0,"",SUMIFS(tblDaily[TransfersOut],tblDaily[EntryDate],DATE(2026,1,16),tblDaily[WardCode],"FAE")),"")</f>
        <v>2</v>
      </c>
      <c r="O23" s="14" t="str">
        <f>IFERROR(IF(SUMIFS(tblDaily[Remaining],tblDaily[EntryDate],DATE(2026,1,16),tblDaily[WardCode],"FAE")=0,"",SUMIFS(tblDaily[Remaining],tblDaily[EntryDate],DATE(2026,1,16),tblDaily[WardCode],"FAE")),"")</f>
        <v/>
      </c>
      <c r="P23" s="15">
        <f t="shared" si="0"/>
        <v>9</v>
      </c>
    </row>
    <row r="24" spans="1:16" x14ac:dyDescent="0.25">
      <c r="A24" s="14">
        <v>17</v>
      </c>
      <c r="B24" s="14">
        <f>IFERROR(IF(SUMIFS(tblDaily[Admissions],tblDaily[EntryDate],DATE(2026,1,17),tblDaily[WardCode],"MAE")=0,"",SUMIFS(tblDaily[Admissions],tblDaily[EntryDate],DATE(2026,1,17),tblDaily[WardCode],"MAE")),"")</f>
        <v>3</v>
      </c>
      <c r="C24" s="14" t="str">
        <f>IFERROR(IF(SUMIFS(tblDaily[Discharges],tblDaily[EntryDate],DATE(2026,1,17),tblDaily[WardCode],"MAE")=0,"",SUMIFS(tblDaily[Discharges],tblDaily[EntryDate],DATE(2026,1,17),tblDaily[WardCode],"MAE")),"")</f>
        <v/>
      </c>
      <c r="D24" s="14" t="str">
        <f>IFERROR(IF(SUMIFS(tblDaily[Deaths],tblDaily[EntryDate],DATE(2026,1,17),tblDaily[WardCode],"MAE")=0,"",SUMIFS(tblDaily[Deaths],tblDaily[EntryDate],DATE(2026,1,17),tblDaily[WardCode],"MAE")),"")</f>
        <v/>
      </c>
      <c r="E24" s="14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14" t="str">
        <f>IFERROR(IF(SUMIFS(tblDaily[TransfersIn],tblDaily[EntryDate],DATE(2026,1,17),tblDaily[WardCode],"MAE")=0,"",SUMIFS(tblDaily[TransfersIn],tblDaily[EntryDate],DATE(2026,1,17),tblDaily[WardCode],"MAE")),"")</f>
        <v/>
      </c>
      <c r="G24" s="14">
        <f>IFERROR(IF(SUMIFS(tblDaily[TransfersOut],tblDaily[EntryDate],DATE(2026,1,17),tblDaily[WardCode],"MAE")=0,"",SUMIFS(tblDaily[TransfersOut],tblDaily[EntryDate],DATE(2026,1,17),tblDaily[WardCode],"MAE")),"")</f>
        <v>3</v>
      </c>
      <c r="H24" s="14">
        <f>IFERROR(IF(SUMIFS(tblDaily[Remaining],tblDaily[EntryDate],DATE(2026,1,17),tblDaily[WardCode],"MAE")=0,"",SUMIFS(tblDaily[Remaining],tblDaily[EntryDate],DATE(2026,1,17),tblDaily[WardCode],"MAE")),"")</f>
        <v>9</v>
      </c>
      <c r="I24" s="14">
        <f>IFERROR(IF(SUMIFS(tblDaily[Admissions],tblDaily[EntryDate],DATE(2026,1,17),tblDaily[WardCode],"FAE")=0,"",SUMIFS(tblDaily[Admissions],tblDaily[EntryDate],DATE(2026,1,17),tblDaily[WardCode],"FAE")),"")</f>
        <v>3</v>
      </c>
      <c r="J24" s="14" t="str">
        <f>IFERROR(IF(SUMIFS(tblDaily[Discharges],tblDaily[EntryDate],DATE(2026,1,17),tblDaily[WardCode],"FAE")=0,"",SUMIFS(tblDaily[Discharges],tblDaily[EntryDate],DATE(2026,1,17),tblDaily[WardCode],"FAE")),"")</f>
        <v/>
      </c>
      <c r="K24" s="14" t="str">
        <f>IFERROR(IF(SUMIFS(tblDaily[Deaths],tblDaily[EntryDate],DATE(2026,1,17),tblDaily[WardCode],"FAE")=0,"",SUMIFS(tblDaily[Deaths],tblDaily[EntryDate],DATE(2026,1,17),tblDaily[WardCode],"FAE")),"")</f>
        <v/>
      </c>
      <c r="L24" s="14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14" t="str">
        <f>IFERROR(IF(SUMIFS(tblDaily[TransfersIn],tblDaily[EntryDate],DATE(2026,1,17),tblDaily[WardCode],"FAE")=0,"",SUMIFS(tblDaily[TransfersIn],tblDaily[EntryDate],DATE(2026,1,17),tblDaily[WardCode],"FAE")),"")</f>
        <v/>
      </c>
      <c r="N24" s="14">
        <f>IFERROR(IF(SUMIFS(tblDaily[TransfersOut],tblDaily[EntryDate],DATE(2026,1,17),tblDaily[WardCode],"FAE")=0,"",SUMIFS(tblDaily[TransfersOut],tblDaily[EntryDate],DATE(2026,1,17),tblDaily[WardCode],"FAE")),"")</f>
        <v>2</v>
      </c>
      <c r="O24" s="14">
        <f>IFERROR(IF(SUMIFS(tblDaily[Remaining],tblDaily[EntryDate],DATE(2026,1,17),tblDaily[WardCode],"FAE")=0,"",SUMIFS(tblDaily[Remaining],tblDaily[EntryDate],DATE(2026,1,17),tblDaily[WardCode],"FAE")),"")</f>
        <v>1</v>
      </c>
      <c r="P24" s="15">
        <f t="shared" si="0"/>
        <v>10</v>
      </c>
    </row>
    <row r="25" spans="1:16" x14ac:dyDescent="0.25">
      <c r="A25" s="14">
        <v>18</v>
      </c>
      <c r="B25" s="14" t="str">
        <f>IFERROR(IF(SUMIFS(tblDaily[Admissions],tblDaily[EntryDate],DATE(2026,1,18),tblDaily[WardCode],"MAE")=0,"",SUMIFS(tblDaily[Admissions],tblDaily[EntryDate],DATE(2026,1,18),tblDaily[WardCode],"MAE")),"")</f>
        <v/>
      </c>
      <c r="C25" s="14">
        <f>IFERROR(IF(SUMIFS(tblDaily[Discharges],tblDaily[EntryDate],DATE(2026,1,18),tblDaily[WardCode],"MAE")=0,"",SUMIFS(tblDaily[Discharges],tblDaily[EntryDate],DATE(2026,1,18),tblDaily[WardCode],"MAE")),"")</f>
        <v>1</v>
      </c>
      <c r="D25" s="14" t="str">
        <f>IFERROR(IF(SUMIFS(tblDaily[Deaths],tblDaily[EntryDate],DATE(2026,1,18),tblDaily[WardCode],"MAE")=0,"",SUMIFS(tblDaily[Deaths],tblDaily[EntryDate],DATE(2026,1,18),tblDaily[WardCode],"MAE")),"")</f>
        <v/>
      </c>
      <c r="E25" s="14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14" t="str">
        <f>IFERROR(IF(SUMIFS(tblDaily[TransfersIn],tblDaily[EntryDate],DATE(2026,1,18),tblDaily[WardCode],"MAE")=0,"",SUMIFS(tblDaily[TransfersIn],tblDaily[EntryDate],DATE(2026,1,18),tblDaily[WardCode],"MAE")),"")</f>
        <v/>
      </c>
      <c r="G25" s="14">
        <f>IFERROR(IF(SUMIFS(tblDaily[TransfersOut],tblDaily[EntryDate],DATE(2026,1,18),tblDaily[WardCode],"MAE")=0,"",SUMIFS(tblDaily[TransfersOut],tblDaily[EntryDate],DATE(2026,1,18),tblDaily[WardCode],"MAE")),"")</f>
        <v>2</v>
      </c>
      <c r="H25" s="14">
        <f>IFERROR(IF(SUMIFS(tblDaily[Remaining],tblDaily[EntryDate],DATE(2026,1,18),tblDaily[WardCode],"MAE")=0,"",SUMIFS(tblDaily[Remaining],tblDaily[EntryDate],DATE(2026,1,18),tblDaily[WardCode],"MAE")),"")</f>
        <v>6</v>
      </c>
      <c r="I25" s="14">
        <f>IFERROR(IF(SUMIFS(tblDaily[Admissions],tblDaily[EntryDate],DATE(2026,1,18),tblDaily[WardCode],"FAE")=0,"",SUMIFS(tblDaily[Admissions],tblDaily[EntryDate],DATE(2026,1,18),tblDaily[WardCode],"FAE")),"")</f>
        <v>4</v>
      </c>
      <c r="J25" s="14" t="str">
        <f>IFERROR(IF(SUMIFS(tblDaily[Discharges],tblDaily[EntryDate],DATE(2026,1,18),tblDaily[WardCode],"FAE")=0,"",SUMIFS(tblDaily[Discharges],tblDaily[EntryDate],DATE(2026,1,18),tblDaily[WardCode],"FAE")),"")</f>
        <v/>
      </c>
      <c r="K25" s="14" t="str">
        <f>IFERROR(IF(SUMIFS(tblDaily[Deaths],tblDaily[EntryDate],DATE(2026,1,18),tblDaily[WardCode],"FAE")=0,"",SUMIFS(tblDaily[Deaths],tblDaily[EntryDate],DATE(2026,1,18),tblDaily[WardCode],"FAE")),"")</f>
        <v/>
      </c>
      <c r="L25" s="14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14" t="str">
        <f>IFERROR(IF(SUMIFS(tblDaily[TransfersIn],tblDaily[EntryDate],DATE(2026,1,18),tblDaily[WardCode],"FAE")=0,"",SUMIFS(tblDaily[TransfersIn],tblDaily[EntryDate],DATE(2026,1,18),tblDaily[WardCode],"FAE")),"")</f>
        <v/>
      </c>
      <c r="N25" s="14">
        <f>IFERROR(IF(SUMIFS(tblDaily[TransfersOut],tblDaily[EntryDate],DATE(2026,1,18),tblDaily[WardCode],"FAE")=0,"",SUMIFS(tblDaily[TransfersOut],tblDaily[EntryDate],DATE(2026,1,18),tblDaily[WardCode],"FAE")),"")</f>
        <v>1</v>
      </c>
      <c r="O25" s="14">
        <f>IFERROR(IF(SUMIFS(tblDaily[Remaining],tblDaily[EntryDate],DATE(2026,1,18),tblDaily[WardCode],"FAE")=0,"",SUMIFS(tblDaily[Remaining],tblDaily[EntryDate],DATE(2026,1,18),tblDaily[WardCode],"FAE")),"")</f>
        <v>4</v>
      </c>
      <c r="P25" s="15">
        <f t="shared" si="0"/>
        <v>10</v>
      </c>
    </row>
    <row r="26" spans="1:16" x14ac:dyDescent="0.25">
      <c r="A26" s="14">
        <v>19</v>
      </c>
      <c r="B26" s="14">
        <f>IFERROR(IF(SUMIFS(tblDaily[Admissions],tblDaily[EntryDate],DATE(2026,1,19),tblDaily[WardCode],"MAE")=0,"",SUMIFS(tblDaily[Admissions],tblDaily[EntryDate],DATE(2026,1,19),tblDaily[WardCode],"MAE")),"")</f>
        <v>2</v>
      </c>
      <c r="C26" s="14">
        <f>IFERROR(IF(SUMIFS(tblDaily[Discharges],tblDaily[EntryDate],DATE(2026,1,19),tblDaily[WardCode],"MAE")=0,"",SUMIFS(tblDaily[Discharges],tblDaily[EntryDate],DATE(2026,1,19),tblDaily[WardCode],"MAE")),"")</f>
        <v>4</v>
      </c>
      <c r="D26" s="14" t="str">
        <f>IFERROR(IF(SUMIFS(tblDaily[Deaths],tblDaily[EntryDate],DATE(2026,1,19),tblDaily[WardCode],"MAE")=0,"",SUMIFS(tblDaily[Deaths],tblDaily[EntryDate],DATE(2026,1,19),tblDaily[WardCode],"MAE")),"")</f>
        <v/>
      </c>
      <c r="E26" s="14">
        <f>IFERROR(IF(SUMIFS(tblDaily[DeathsUnder24Hrs],tblDaily[EntryDate],DATE(2026,1,19),tblDaily[WardCode],"MAE")=0,"",SUMIFS(tblDaily[DeathsUnder24Hrs],tblDaily[EntryDate],DATE(2026,1,19),tblDaily[WardCode],"MAE")),"")</f>
        <v>1</v>
      </c>
      <c r="F26" s="14" t="str">
        <f>IFERROR(IF(SUMIFS(tblDaily[TransfersIn],tblDaily[EntryDate],DATE(2026,1,19),tblDaily[WardCode],"MAE")=0,"",SUMIFS(tblDaily[TransfersIn],tblDaily[EntryDate],DATE(2026,1,19),tblDaily[WardCode],"MAE")),"")</f>
        <v/>
      </c>
      <c r="G26" s="14" t="str">
        <f>IFERROR(IF(SUMIFS(tblDaily[TransfersOut],tblDaily[EntryDate],DATE(2026,1,19),tblDaily[WardCode],"MAE")=0,"",SUMIFS(tblDaily[TransfersOut],tblDaily[EntryDate],DATE(2026,1,19),tblDaily[WardCode],"MAE")),"")</f>
        <v/>
      </c>
      <c r="H26" s="14">
        <f>IFERROR(IF(SUMIFS(tblDaily[Remaining],tblDaily[EntryDate],DATE(2026,1,19),tblDaily[WardCode],"MAE")=0,"",SUMIFS(tblDaily[Remaining],tblDaily[EntryDate],DATE(2026,1,19),tblDaily[WardCode],"MAE")),"")</f>
        <v>3</v>
      </c>
      <c r="I26" s="14">
        <f>IFERROR(IF(SUMIFS(tblDaily[Admissions],tblDaily[EntryDate],DATE(2026,1,19),tblDaily[WardCode],"FAE")=0,"",SUMIFS(tblDaily[Admissions],tblDaily[EntryDate],DATE(2026,1,19),tblDaily[WardCode],"FAE")),"")</f>
        <v>1</v>
      </c>
      <c r="J26" s="14">
        <f>IFERROR(IF(SUMIFS(tblDaily[Discharges],tblDaily[EntryDate],DATE(2026,1,19),tblDaily[WardCode],"FAE")=0,"",SUMIFS(tblDaily[Discharges],tblDaily[EntryDate],DATE(2026,1,19),tblDaily[WardCode],"FAE")),"")</f>
        <v>1</v>
      </c>
      <c r="K26" s="14" t="str">
        <f>IFERROR(IF(SUMIFS(tblDaily[Deaths],tblDaily[EntryDate],DATE(2026,1,19),tblDaily[WardCode],"FAE")=0,"",SUMIFS(tblDaily[Deaths],tblDaily[EntryDate],DATE(2026,1,19),tblDaily[WardCode],"FAE")),"")</f>
        <v/>
      </c>
      <c r="L26" s="14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14" t="str">
        <f>IFERROR(IF(SUMIFS(tblDaily[TransfersIn],tblDaily[EntryDate],DATE(2026,1,19),tblDaily[WardCode],"FAE")=0,"",SUMIFS(tblDaily[TransfersIn],tblDaily[EntryDate],DATE(2026,1,19),tblDaily[WardCode],"FAE")),"")</f>
        <v/>
      </c>
      <c r="N26" s="14">
        <f>IFERROR(IF(SUMIFS(tblDaily[TransfersOut],tblDaily[EntryDate],DATE(2026,1,19),tblDaily[WardCode],"FAE")=0,"",SUMIFS(tblDaily[TransfersOut],tblDaily[EntryDate],DATE(2026,1,19),tblDaily[WardCode],"FAE")),"")</f>
        <v>1</v>
      </c>
      <c r="O26" s="14">
        <f>IFERROR(IF(SUMIFS(tblDaily[Remaining],tblDaily[EntryDate],DATE(2026,1,19),tblDaily[WardCode],"FAE")=0,"",SUMIFS(tblDaily[Remaining],tblDaily[EntryDate],DATE(2026,1,19),tblDaily[WardCode],"FAE")),"")</f>
        <v>3</v>
      </c>
      <c r="P26" s="15">
        <f t="shared" si="0"/>
        <v>6</v>
      </c>
    </row>
    <row r="27" spans="1:16" x14ac:dyDescent="0.25">
      <c r="A27" s="14">
        <v>20</v>
      </c>
      <c r="B27" s="14">
        <f>IFERROR(IF(SUMIFS(tblDaily[Admissions],tblDaily[EntryDate],DATE(2026,1,20),tblDaily[WardCode],"MAE")=0,"",SUMIFS(tblDaily[Admissions],tblDaily[EntryDate],DATE(2026,1,20),tblDaily[WardCode],"MAE")),"")</f>
        <v>7</v>
      </c>
      <c r="C27" s="14">
        <f>IFERROR(IF(SUMIFS(tblDaily[Discharges],tblDaily[EntryDate],DATE(2026,1,20),tblDaily[WardCode],"MAE")=0,"",SUMIFS(tblDaily[Discharges],tblDaily[EntryDate],DATE(2026,1,20),tblDaily[WardCode],"MAE")),"")</f>
        <v>3</v>
      </c>
      <c r="D27" s="14" t="str">
        <f>IFERROR(IF(SUMIFS(tblDaily[Deaths],tblDaily[EntryDate],DATE(2026,1,20),tblDaily[WardCode],"MAE")=0,"",SUMIFS(tblDaily[Deaths],tblDaily[EntryDate],DATE(2026,1,20),tblDaily[WardCode],"MAE")),"")</f>
        <v/>
      </c>
      <c r="E27" s="14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14" t="str">
        <f>IFERROR(IF(SUMIFS(tblDaily[TransfersIn],tblDaily[EntryDate],DATE(2026,1,20),tblDaily[WardCode],"MAE")=0,"",SUMIFS(tblDaily[TransfersIn],tblDaily[EntryDate],DATE(2026,1,20),tblDaily[WardCode],"MAE")),"")</f>
        <v/>
      </c>
      <c r="G27" s="14">
        <f>IFERROR(IF(SUMIFS(tblDaily[TransfersOut],tblDaily[EntryDate],DATE(2026,1,20),tblDaily[WardCode],"MAE")=0,"",SUMIFS(tblDaily[TransfersOut],tblDaily[EntryDate],DATE(2026,1,20),tblDaily[WardCode],"MAE")),"")</f>
        <v>1</v>
      </c>
      <c r="H27" s="14">
        <f>IFERROR(IF(SUMIFS(tblDaily[Remaining],tblDaily[EntryDate],DATE(2026,1,20),tblDaily[WardCode],"MAE")=0,"",SUMIFS(tblDaily[Remaining],tblDaily[EntryDate],DATE(2026,1,20),tblDaily[WardCode],"MAE")),"")</f>
        <v>6</v>
      </c>
      <c r="I27" s="14">
        <f>IFERROR(IF(SUMIFS(tblDaily[Admissions],tblDaily[EntryDate],DATE(2026,1,20),tblDaily[WardCode],"FAE")=0,"",SUMIFS(tblDaily[Admissions],tblDaily[EntryDate],DATE(2026,1,20),tblDaily[WardCode],"FAE")),"")</f>
        <v>1</v>
      </c>
      <c r="J27" s="14" t="str">
        <f>IFERROR(IF(SUMIFS(tblDaily[Discharges],tblDaily[EntryDate],DATE(2026,1,20),tblDaily[WardCode],"FAE")=0,"",SUMIFS(tblDaily[Discharges],tblDaily[EntryDate],DATE(2026,1,20),tblDaily[WardCode],"FAE")),"")</f>
        <v/>
      </c>
      <c r="K27" s="14" t="str">
        <f>IFERROR(IF(SUMIFS(tblDaily[Deaths],tblDaily[EntryDate],DATE(2026,1,20),tblDaily[WardCode],"FAE")=0,"",SUMIFS(tblDaily[Deaths],tblDaily[EntryDate],DATE(2026,1,20),tblDaily[WardCode],"FAE")),"")</f>
        <v/>
      </c>
      <c r="L27" s="14">
        <f>IFERROR(IF(SUMIFS(tblDaily[DeathsUnder24Hrs],tblDaily[EntryDate],DATE(2026,1,20),tblDaily[WardCode],"FAE")=0,"",SUMIFS(tblDaily[DeathsUnder24Hrs],tblDaily[EntryDate],DATE(2026,1,20),tblDaily[WardCode],"FAE")),"")</f>
        <v>1</v>
      </c>
      <c r="M27" s="14" t="str">
        <f>IFERROR(IF(SUMIFS(tblDaily[TransfersIn],tblDaily[EntryDate],DATE(2026,1,20),tblDaily[WardCode],"FAE")=0,"",SUMIFS(tblDaily[TransfersIn],tblDaily[EntryDate],DATE(2026,1,20),tblDaily[WardCode],"FAE")),"")</f>
        <v/>
      </c>
      <c r="N27" s="14" t="str">
        <f>IFERROR(IF(SUMIFS(tblDaily[TransfersOut],tblDaily[EntryDate],DATE(2026,1,20),tblDaily[WardCode],"FAE")=0,"",SUMIFS(tblDaily[TransfersOut],tblDaily[EntryDate],DATE(2026,1,20),tblDaily[WardCode],"FAE")),"")</f>
        <v/>
      </c>
      <c r="O27" s="14">
        <f>IFERROR(IF(SUMIFS(tblDaily[Remaining],tblDaily[EntryDate],DATE(2026,1,20),tblDaily[WardCode],"FAE")=0,"",SUMIFS(tblDaily[Remaining],tblDaily[EntryDate],DATE(2026,1,20),tblDaily[WardCode],"FAE")),"")</f>
        <v>3</v>
      </c>
      <c r="P27" s="15">
        <f t="shared" si="0"/>
        <v>9</v>
      </c>
    </row>
    <row r="28" spans="1:16" x14ac:dyDescent="0.25">
      <c r="A28" s="14">
        <v>21</v>
      </c>
      <c r="B28" s="14">
        <f>IFERROR(IF(SUMIFS(tblDaily[Admissions],tblDaily[EntryDate],DATE(2026,1,21),tblDaily[WardCode],"MAE")=0,"",SUMIFS(tblDaily[Admissions],tblDaily[EntryDate],DATE(2026,1,21),tblDaily[WardCode],"MAE")),"")</f>
        <v>1</v>
      </c>
      <c r="C28" s="14">
        <f>IFERROR(IF(SUMIFS(tblDaily[Discharges],tblDaily[EntryDate],DATE(2026,1,21),tblDaily[WardCode],"MAE")=0,"",SUMIFS(tblDaily[Discharges],tblDaily[EntryDate],DATE(2026,1,21),tblDaily[WardCode],"MAE")),"")</f>
        <v>2</v>
      </c>
      <c r="D28" s="14" t="str">
        <f>IFERROR(IF(SUMIFS(tblDaily[Deaths],tblDaily[EntryDate],DATE(2026,1,21),tblDaily[WardCode],"MAE")=0,"",SUMIFS(tblDaily[Deaths],tblDaily[EntryDate],DATE(2026,1,21),tblDaily[WardCode],"MAE")),"")</f>
        <v/>
      </c>
      <c r="E28" s="14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14" t="str">
        <f>IFERROR(IF(SUMIFS(tblDaily[TransfersIn],tblDaily[EntryDate],DATE(2026,1,21),tblDaily[WardCode],"MAE")=0,"",SUMIFS(tblDaily[TransfersIn],tblDaily[EntryDate],DATE(2026,1,21),tblDaily[WardCode],"MAE")),"")</f>
        <v/>
      </c>
      <c r="G28" s="14">
        <f>IFERROR(IF(SUMIFS(tblDaily[TransfersOut],tblDaily[EntryDate],DATE(2026,1,21),tblDaily[WardCode],"MAE")=0,"",SUMIFS(tblDaily[TransfersOut],tblDaily[EntryDate],DATE(2026,1,21),tblDaily[WardCode],"MAE")),"")</f>
        <v>1</v>
      </c>
      <c r="H28" s="14">
        <f>IFERROR(IF(SUMIFS(tblDaily[Remaining],tblDaily[EntryDate],DATE(2026,1,21),tblDaily[WardCode],"MAE")=0,"",SUMIFS(tblDaily[Remaining],tblDaily[EntryDate],DATE(2026,1,21),tblDaily[WardCode],"MAE")),"")</f>
        <v>4</v>
      </c>
      <c r="I28" s="14">
        <f>IFERROR(IF(SUMIFS(tblDaily[Admissions],tblDaily[EntryDate],DATE(2026,1,21),tblDaily[WardCode],"FAE")=0,"",SUMIFS(tblDaily[Admissions],tblDaily[EntryDate],DATE(2026,1,21),tblDaily[WardCode],"FAE")),"")</f>
        <v>1</v>
      </c>
      <c r="J28" s="14" t="str">
        <f>IFERROR(IF(SUMIFS(tblDaily[Discharges],tblDaily[EntryDate],DATE(2026,1,21),tblDaily[WardCode],"FAE")=0,"",SUMIFS(tblDaily[Discharges],tblDaily[EntryDate],DATE(2026,1,21),tblDaily[WardCode],"FAE")),"")</f>
        <v/>
      </c>
      <c r="K28" s="14" t="str">
        <f>IFERROR(IF(SUMIFS(tblDaily[Deaths],tblDaily[EntryDate],DATE(2026,1,21),tblDaily[WardCode],"FAE")=0,"",SUMIFS(tblDaily[Deaths],tblDaily[EntryDate],DATE(2026,1,21),tblDaily[WardCode],"FAE")),"")</f>
        <v/>
      </c>
      <c r="L28" s="14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14" t="str">
        <f>IFERROR(IF(SUMIFS(tblDaily[TransfersIn],tblDaily[EntryDate],DATE(2026,1,21),tblDaily[WardCode],"FAE")=0,"",SUMIFS(tblDaily[TransfersIn],tblDaily[EntryDate],DATE(2026,1,21),tblDaily[WardCode],"FAE")),"")</f>
        <v/>
      </c>
      <c r="N28" s="14">
        <f>IFERROR(IF(SUMIFS(tblDaily[TransfersOut],tblDaily[EntryDate],DATE(2026,1,21),tblDaily[WardCode],"FAE")=0,"",SUMIFS(tblDaily[TransfersOut],tblDaily[EntryDate],DATE(2026,1,21),tblDaily[WardCode],"FAE")),"")</f>
        <v>1</v>
      </c>
      <c r="O28" s="14">
        <f>IFERROR(IF(SUMIFS(tblDaily[Remaining],tblDaily[EntryDate],DATE(2026,1,21),tblDaily[WardCode],"FAE")=0,"",SUMIFS(tblDaily[Remaining],tblDaily[EntryDate],DATE(2026,1,21),tblDaily[WardCode],"FAE")),"")</f>
        <v>3</v>
      </c>
      <c r="P28" s="15">
        <f t="shared" si="0"/>
        <v>7</v>
      </c>
    </row>
    <row r="29" spans="1:16" x14ac:dyDescent="0.25">
      <c r="A29" s="14">
        <v>22</v>
      </c>
      <c r="B29" s="14">
        <f>IFERROR(IF(SUMIFS(tblDaily[Admissions],tblDaily[EntryDate],DATE(2026,1,22),tblDaily[WardCode],"MAE")=0,"",SUMIFS(tblDaily[Admissions],tblDaily[EntryDate],DATE(2026,1,22),tblDaily[WardCode],"MAE")),"")</f>
        <v>5</v>
      </c>
      <c r="C29" s="14" t="str">
        <f>IFERROR(IF(SUMIFS(tblDaily[Discharges],tblDaily[EntryDate],DATE(2026,1,22),tblDaily[WardCode],"MAE")=0,"",SUMIFS(tblDaily[Discharges],tblDaily[EntryDate],DATE(2026,1,22),tblDaily[WardCode],"MAE")),"")</f>
        <v/>
      </c>
      <c r="D29" s="14" t="str">
        <f>IFERROR(IF(SUMIFS(tblDaily[Deaths],tblDaily[EntryDate],DATE(2026,1,22),tblDaily[WardCode],"MAE")=0,"",SUMIFS(tblDaily[Deaths],tblDaily[EntryDate],DATE(2026,1,22),tblDaily[WardCode],"MAE")),"")</f>
        <v/>
      </c>
      <c r="E29" s="14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14" t="str">
        <f>IFERROR(IF(SUMIFS(tblDaily[TransfersIn],tblDaily[EntryDate],DATE(2026,1,22),tblDaily[WardCode],"MAE")=0,"",SUMIFS(tblDaily[TransfersIn],tblDaily[EntryDate],DATE(2026,1,22),tblDaily[WardCode],"MAE")),"")</f>
        <v/>
      </c>
      <c r="G29" s="14">
        <f>IFERROR(IF(SUMIFS(tblDaily[TransfersOut],tblDaily[EntryDate],DATE(2026,1,22),tblDaily[WardCode],"MAE")=0,"",SUMIFS(tblDaily[TransfersOut],tblDaily[EntryDate],DATE(2026,1,22),tblDaily[WardCode],"MAE")),"")</f>
        <v>3</v>
      </c>
      <c r="H29" s="14">
        <f>IFERROR(IF(SUMIFS(tblDaily[Remaining],tblDaily[EntryDate],DATE(2026,1,22),tblDaily[WardCode],"MAE")=0,"",SUMIFS(tblDaily[Remaining],tblDaily[EntryDate],DATE(2026,1,22),tblDaily[WardCode],"MAE")),"")</f>
        <v>6</v>
      </c>
      <c r="I29" s="14">
        <f>IFERROR(IF(SUMIFS(tblDaily[Admissions],tblDaily[EntryDate],DATE(2026,1,22),tblDaily[WardCode],"FAE")=0,"",SUMIFS(tblDaily[Admissions],tblDaily[EntryDate],DATE(2026,1,22),tblDaily[WardCode],"FAE")),"")</f>
        <v>2</v>
      </c>
      <c r="J29" s="14" t="str">
        <f>IFERROR(IF(SUMIFS(tblDaily[Discharges],tblDaily[EntryDate],DATE(2026,1,22),tblDaily[WardCode],"FAE")=0,"",SUMIFS(tblDaily[Discharges],tblDaily[EntryDate],DATE(2026,1,22),tblDaily[WardCode],"FAE")),"")</f>
        <v/>
      </c>
      <c r="K29" s="14" t="str">
        <f>IFERROR(IF(SUMIFS(tblDaily[Deaths],tblDaily[EntryDate],DATE(2026,1,22),tblDaily[WardCode],"FAE")=0,"",SUMIFS(tblDaily[Deaths],tblDaily[EntryDate],DATE(2026,1,22),tblDaily[WardCode],"FAE")),"")</f>
        <v/>
      </c>
      <c r="L29" s="14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14" t="str">
        <f>IFERROR(IF(SUMIFS(tblDaily[TransfersIn],tblDaily[EntryDate],DATE(2026,1,22),tblDaily[WardCode],"FAE")=0,"",SUMIFS(tblDaily[TransfersIn],tblDaily[EntryDate],DATE(2026,1,22),tblDaily[WardCode],"FAE")),"")</f>
        <v/>
      </c>
      <c r="N29" s="14">
        <f>IFERROR(IF(SUMIFS(tblDaily[TransfersOut],tblDaily[EntryDate],DATE(2026,1,22),tblDaily[WardCode],"FAE")=0,"",SUMIFS(tblDaily[TransfersOut],tblDaily[EntryDate],DATE(2026,1,22),tblDaily[WardCode],"FAE")),"")</f>
        <v>2</v>
      </c>
      <c r="O29" s="14">
        <f>IFERROR(IF(SUMIFS(tblDaily[Remaining],tblDaily[EntryDate],DATE(2026,1,22),tblDaily[WardCode],"FAE")=0,"",SUMIFS(tblDaily[Remaining],tblDaily[EntryDate],DATE(2026,1,22),tblDaily[WardCode],"FAE")),"")</f>
        <v>3</v>
      </c>
      <c r="P29" s="15">
        <f t="shared" si="0"/>
        <v>9</v>
      </c>
    </row>
    <row r="30" spans="1:16" x14ac:dyDescent="0.25">
      <c r="A30" s="14">
        <v>23</v>
      </c>
      <c r="B30" s="14">
        <f>IFERROR(IF(SUMIFS(tblDaily[Admissions],tblDaily[EntryDate],DATE(2026,1,23),tblDaily[WardCode],"MAE")=0,"",SUMIFS(tblDaily[Admissions],tblDaily[EntryDate],DATE(2026,1,23),tblDaily[WardCode],"MAE")),"")</f>
        <v>4</v>
      </c>
      <c r="C30" s="14">
        <f>IFERROR(IF(SUMIFS(tblDaily[Discharges],tblDaily[EntryDate],DATE(2026,1,23),tblDaily[WardCode],"MAE")=0,"",SUMIFS(tblDaily[Discharges],tblDaily[EntryDate],DATE(2026,1,23),tblDaily[WardCode],"MAE")),"")</f>
        <v>1</v>
      </c>
      <c r="D30" s="14">
        <f>IFERROR(IF(SUMIFS(tblDaily[Deaths],tblDaily[EntryDate],DATE(2026,1,23),tblDaily[WardCode],"MAE")=0,"",SUMIFS(tblDaily[Deaths],tblDaily[EntryDate],DATE(2026,1,23),tblDaily[WardCode],"MAE")),"")</f>
        <v>1</v>
      </c>
      <c r="E30" s="14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14" t="str">
        <f>IFERROR(IF(SUMIFS(tblDaily[TransfersIn],tblDaily[EntryDate],DATE(2026,1,23),tblDaily[WardCode],"MAE")=0,"",SUMIFS(tblDaily[TransfersIn],tblDaily[EntryDate],DATE(2026,1,23),tblDaily[WardCode],"MAE")),"")</f>
        <v/>
      </c>
      <c r="G30" s="14">
        <f>IFERROR(IF(SUMIFS(tblDaily[TransfersOut],tblDaily[EntryDate],DATE(2026,1,23),tblDaily[WardCode],"MAE")=0,"",SUMIFS(tblDaily[TransfersOut],tblDaily[EntryDate],DATE(2026,1,23),tblDaily[WardCode],"MAE")),"")</f>
        <v>2</v>
      </c>
      <c r="H30" s="14">
        <f>IFERROR(IF(SUMIFS(tblDaily[Remaining],tblDaily[EntryDate],DATE(2026,1,23),tblDaily[WardCode],"MAE")=0,"",SUMIFS(tblDaily[Remaining],tblDaily[EntryDate],DATE(2026,1,23),tblDaily[WardCode],"MAE")),"")</f>
        <v>6</v>
      </c>
      <c r="I30" s="14">
        <f>IFERROR(IF(SUMIFS(tblDaily[Admissions],tblDaily[EntryDate],DATE(2026,1,23),tblDaily[WardCode],"FAE")=0,"",SUMIFS(tblDaily[Admissions],tblDaily[EntryDate],DATE(2026,1,23),tblDaily[WardCode],"FAE")),"")</f>
        <v>1</v>
      </c>
      <c r="J30" s="14">
        <f>IFERROR(IF(SUMIFS(tblDaily[Discharges],tblDaily[EntryDate],DATE(2026,1,23),tblDaily[WardCode],"FAE")=0,"",SUMIFS(tblDaily[Discharges],tblDaily[EntryDate],DATE(2026,1,23),tblDaily[WardCode],"FAE")),"")</f>
        <v>2</v>
      </c>
      <c r="K30" s="14" t="str">
        <f>IFERROR(IF(SUMIFS(tblDaily[Deaths],tblDaily[EntryDate],DATE(2026,1,23),tblDaily[WardCode],"FAE")=0,"",SUMIFS(tblDaily[Deaths],tblDaily[EntryDate],DATE(2026,1,23),tblDaily[WardCode],"FAE")),"")</f>
        <v/>
      </c>
      <c r="L30" s="14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14" t="str">
        <f>IFERROR(IF(SUMIFS(tblDaily[TransfersIn],tblDaily[EntryDate],DATE(2026,1,23),tblDaily[WardCode],"FAE")=0,"",SUMIFS(tblDaily[TransfersIn],tblDaily[EntryDate],DATE(2026,1,23),tblDaily[WardCode],"FAE")),"")</f>
        <v/>
      </c>
      <c r="N30" s="14" t="str">
        <f>IFERROR(IF(SUMIFS(tblDaily[TransfersOut],tblDaily[EntryDate],DATE(2026,1,23),tblDaily[WardCode],"FAE")=0,"",SUMIFS(tblDaily[TransfersOut],tblDaily[EntryDate],DATE(2026,1,23),tblDaily[WardCode],"FAE")),"")</f>
        <v/>
      </c>
      <c r="O30" s="14">
        <f>IFERROR(IF(SUMIFS(tblDaily[Remaining],tblDaily[EntryDate],DATE(2026,1,23),tblDaily[WardCode],"FAE")=0,"",SUMIFS(tblDaily[Remaining],tblDaily[EntryDate],DATE(2026,1,23),tblDaily[WardCode],"FAE")),"")</f>
        <v>2</v>
      </c>
      <c r="P30" s="15">
        <f t="shared" si="0"/>
        <v>8</v>
      </c>
    </row>
    <row r="31" spans="1:16" x14ac:dyDescent="0.25">
      <c r="A31" s="14">
        <v>24</v>
      </c>
      <c r="B31" s="14">
        <f>IFERROR(IF(SUMIFS(tblDaily[Admissions],tblDaily[EntryDate],DATE(2026,1,24),tblDaily[WardCode],"MAE")=0,"",SUMIFS(tblDaily[Admissions],tblDaily[EntryDate],DATE(2026,1,24),tblDaily[WardCode],"MAE")),"")</f>
        <v>3</v>
      </c>
      <c r="C31" s="14" t="str">
        <f>IFERROR(IF(SUMIFS(tblDaily[Discharges],tblDaily[EntryDate],DATE(2026,1,24),tblDaily[WardCode],"MAE")=0,"",SUMIFS(tblDaily[Discharges],tblDaily[EntryDate],DATE(2026,1,24),tblDaily[WardCode],"MAE")),"")</f>
        <v/>
      </c>
      <c r="D31" s="14">
        <f>IFERROR(IF(SUMIFS(tblDaily[Deaths],tblDaily[EntryDate],DATE(2026,1,24),tblDaily[WardCode],"MAE")=0,"",SUMIFS(tblDaily[Deaths],tblDaily[EntryDate],DATE(2026,1,24),tblDaily[WardCode],"MAE")),"")</f>
        <v>1</v>
      </c>
      <c r="E31" s="14">
        <f>IFERROR(IF(SUMIFS(tblDaily[DeathsUnder24Hrs],tblDaily[EntryDate],DATE(2026,1,24),tblDaily[WardCode],"MAE")=0,"",SUMIFS(tblDaily[DeathsUnder24Hrs],tblDaily[EntryDate],DATE(2026,1,24),tblDaily[WardCode],"MAE")),"")</f>
        <v>1</v>
      </c>
      <c r="F31" s="14" t="str">
        <f>IFERROR(IF(SUMIFS(tblDaily[TransfersIn],tblDaily[EntryDate],DATE(2026,1,24),tblDaily[WardCode],"MAE")=0,"",SUMIFS(tblDaily[TransfersIn],tblDaily[EntryDate],DATE(2026,1,24),tblDaily[WardCode],"MAE")),"")</f>
        <v/>
      </c>
      <c r="G31" s="14">
        <f>IFERROR(IF(SUMIFS(tblDaily[TransfersOut],tblDaily[EntryDate],DATE(2026,1,24),tblDaily[WardCode],"MAE")=0,"",SUMIFS(tblDaily[TransfersOut],tblDaily[EntryDate],DATE(2026,1,24),tblDaily[WardCode],"MAE")),"")</f>
        <v>2</v>
      </c>
      <c r="H31" s="14">
        <f>IFERROR(IF(SUMIFS(tblDaily[Remaining],tblDaily[EntryDate],DATE(2026,1,24),tblDaily[WardCode],"MAE")=0,"",SUMIFS(tblDaily[Remaining],tblDaily[EntryDate],DATE(2026,1,24),tblDaily[WardCode],"MAE")),"")</f>
        <v>5</v>
      </c>
      <c r="I31" s="14" t="str">
        <f>IFERROR(IF(SUMIFS(tblDaily[Admissions],tblDaily[EntryDate],DATE(2026,1,24),tblDaily[WardCode],"FAE")=0,"",SUMIFS(tblDaily[Admissions],tblDaily[EntryDate],DATE(2026,1,24),tblDaily[WardCode],"FAE")),"")</f>
        <v/>
      </c>
      <c r="J31" s="14">
        <f>IFERROR(IF(SUMIFS(tblDaily[Discharges],tblDaily[EntryDate],DATE(2026,1,24),tblDaily[WardCode],"FAE")=0,"",SUMIFS(tblDaily[Discharges],tblDaily[EntryDate],DATE(2026,1,24),tblDaily[WardCode],"FAE")),"")</f>
        <v>1</v>
      </c>
      <c r="K31" s="14" t="str">
        <f>IFERROR(IF(SUMIFS(tblDaily[Deaths],tblDaily[EntryDate],DATE(2026,1,24),tblDaily[WardCode],"FAE")=0,"",SUMIFS(tblDaily[Deaths],tblDaily[EntryDate],DATE(2026,1,24),tblDaily[WardCode],"FAE")),"")</f>
        <v/>
      </c>
      <c r="L31" s="14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14" t="str">
        <f>IFERROR(IF(SUMIFS(tblDaily[TransfersIn],tblDaily[EntryDate],DATE(2026,1,24),tblDaily[WardCode],"FAE")=0,"",SUMIFS(tblDaily[TransfersIn],tblDaily[EntryDate],DATE(2026,1,24),tblDaily[WardCode],"FAE")),"")</f>
        <v/>
      </c>
      <c r="N31" s="14">
        <f>IFERROR(IF(SUMIFS(tblDaily[TransfersOut],tblDaily[EntryDate],DATE(2026,1,24),tblDaily[WardCode],"FAE")=0,"",SUMIFS(tblDaily[TransfersOut],tblDaily[EntryDate],DATE(2026,1,24),tblDaily[WardCode],"FAE")),"")</f>
        <v>1</v>
      </c>
      <c r="O31" s="14" t="str">
        <f>IFERROR(IF(SUMIFS(tblDaily[Remaining],tblDaily[EntryDate],DATE(2026,1,24),tblDaily[WardCode],"FAE")=0,"",SUMIFS(tblDaily[Remaining],tblDaily[EntryDate],DATE(2026,1,24),tblDaily[WardCode],"FAE")),"")</f>
        <v/>
      </c>
      <c r="P31" s="15">
        <f t="shared" si="0"/>
        <v>5</v>
      </c>
    </row>
    <row r="32" spans="1:16" x14ac:dyDescent="0.25">
      <c r="A32" s="14">
        <v>25</v>
      </c>
      <c r="B32" s="14" t="str">
        <f>IFERROR(IF(SUMIFS(tblDaily[Admissions],tblDaily[EntryDate],DATE(2026,1,25),tblDaily[WardCode],"MAE")=0,"",SUMIFS(tblDaily[Admissions],tblDaily[EntryDate],DATE(2026,1,25),tblDaily[WardCode],"MAE")),"")</f>
        <v/>
      </c>
      <c r="C32" s="14">
        <f>IFERROR(IF(SUMIFS(tblDaily[Discharges],tblDaily[EntryDate],DATE(2026,1,25),tblDaily[WardCode],"MAE")=0,"",SUMIFS(tblDaily[Discharges],tblDaily[EntryDate],DATE(2026,1,25),tblDaily[WardCode],"MAE")),"")</f>
        <v>1</v>
      </c>
      <c r="D32" s="14" t="str">
        <f>IFERROR(IF(SUMIFS(tblDaily[Deaths],tblDaily[EntryDate],DATE(2026,1,25),tblDaily[WardCode],"MAE")=0,"",SUMIFS(tblDaily[Deaths],tblDaily[EntryDate],DATE(2026,1,25),tblDaily[WardCode],"MAE")),"")</f>
        <v/>
      </c>
      <c r="E32" s="14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14" t="str">
        <f>IFERROR(IF(SUMIFS(tblDaily[TransfersIn],tblDaily[EntryDate],DATE(2026,1,25),tblDaily[WardCode],"MAE")=0,"",SUMIFS(tblDaily[TransfersIn],tblDaily[EntryDate],DATE(2026,1,25),tblDaily[WardCode],"MAE")),"")</f>
        <v/>
      </c>
      <c r="G32" s="14">
        <f>IFERROR(IF(SUMIFS(tblDaily[TransfersOut],tblDaily[EntryDate],DATE(2026,1,25),tblDaily[WardCode],"MAE")=0,"",SUMIFS(tblDaily[TransfersOut],tblDaily[EntryDate],DATE(2026,1,25),tblDaily[WardCode],"MAE")),"")</f>
        <v>2</v>
      </c>
      <c r="H32" s="14">
        <f>IFERROR(IF(SUMIFS(tblDaily[Remaining],tblDaily[EntryDate],DATE(2026,1,25),tblDaily[WardCode],"MAE")=0,"",SUMIFS(tblDaily[Remaining],tblDaily[EntryDate],DATE(2026,1,25),tblDaily[WardCode],"MAE")),"")</f>
        <v>2</v>
      </c>
      <c r="I32" s="14">
        <f>IFERROR(IF(SUMIFS(tblDaily[Admissions],tblDaily[EntryDate],DATE(2026,1,25),tblDaily[WardCode],"FAE")=0,"",SUMIFS(tblDaily[Admissions],tblDaily[EntryDate],DATE(2026,1,25),tblDaily[WardCode],"FAE")),"")</f>
        <v>2</v>
      </c>
      <c r="J32" s="14" t="str">
        <f>IFERROR(IF(SUMIFS(tblDaily[Discharges],tblDaily[EntryDate],DATE(2026,1,25),tblDaily[WardCode],"FAE")=0,"",SUMIFS(tblDaily[Discharges],tblDaily[EntryDate],DATE(2026,1,25),tblDaily[WardCode],"FAE")),"")</f>
        <v/>
      </c>
      <c r="K32" s="14" t="str">
        <f>IFERROR(IF(SUMIFS(tblDaily[Deaths],tblDaily[EntryDate],DATE(2026,1,25),tblDaily[WardCode],"FAE")=0,"",SUMIFS(tblDaily[Deaths],tblDaily[EntryDate],DATE(2026,1,25),tblDaily[WardCode],"FAE")),"")</f>
        <v/>
      </c>
      <c r="L32" s="14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14" t="str">
        <f>IFERROR(IF(SUMIFS(tblDaily[TransfersIn],tblDaily[EntryDate],DATE(2026,1,25),tblDaily[WardCode],"FAE")=0,"",SUMIFS(tblDaily[TransfersIn],tblDaily[EntryDate],DATE(2026,1,25),tblDaily[WardCode],"FAE")),"")</f>
        <v/>
      </c>
      <c r="N32" s="14" t="str">
        <f>IFERROR(IF(SUMIFS(tblDaily[TransfersOut],tblDaily[EntryDate],DATE(2026,1,25),tblDaily[WardCode],"FAE")=0,"",SUMIFS(tblDaily[TransfersOut],tblDaily[EntryDate],DATE(2026,1,25),tblDaily[WardCode],"FAE")),"")</f>
        <v/>
      </c>
      <c r="O32" s="14">
        <f>IFERROR(IF(SUMIFS(tblDaily[Remaining],tblDaily[EntryDate],DATE(2026,1,25),tblDaily[WardCode],"FAE")=0,"",SUMIFS(tblDaily[Remaining],tblDaily[EntryDate],DATE(2026,1,25),tblDaily[WardCode],"FAE")),"")</f>
        <v>2</v>
      </c>
      <c r="P32" s="15">
        <f t="shared" si="0"/>
        <v>4</v>
      </c>
    </row>
    <row r="33" spans="1:16" x14ac:dyDescent="0.25">
      <c r="A33" s="14">
        <v>26</v>
      </c>
      <c r="B33" s="14">
        <f>IFERROR(IF(SUMIFS(tblDaily[Admissions],tblDaily[EntryDate],DATE(2026,1,26),tblDaily[WardCode],"MAE")=0,"",SUMIFS(tblDaily[Admissions],tblDaily[EntryDate],DATE(2026,1,26),tblDaily[WardCode],"MAE")),"")</f>
        <v>5</v>
      </c>
      <c r="C33" s="14">
        <f>IFERROR(IF(SUMIFS(tblDaily[Discharges],tblDaily[EntryDate],DATE(2026,1,26),tblDaily[WardCode],"MAE")=0,"",SUMIFS(tblDaily[Discharges],tblDaily[EntryDate],DATE(2026,1,26),tblDaily[WardCode],"MAE")),"")</f>
        <v>1</v>
      </c>
      <c r="D33" s="14" t="str">
        <f>IFERROR(IF(SUMIFS(tblDaily[Deaths],tblDaily[EntryDate],DATE(2026,1,26),tblDaily[WardCode],"MAE")=0,"",SUMIFS(tblDaily[Deaths],tblDaily[EntryDate],DATE(2026,1,26),tblDaily[WardCode],"MAE")),"")</f>
        <v/>
      </c>
      <c r="E33" s="14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14" t="str">
        <f>IFERROR(IF(SUMIFS(tblDaily[TransfersIn],tblDaily[EntryDate],DATE(2026,1,26),tblDaily[WardCode],"MAE")=0,"",SUMIFS(tblDaily[TransfersIn],tblDaily[EntryDate],DATE(2026,1,26),tblDaily[WardCode],"MAE")),"")</f>
        <v/>
      </c>
      <c r="G33" s="14">
        <f>IFERROR(IF(SUMIFS(tblDaily[TransfersOut],tblDaily[EntryDate],DATE(2026,1,26),tblDaily[WardCode],"MAE")=0,"",SUMIFS(tblDaily[TransfersOut],tblDaily[EntryDate],DATE(2026,1,26),tblDaily[WardCode],"MAE")),"")</f>
        <v>2</v>
      </c>
      <c r="H33" s="14">
        <f>IFERROR(IF(SUMIFS(tblDaily[Remaining],tblDaily[EntryDate],DATE(2026,1,26),tblDaily[WardCode],"MAE")=0,"",SUMIFS(tblDaily[Remaining],tblDaily[EntryDate],DATE(2026,1,26),tblDaily[WardCode],"MAE")),"")</f>
        <v>4</v>
      </c>
      <c r="I33" s="14" t="str">
        <f>IFERROR(IF(SUMIFS(tblDaily[Admissions],tblDaily[EntryDate],DATE(2026,1,26),tblDaily[WardCode],"FAE")=0,"",SUMIFS(tblDaily[Admissions],tblDaily[EntryDate],DATE(2026,1,26),tblDaily[WardCode],"FAE")),"")</f>
        <v/>
      </c>
      <c r="J33" s="14" t="str">
        <f>IFERROR(IF(SUMIFS(tblDaily[Discharges],tblDaily[EntryDate],DATE(2026,1,26),tblDaily[WardCode],"FAE")=0,"",SUMIFS(tblDaily[Discharges],tblDaily[EntryDate],DATE(2026,1,26),tblDaily[WardCode],"FAE")),"")</f>
        <v/>
      </c>
      <c r="K33" s="14" t="str">
        <f>IFERROR(IF(SUMIFS(tblDaily[Deaths],tblDaily[EntryDate],DATE(2026,1,26),tblDaily[WardCode],"FAE")=0,"",SUMIFS(tblDaily[Deaths],tblDaily[EntryDate],DATE(2026,1,26),tblDaily[WardCode],"FAE")),"")</f>
        <v/>
      </c>
      <c r="L33" s="14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14" t="str">
        <f>IFERROR(IF(SUMIFS(tblDaily[TransfersIn],tblDaily[EntryDate],DATE(2026,1,26),tblDaily[WardCode],"FAE")=0,"",SUMIFS(tblDaily[TransfersIn],tblDaily[EntryDate],DATE(2026,1,26),tblDaily[WardCode],"FAE")),"")</f>
        <v/>
      </c>
      <c r="N33" s="14">
        <f>IFERROR(IF(SUMIFS(tblDaily[TransfersOut],tblDaily[EntryDate],DATE(2026,1,26),tblDaily[WardCode],"FAE")=0,"",SUMIFS(tblDaily[TransfersOut],tblDaily[EntryDate],DATE(2026,1,26),tblDaily[WardCode],"FAE")),"")</f>
        <v>1</v>
      </c>
      <c r="O33" s="14">
        <f>IFERROR(IF(SUMIFS(tblDaily[Remaining],tblDaily[EntryDate],DATE(2026,1,26),tblDaily[WardCode],"FAE")=0,"",SUMIFS(tblDaily[Remaining],tblDaily[EntryDate],DATE(2026,1,26),tblDaily[WardCode],"FAE")),"")</f>
        <v>1</v>
      </c>
      <c r="P33" s="15">
        <f t="shared" si="0"/>
        <v>5</v>
      </c>
    </row>
    <row r="34" spans="1:16" x14ac:dyDescent="0.25">
      <c r="A34" s="14">
        <v>27</v>
      </c>
      <c r="B34" s="14">
        <f>IFERROR(IF(SUMIFS(tblDaily[Admissions],tblDaily[EntryDate],DATE(2026,1,27),tblDaily[WardCode],"MAE")=0,"",SUMIFS(tblDaily[Admissions],tblDaily[EntryDate],DATE(2026,1,27),tblDaily[WardCode],"MAE")),"")</f>
        <v>5</v>
      </c>
      <c r="C34" s="14" t="str">
        <f>IFERROR(IF(SUMIFS(tblDaily[Discharges],tblDaily[EntryDate],DATE(2026,1,27),tblDaily[WardCode],"MAE")=0,"",SUMIFS(tblDaily[Discharges],tblDaily[EntryDate],DATE(2026,1,27),tblDaily[WardCode],"MAE")),"")</f>
        <v/>
      </c>
      <c r="D34" s="14" t="str">
        <f>IFERROR(IF(SUMIFS(tblDaily[Deaths],tblDaily[EntryDate],DATE(2026,1,27),tblDaily[WardCode],"MAE")=0,"",SUMIFS(tblDaily[Deaths],tblDaily[EntryDate],DATE(2026,1,27),tblDaily[WardCode],"MAE")),"")</f>
        <v/>
      </c>
      <c r="E34" s="14">
        <f>IFERROR(IF(SUMIFS(tblDaily[DeathsUnder24Hrs],tblDaily[EntryDate],DATE(2026,1,27),tblDaily[WardCode],"MAE")=0,"",SUMIFS(tblDaily[DeathsUnder24Hrs],tblDaily[EntryDate],DATE(2026,1,27),tblDaily[WardCode],"MAE")),"")</f>
        <v>1</v>
      </c>
      <c r="F34" s="14" t="str">
        <f>IFERROR(IF(SUMIFS(tblDaily[TransfersIn],tblDaily[EntryDate],DATE(2026,1,27),tblDaily[WardCode],"MAE")=0,"",SUMIFS(tblDaily[TransfersIn],tblDaily[EntryDate],DATE(2026,1,27),tblDaily[WardCode],"MAE")),"")</f>
        <v/>
      </c>
      <c r="G34" s="14">
        <f>IFERROR(IF(SUMIFS(tblDaily[TransfersOut],tblDaily[EntryDate],DATE(2026,1,27),tblDaily[WardCode],"MAE")=0,"",SUMIFS(tblDaily[TransfersOut],tblDaily[EntryDate],DATE(2026,1,27),tblDaily[WardCode],"MAE")),"")</f>
        <v>2</v>
      </c>
      <c r="H34" s="14">
        <f>IFERROR(IF(SUMIFS(tblDaily[Remaining],tblDaily[EntryDate],DATE(2026,1,27),tblDaily[WardCode],"MAE")=0,"",SUMIFS(tblDaily[Remaining],tblDaily[EntryDate],DATE(2026,1,27),tblDaily[WardCode],"MAE")),"")</f>
        <v>6</v>
      </c>
      <c r="I34" s="14">
        <f>IFERROR(IF(SUMIFS(tblDaily[Admissions],tblDaily[EntryDate],DATE(2026,1,27),tblDaily[WardCode],"FAE")=0,"",SUMIFS(tblDaily[Admissions],tblDaily[EntryDate],DATE(2026,1,27),tblDaily[WardCode],"FAE")),"")</f>
        <v>1</v>
      </c>
      <c r="J34" s="14">
        <f>IFERROR(IF(SUMIFS(tblDaily[Discharges],tblDaily[EntryDate],DATE(2026,1,27),tblDaily[WardCode],"FAE")=0,"",SUMIFS(tblDaily[Discharges],tblDaily[EntryDate],DATE(2026,1,27),tblDaily[WardCode],"FAE")),"")</f>
        <v>1</v>
      </c>
      <c r="K34" s="14" t="str">
        <f>IFERROR(IF(SUMIFS(tblDaily[Deaths],tblDaily[EntryDate],DATE(2026,1,27),tblDaily[WardCode],"FAE")=0,"",SUMIFS(tblDaily[Deaths],tblDaily[EntryDate],DATE(2026,1,27),tblDaily[WardCode],"FAE")),"")</f>
        <v/>
      </c>
      <c r="L34" s="14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14" t="str">
        <f>IFERROR(IF(SUMIFS(tblDaily[TransfersIn],tblDaily[EntryDate],DATE(2026,1,27),tblDaily[WardCode],"FAE")=0,"",SUMIFS(tblDaily[TransfersIn],tblDaily[EntryDate],DATE(2026,1,27),tblDaily[WardCode],"FAE")),"")</f>
        <v/>
      </c>
      <c r="N34" s="14">
        <f>IFERROR(IF(SUMIFS(tblDaily[TransfersOut],tblDaily[EntryDate],DATE(2026,1,27),tblDaily[WardCode],"FAE")=0,"",SUMIFS(tblDaily[TransfersOut],tblDaily[EntryDate],DATE(2026,1,27),tblDaily[WardCode],"FAE")),"")</f>
        <v>1</v>
      </c>
      <c r="O34" s="14" t="str">
        <f>IFERROR(IF(SUMIFS(tblDaily[Remaining],tblDaily[EntryDate],DATE(2026,1,27),tblDaily[WardCode],"FAE")=0,"",SUMIFS(tblDaily[Remaining],tblDaily[EntryDate],DATE(2026,1,27),tblDaily[WardCode],"FAE")),"")</f>
        <v/>
      </c>
      <c r="P34" s="15">
        <f t="shared" si="0"/>
        <v>6</v>
      </c>
    </row>
    <row r="35" spans="1:16" x14ac:dyDescent="0.25">
      <c r="A35" s="14">
        <v>28</v>
      </c>
      <c r="B35" s="14">
        <f>IFERROR(IF(SUMIFS(tblDaily[Admissions],tblDaily[EntryDate],DATE(2026,1,28),tblDaily[WardCode],"MAE")=0,"",SUMIFS(tblDaily[Admissions],tblDaily[EntryDate],DATE(2026,1,28),tblDaily[WardCode],"MAE")),"")</f>
        <v>2</v>
      </c>
      <c r="C35" s="14">
        <f>IFERROR(IF(SUMIFS(tblDaily[Discharges],tblDaily[EntryDate],DATE(2026,1,28),tblDaily[WardCode],"MAE")=0,"",SUMIFS(tblDaily[Discharges],tblDaily[EntryDate],DATE(2026,1,28),tblDaily[WardCode],"MAE")),"")</f>
        <v>3</v>
      </c>
      <c r="D35" s="14" t="str">
        <f>IFERROR(IF(SUMIFS(tblDaily[Deaths],tblDaily[EntryDate],DATE(2026,1,28),tblDaily[WardCode],"MAE")=0,"",SUMIFS(tblDaily[Deaths],tblDaily[EntryDate],DATE(2026,1,28),tblDaily[WardCode],"MAE")),"")</f>
        <v/>
      </c>
      <c r="E35" s="14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14" t="str">
        <f>IFERROR(IF(SUMIFS(tblDaily[TransfersIn],tblDaily[EntryDate],DATE(2026,1,28),tblDaily[WardCode],"MAE")=0,"",SUMIFS(tblDaily[TransfersIn],tblDaily[EntryDate],DATE(2026,1,28),tblDaily[WardCode],"MAE")),"")</f>
        <v/>
      </c>
      <c r="G35" s="14">
        <f>IFERROR(IF(SUMIFS(tblDaily[TransfersOut],tblDaily[EntryDate],DATE(2026,1,28),tblDaily[WardCode],"MAE")=0,"",SUMIFS(tblDaily[TransfersOut],tblDaily[EntryDate],DATE(2026,1,28),tblDaily[WardCode],"MAE")),"")</f>
        <v>2</v>
      </c>
      <c r="H35" s="14">
        <f>IFERROR(IF(SUMIFS(tblDaily[Remaining],tblDaily[EntryDate],DATE(2026,1,28),tblDaily[WardCode],"MAE")=0,"",SUMIFS(tblDaily[Remaining],tblDaily[EntryDate],DATE(2026,1,28),tblDaily[WardCode],"MAE")),"")</f>
        <v>3</v>
      </c>
      <c r="I35" s="14">
        <f>IFERROR(IF(SUMIFS(tblDaily[Admissions],tblDaily[EntryDate],DATE(2026,1,28),tblDaily[WardCode],"FAE")=0,"",SUMIFS(tblDaily[Admissions],tblDaily[EntryDate],DATE(2026,1,28),tblDaily[WardCode],"FAE")),"")</f>
        <v>4</v>
      </c>
      <c r="J35" s="14" t="str">
        <f>IFERROR(IF(SUMIFS(tblDaily[Discharges],tblDaily[EntryDate],DATE(2026,1,28),tblDaily[WardCode],"FAE")=0,"",SUMIFS(tblDaily[Discharges],tblDaily[EntryDate],DATE(2026,1,28),tblDaily[WardCode],"FAE")),"")</f>
        <v/>
      </c>
      <c r="K35" s="14" t="str">
        <f>IFERROR(IF(SUMIFS(tblDaily[Deaths],tblDaily[EntryDate],DATE(2026,1,28),tblDaily[WardCode],"FAE")=0,"",SUMIFS(tblDaily[Deaths],tblDaily[EntryDate],DATE(2026,1,28),tblDaily[WardCode],"FAE")),"")</f>
        <v/>
      </c>
      <c r="L35" s="14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14" t="str">
        <f>IFERROR(IF(SUMIFS(tblDaily[TransfersIn],tblDaily[EntryDate],DATE(2026,1,28),tblDaily[WardCode],"FAE")=0,"",SUMIFS(tblDaily[TransfersIn],tblDaily[EntryDate],DATE(2026,1,28),tblDaily[WardCode],"FAE")),"")</f>
        <v/>
      </c>
      <c r="N35" s="14">
        <f>IFERROR(IF(SUMIFS(tblDaily[TransfersOut],tblDaily[EntryDate],DATE(2026,1,28),tblDaily[WardCode],"FAE")=0,"",SUMIFS(tblDaily[TransfersOut],tblDaily[EntryDate],DATE(2026,1,28),tblDaily[WardCode],"FAE")),"")</f>
        <v>1</v>
      </c>
      <c r="O35" s="14">
        <f>IFERROR(IF(SUMIFS(tblDaily[Remaining],tblDaily[EntryDate],DATE(2026,1,28),tblDaily[WardCode],"FAE")=0,"",SUMIFS(tblDaily[Remaining],tblDaily[EntryDate],DATE(2026,1,28),tblDaily[WardCode],"FAE")),"")</f>
        <v>3</v>
      </c>
      <c r="P35" s="15">
        <f t="shared" si="0"/>
        <v>6</v>
      </c>
    </row>
    <row r="36" spans="1:16" x14ac:dyDescent="0.25">
      <c r="A36" s="14">
        <v>29</v>
      </c>
      <c r="B36" s="14">
        <f>IFERROR(IF(SUMIFS(tblDaily[Admissions],tblDaily[EntryDate],DATE(2026,1,29),tblDaily[WardCode],"MAE")=0,"",SUMIFS(tblDaily[Admissions],tblDaily[EntryDate],DATE(2026,1,29),tblDaily[WardCode],"MAE")),"")</f>
        <v>1</v>
      </c>
      <c r="C36" s="14" t="str">
        <f>IFERROR(IF(SUMIFS(tblDaily[Discharges],tblDaily[EntryDate],DATE(2026,1,29),tblDaily[WardCode],"MAE")=0,"",SUMIFS(tblDaily[Discharges],tblDaily[EntryDate],DATE(2026,1,29),tblDaily[WardCode],"MAE")),"")</f>
        <v/>
      </c>
      <c r="D36" s="14" t="str">
        <f>IFERROR(IF(SUMIFS(tblDaily[Deaths],tblDaily[EntryDate],DATE(2026,1,29),tblDaily[WardCode],"MAE")=0,"",SUMIFS(tblDaily[Deaths],tblDaily[EntryDate],DATE(2026,1,29),tblDaily[WardCode],"MAE")),"")</f>
        <v/>
      </c>
      <c r="E36" s="14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14" t="str">
        <f>IFERROR(IF(SUMIFS(tblDaily[TransfersIn],tblDaily[EntryDate],DATE(2026,1,29),tblDaily[WardCode],"MAE")=0,"",SUMIFS(tblDaily[TransfersIn],tblDaily[EntryDate],DATE(2026,1,29),tblDaily[WardCode],"MAE")),"")</f>
        <v/>
      </c>
      <c r="G36" s="14" t="str">
        <f>IFERROR(IF(SUMIFS(tblDaily[TransfersOut],tblDaily[EntryDate],DATE(2026,1,29),tblDaily[WardCode],"MAE")=0,"",SUMIFS(tblDaily[TransfersOut],tblDaily[EntryDate],DATE(2026,1,29),tblDaily[WardCode],"MAE")),"")</f>
        <v/>
      </c>
      <c r="H36" s="14">
        <f>IFERROR(IF(SUMIFS(tblDaily[Remaining],tblDaily[EntryDate],DATE(2026,1,29),tblDaily[WardCode],"MAE")=0,"",SUMIFS(tblDaily[Remaining],tblDaily[EntryDate],DATE(2026,1,29),tblDaily[WardCode],"MAE")),"")</f>
        <v>4</v>
      </c>
      <c r="I36" s="14">
        <f>IFERROR(IF(SUMIFS(tblDaily[Admissions],tblDaily[EntryDate],DATE(2026,1,29),tblDaily[WardCode],"FAE")=0,"",SUMIFS(tblDaily[Admissions],tblDaily[EntryDate],DATE(2026,1,29),tblDaily[WardCode],"FAE")),"")</f>
        <v>2</v>
      </c>
      <c r="J36" s="14" t="str">
        <f>IFERROR(IF(SUMIFS(tblDaily[Discharges],tblDaily[EntryDate],DATE(2026,1,29),tblDaily[WardCode],"FAE")=0,"",SUMIFS(tblDaily[Discharges],tblDaily[EntryDate],DATE(2026,1,29),tblDaily[WardCode],"FAE")),"")</f>
        <v/>
      </c>
      <c r="K36" s="14" t="str">
        <f>IFERROR(IF(SUMIFS(tblDaily[Deaths],tblDaily[EntryDate],DATE(2026,1,29),tblDaily[WardCode],"FAE")=0,"",SUMIFS(tblDaily[Deaths],tblDaily[EntryDate],DATE(2026,1,29),tblDaily[WardCode],"FAE")),"")</f>
        <v/>
      </c>
      <c r="L36" s="14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14" t="str">
        <f>IFERROR(IF(SUMIFS(tblDaily[TransfersIn],tblDaily[EntryDate],DATE(2026,1,29),tblDaily[WardCode],"FAE")=0,"",SUMIFS(tblDaily[TransfersIn],tblDaily[EntryDate],DATE(2026,1,29),tblDaily[WardCode],"FAE")),"")</f>
        <v/>
      </c>
      <c r="N36" s="14">
        <f>IFERROR(IF(SUMIFS(tblDaily[TransfersOut],tblDaily[EntryDate],DATE(2026,1,29),tblDaily[WardCode],"FAE")=0,"",SUMIFS(tblDaily[TransfersOut],tblDaily[EntryDate],DATE(2026,1,29),tblDaily[WardCode],"FAE")),"")</f>
        <v>2</v>
      </c>
      <c r="O36" s="14">
        <f>IFERROR(IF(SUMIFS(tblDaily[Remaining],tblDaily[EntryDate],DATE(2026,1,29),tblDaily[WardCode],"FAE")=0,"",SUMIFS(tblDaily[Remaining],tblDaily[EntryDate],DATE(2026,1,29),tblDaily[WardCode],"FAE")),"")</f>
        <v>3</v>
      </c>
      <c r="P36" s="15">
        <f t="shared" si="0"/>
        <v>7</v>
      </c>
    </row>
    <row r="37" spans="1:16" x14ac:dyDescent="0.25">
      <c r="A37" s="14">
        <v>30</v>
      </c>
      <c r="B37" s="14">
        <f>IFERROR(IF(SUMIFS(tblDaily[Admissions],tblDaily[EntryDate],DATE(2026,1,30),tblDaily[WardCode],"MAE")=0,"",SUMIFS(tblDaily[Admissions],tblDaily[EntryDate],DATE(2026,1,30),tblDaily[WardCode],"MAE")),"")</f>
        <v>3</v>
      </c>
      <c r="C37" s="14">
        <f>IFERROR(IF(SUMIFS(tblDaily[Discharges],tblDaily[EntryDate],DATE(2026,1,30),tblDaily[WardCode],"MAE")=0,"",SUMIFS(tblDaily[Discharges],tblDaily[EntryDate],DATE(2026,1,30),tblDaily[WardCode],"MAE")),"")</f>
        <v>1</v>
      </c>
      <c r="D37" s="14">
        <f>IFERROR(IF(SUMIFS(tblDaily[Deaths],tblDaily[EntryDate],DATE(2026,1,30),tblDaily[WardCode],"MAE")=0,"",SUMIFS(tblDaily[Deaths],tblDaily[EntryDate],DATE(2026,1,30),tblDaily[WardCode],"MAE")),"")</f>
        <v>2</v>
      </c>
      <c r="E37" s="14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14" t="str">
        <f>IFERROR(IF(SUMIFS(tblDaily[TransfersIn],tblDaily[EntryDate],DATE(2026,1,30),tblDaily[WardCode],"MAE")=0,"",SUMIFS(tblDaily[TransfersIn],tblDaily[EntryDate],DATE(2026,1,30),tblDaily[WardCode],"MAE")),"")</f>
        <v/>
      </c>
      <c r="G37" s="14">
        <f>IFERROR(IF(SUMIFS(tblDaily[TransfersOut],tblDaily[EntryDate],DATE(2026,1,30),tblDaily[WardCode],"MAE")=0,"",SUMIFS(tblDaily[TransfersOut],tblDaily[EntryDate],DATE(2026,1,30),tblDaily[WardCode],"MAE")),"")</f>
        <v>1</v>
      </c>
      <c r="H37" s="14">
        <f>IFERROR(IF(SUMIFS(tblDaily[Remaining],tblDaily[EntryDate],DATE(2026,1,30),tblDaily[WardCode],"MAE")=0,"",SUMIFS(tblDaily[Remaining],tblDaily[EntryDate],DATE(2026,1,30),tblDaily[WardCode],"MAE")),"")</f>
        <v>3</v>
      </c>
      <c r="I37" s="14">
        <f>IFERROR(IF(SUMIFS(tblDaily[Admissions],tblDaily[EntryDate],DATE(2026,1,30),tblDaily[WardCode],"FAE")=0,"",SUMIFS(tblDaily[Admissions],tblDaily[EntryDate],DATE(2026,1,30),tblDaily[WardCode],"FAE")),"")</f>
        <v>5</v>
      </c>
      <c r="J37" s="14" t="str">
        <f>IFERROR(IF(SUMIFS(tblDaily[Discharges],tblDaily[EntryDate],DATE(2026,1,30),tblDaily[WardCode],"FAE")=0,"",SUMIFS(tblDaily[Discharges],tblDaily[EntryDate],DATE(2026,1,30),tblDaily[WardCode],"FAE")),"")</f>
        <v/>
      </c>
      <c r="K37" s="14" t="str">
        <f>IFERROR(IF(SUMIFS(tblDaily[Deaths],tblDaily[EntryDate],DATE(2026,1,30),tblDaily[WardCode],"FAE")=0,"",SUMIFS(tblDaily[Deaths],tblDaily[EntryDate],DATE(2026,1,30),tblDaily[WardCode],"FAE")),"")</f>
        <v/>
      </c>
      <c r="L37" s="14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14" t="str">
        <f>IFERROR(IF(SUMIFS(tblDaily[TransfersIn],tblDaily[EntryDate],DATE(2026,1,30),tblDaily[WardCode],"FAE")=0,"",SUMIFS(tblDaily[TransfersIn],tblDaily[EntryDate],DATE(2026,1,30),tblDaily[WardCode],"FAE")),"")</f>
        <v/>
      </c>
      <c r="N37" s="14">
        <f>IFERROR(IF(SUMIFS(tblDaily[TransfersOut],tblDaily[EntryDate],DATE(2026,1,30),tblDaily[WardCode],"FAE")=0,"",SUMIFS(tblDaily[TransfersOut],tblDaily[EntryDate],DATE(2026,1,30),tblDaily[WardCode],"FAE")),"")</f>
        <v>2</v>
      </c>
      <c r="O37" s="14">
        <f>IFERROR(IF(SUMIFS(tblDaily[Remaining],tblDaily[EntryDate],DATE(2026,1,30),tblDaily[WardCode],"FAE")=0,"",SUMIFS(tblDaily[Remaining],tblDaily[EntryDate],DATE(2026,1,30),tblDaily[WardCode],"FAE")),"")</f>
        <v>6</v>
      </c>
      <c r="P37" s="15">
        <f t="shared" si="0"/>
        <v>9</v>
      </c>
    </row>
    <row r="38" spans="1:16" x14ac:dyDescent="0.25">
      <c r="A38" s="14">
        <v>31</v>
      </c>
      <c r="B38" s="14">
        <f>IFERROR(IF(SUMIFS(tblDaily[Admissions],tblDaily[EntryDate],DATE(2026,1,31),tblDaily[WardCode],"MAE")=0,"",SUMIFS(tblDaily[Admissions],tblDaily[EntryDate],DATE(2026,1,31),tblDaily[WardCode],"MAE")),"")</f>
        <v>1</v>
      </c>
      <c r="C38" s="14" t="str">
        <f>IFERROR(IF(SUMIFS(tblDaily[Discharges],tblDaily[EntryDate],DATE(2026,1,31),tblDaily[WardCode],"MAE")=0,"",SUMIFS(tblDaily[Discharges],tblDaily[EntryDate],DATE(2026,1,31),tblDaily[WardCode],"MAE")),"")</f>
        <v/>
      </c>
      <c r="D38" s="14" t="str">
        <f>IFERROR(IF(SUMIFS(tblDaily[Deaths],tblDaily[EntryDate],DATE(2026,1,31),tblDaily[WardCode],"MAE")=0,"",SUMIFS(tblDaily[Deaths],tblDaily[EntryDate],DATE(2026,1,31),tblDaily[WardCode],"MAE")),"")</f>
        <v/>
      </c>
      <c r="E38" s="14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14" t="str">
        <f>IFERROR(IF(SUMIFS(tblDaily[TransfersIn],tblDaily[EntryDate],DATE(2026,1,31),tblDaily[WardCode],"MAE")=0,"",SUMIFS(tblDaily[TransfersIn],tblDaily[EntryDate],DATE(2026,1,31),tblDaily[WardCode],"MAE")),"")</f>
        <v/>
      </c>
      <c r="G38" s="14">
        <f>IFERROR(IF(SUMIFS(tblDaily[TransfersOut],tblDaily[EntryDate],DATE(2026,1,31),tblDaily[WardCode],"MAE")=0,"",SUMIFS(tblDaily[TransfersOut],tblDaily[EntryDate],DATE(2026,1,31),tblDaily[WardCode],"MAE")),"")</f>
        <v>3</v>
      </c>
      <c r="H38" s="14">
        <f>IFERROR(IF(SUMIFS(tblDaily[Remaining],tblDaily[EntryDate],DATE(2026,1,31),tblDaily[WardCode],"MAE")=0,"",SUMIFS(tblDaily[Remaining],tblDaily[EntryDate],DATE(2026,1,31),tblDaily[WardCode],"MAE")),"")</f>
        <v>1</v>
      </c>
      <c r="I38" s="14">
        <f>IFERROR(IF(SUMIFS(tblDaily[Admissions],tblDaily[EntryDate],DATE(2026,1,31),tblDaily[WardCode],"FAE")=0,"",SUMIFS(tblDaily[Admissions],tblDaily[EntryDate],DATE(2026,1,31),tblDaily[WardCode],"FAE")),"")</f>
        <v>1</v>
      </c>
      <c r="J38" s="14">
        <f>IFERROR(IF(SUMIFS(tblDaily[Discharges],tblDaily[EntryDate],DATE(2026,1,31),tblDaily[WardCode],"FAE")=0,"",SUMIFS(tblDaily[Discharges],tblDaily[EntryDate],DATE(2026,1,31),tblDaily[WardCode],"FAE")),"")</f>
        <v>1</v>
      </c>
      <c r="K38" s="14" t="str">
        <f>IFERROR(IF(SUMIFS(tblDaily[Deaths],tblDaily[EntryDate],DATE(2026,1,31),tblDaily[WardCode],"FAE")=0,"",SUMIFS(tblDaily[Deaths],tblDaily[EntryDate],DATE(2026,1,31),tblDaily[WardCode],"FAE")),"")</f>
        <v/>
      </c>
      <c r="L38" s="14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14" t="str">
        <f>IFERROR(IF(SUMIFS(tblDaily[TransfersIn],tblDaily[EntryDate],DATE(2026,1,31),tblDaily[WardCode],"FAE")=0,"",SUMIFS(tblDaily[TransfersIn],tblDaily[EntryDate],DATE(2026,1,31),tblDaily[WardCode],"FAE")),"")</f>
        <v/>
      </c>
      <c r="N38" s="14">
        <f>IFERROR(IF(SUMIFS(tblDaily[TransfersOut],tblDaily[EntryDate],DATE(2026,1,31),tblDaily[WardCode],"FAE")=0,"",SUMIFS(tblDaily[TransfersOut],tblDaily[EntryDate],DATE(2026,1,31),tblDaily[WardCode],"FAE")),"")</f>
        <v>2</v>
      </c>
      <c r="O38" s="14">
        <f>IFERROR(IF(SUMIFS(tblDaily[Remaining],tblDaily[EntryDate],DATE(2026,1,31),tblDaily[WardCode],"FAE")=0,"",SUMIFS(tblDaily[Remaining],tblDaily[EntryDate],DATE(2026,1,31),tblDaily[WardCode],"FAE")),"")</f>
        <v>4</v>
      </c>
      <c r="P38" s="15">
        <f t="shared" si="0"/>
        <v>5</v>
      </c>
    </row>
    <row r="39" spans="1:16" x14ac:dyDescent="0.25">
      <c r="A39" s="9" t="s">
        <v>112</v>
      </c>
      <c r="B39" s="9">
        <f>SUMIFS(tblDaily[Admissions],tblDaily[Month],1,tblDaily[WardCode],"MAE") - SUMIFS(tblDaily[DeathsUnder24Hrs],tblDaily[Month],1,tblDaily[WardCode],"MAE")</f>
        <v>86</v>
      </c>
      <c r="C39" s="9">
        <f>SUMIFS(tblDaily[Discharges],tblDaily[Month],1,tblDaily[WardCode],"MAE")</f>
        <v>43</v>
      </c>
      <c r="D39" s="9">
        <f>SUMIFS(tblDaily[Deaths],tblDaily[Month],1,tblDaily[WardCode],"MAE")</f>
        <v>4</v>
      </c>
      <c r="E39" s="9">
        <f>SUMIFS(tblDaily[DeathsUnder24Hrs],tblDaily[Month],1,tblDaily[WardCode],"MAE")</f>
        <v>5</v>
      </c>
      <c r="F39" s="9">
        <f>SUMIFS(tblDaily[TransfersIn],tblDaily[Month],1,tblDaily[WardCode],"MAE")</f>
        <v>0</v>
      </c>
      <c r="G39" s="9">
        <f>SUMIFS(tblDaily[TransfersOut],tblDaily[Month],1,tblDaily[WardCode],"MAE")</f>
        <v>47</v>
      </c>
      <c r="H39" s="9">
        <f>SUMIFS(tblDaily[Remaining],tblDaily[Month],1,tblDaily[WardCode],"MAE")</f>
        <v>148</v>
      </c>
      <c r="I39" s="9">
        <f>SUMIFS(tblDaily[Admissions],tblDaily[Month],1,tblDaily[WardCode],"FAE") - SUMIFS(tblDaily[DeathsUnder24Hrs],tblDaily[Month],1,tblDaily[WardCode],"FAE")</f>
        <v>46</v>
      </c>
      <c r="J39" s="9">
        <f>SUMIFS(tblDaily[Discharges],tblDaily[Month],1,tblDaily[WardCode],"FAE")</f>
        <v>13</v>
      </c>
      <c r="K39" s="9">
        <f>SUMIFS(tblDaily[Deaths],tblDaily[Month],1,tblDaily[WardCode],"FAE")</f>
        <v>0</v>
      </c>
      <c r="L39" s="9">
        <f>SUMIFS(tblDaily[DeathsUnder24Hrs],tblDaily[Month],1,tblDaily[WardCode],"FAE")</f>
        <v>1</v>
      </c>
      <c r="M39" s="9">
        <f>SUMIFS(tblDaily[TransfersIn],tblDaily[Month],1,tblDaily[WardCode],"FAE")</f>
        <v>0</v>
      </c>
      <c r="N39" s="9">
        <f>SUMIFS(tblDaily[TransfersOut],tblDaily[Month],1,tblDaily[WardCode],"FAE")</f>
        <v>30</v>
      </c>
      <c r="O39" s="9">
        <f>SUMIFS(tblDaily[Remaining],tblDaily[Month],1,tblDaily[WardCode],"FAE")</f>
        <v>55</v>
      </c>
      <c r="P39" s="9">
        <f>H39 + O39</f>
        <v>203</v>
      </c>
    </row>
    <row r="41" spans="1:16" ht="18.75" x14ac:dyDescent="0.25">
      <c r="A41" s="39" t="s">
        <v>0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</row>
    <row r="42" spans="1:16" ht="15.75" x14ac:dyDescent="0.25">
      <c r="A42" s="35" t="s">
        <v>101</v>
      </c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</row>
    <row r="43" spans="1:16" x14ac:dyDescent="0.25">
      <c r="A43" s="1" t="s">
        <v>4</v>
      </c>
      <c r="B43" s="2" t="s">
        <v>2</v>
      </c>
      <c r="E43" s="1" t="s">
        <v>102</v>
      </c>
      <c r="F43" s="1" t="s">
        <v>121</v>
      </c>
      <c r="M43" s="1" t="s">
        <v>104</v>
      </c>
      <c r="N43" s="1" t="s">
        <v>61</v>
      </c>
    </row>
    <row r="44" spans="1:16" x14ac:dyDescent="0.25">
      <c r="A44" s="1" t="s">
        <v>105</v>
      </c>
      <c r="B44" s="11">
        <f>IFERROR(SUMIFS(tblDaily[Remaining],tblDaily[EntryDate],DATE(2026,1,31),tblDaily[WardCode],"MAE"),0)</f>
        <v>1</v>
      </c>
      <c r="I44" s="11">
        <f>IFERROR(SUMIFS(tblDaily[Remaining],tblDaily[EntryDate],DATE(2026,1,31),tblDaily[WardCode],"FAE"),0)</f>
        <v>4</v>
      </c>
    </row>
    <row r="45" spans="1:16" x14ac:dyDescent="0.25">
      <c r="A45" s="1" t="s">
        <v>106</v>
      </c>
      <c r="B45" s="11">
        <f>IFERROR(INDEX(tblWardConfig[BedComplement],MATCH("MAE",tblWardConfig[WardCode],0)),0)</f>
        <v>10</v>
      </c>
      <c r="I45" s="11">
        <f>IFERROR(INDEX(tblWardConfig[BedComplement],MATCH("FAE",tblWardConfig[WardCode],0)),0)</f>
        <v>10</v>
      </c>
      <c r="O45" s="12">
        <f>B45+I45</f>
        <v>20</v>
      </c>
    </row>
    <row r="46" spans="1:16" x14ac:dyDescent="0.25">
      <c r="A46" s="3" t="s">
        <v>122</v>
      </c>
      <c r="B46" s="38" t="s">
        <v>119</v>
      </c>
      <c r="C46" s="29"/>
      <c r="D46" s="29"/>
      <c r="E46" s="29"/>
      <c r="F46" s="29"/>
      <c r="G46" s="29"/>
      <c r="H46" s="29"/>
      <c r="I46" s="40" t="s">
        <v>120</v>
      </c>
      <c r="J46" s="29"/>
      <c r="K46" s="29"/>
      <c r="L46" s="29"/>
      <c r="M46" s="29"/>
      <c r="N46" s="29"/>
      <c r="O46" s="29"/>
      <c r="P46" s="13" t="s">
        <v>112</v>
      </c>
    </row>
    <row r="47" spans="1:16" x14ac:dyDescent="0.25">
      <c r="A47" s="3" t="s">
        <v>122</v>
      </c>
      <c r="B47" s="3" t="s">
        <v>123</v>
      </c>
      <c r="C47" s="3" t="s">
        <v>124</v>
      </c>
      <c r="D47" s="3" t="s">
        <v>125</v>
      </c>
      <c r="E47" s="3" t="s">
        <v>126</v>
      </c>
      <c r="F47" s="3" t="s">
        <v>127</v>
      </c>
      <c r="G47" s="3" t="s">
        <v>128</v>
      </c>
      <c r="H47" s="3" t="s">
        <v>129</v>
      </c>
      <c r="I47" s="3" t="s">
        <v>123</v>
      </c>
      <c r="J47" s="3" t="s">
        <v>124</v>
      </c>
      <c r="K47" s="3" t="s">
        <v>125</v>
      </c>
      <c r="L47" s="3" t="s">
        <v>126</v>
      </c>
      <c r="M47" s="3" t="s">
        <v>127</v>
      </c>
      <c r="N47" s="3" t="s">
        <v>128</v>
      </c>
      <c r="O47" s="3" t="s">
        <v>129</v>
      </c>
      <c r="P47" s="3" t="s">
        <v>130</v>
      </c>
    </row>
    <row r="48" spans="1:16" x14ac:dyDescent="0.25">
      <c r="A48" s="14">
        <v>1</v>
      </c>
      <c r="B48" s="14" t="str">
        <f>IFERROR(IF(SUMIFS(tblDaily[Admissions],tblDaily[EntryDate],DATE(2026,2,1),tblDaily[WardCode],"MAE")=0,"",SUMIFS(tblDaily[Admissions],tblDaily[EntryDate],DATE(2026,2,1),tblDaily[WardCode],"MAE")),"")</f>
        <v/>
      </c>
      <c r="C48" s="14" t="str">
        <f>IFERROR(IF(SUMIFS(tblDaily[Discharges],tblDaily[EntryDate],DATE(2026,2,1),tblDaily[WardCode],"MAE")=0,"",SUMIFS(tblDaily[Discharges],tblDaily[EntryDate],DATE(2026,2,1),tblDaily[WardCode],"MAE")),"")</f>
        <v/>
      </c>
      <c r="D48" s="14" t="str">
        <f>IFERROR(IF(SUMIFS(tblDaily[Deaths],tblDaily[EntryDate],DATE(2026,2,1),tblDaily[WardCode],"MAE")=0,"",SUMIFS(tblDaily[Deaths],tblDaily[EntryDate],DATE(2026,2,1),tblDaily[WardCode],"MAE")),"")</f>
        <v/>
      </c>
      <c r="E48" s="14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14" t="str">
        <f>IFERROR(IF(SUMIFS(tblDaily[TransfersIn],tblDaily[EntryDate],DATE(2026,2,1),tblDaily[WardCode],"MAE")=0,"",SUMIFS(tblDaily[TransfersIn],tblDaily[EntryDate],DATE(2026,2,1),tblDaily[WardCode],"MAE")),"")</f>
        <v/>
      </c>
      <c r="G48" s="14" t="str">
        <f>IFERROR(IF(SUMIFS(tblDaily[TransfersOut],tblDaily[EntryDate],DATE(2026,2,1),tblDaily[WardCode],"MAE")=0,"",SUMIFS(tblDaily[TransfersOut],tblDaily[EntryDate],DATE(2026,2,1),tblDaily[WardCode],"MAE")),"")</f>
        <v/>
      </c>
      <c r="H48" s="14" t="str">
        <f>IFERROR(IF(SUMIFS(tblDaily[Remaining],tblDaily[EntryDate],DATE(2026,2,1),tblDaily[WardCode],"MAE")=0,"",SUMIFS(tblDaily[Remaining],tblDaily[EntryDate],DATE(2026,2,1),tblDaily[WardCode],"MAE")),"")</f>
        <v/>
      </c>
      <c r="I48" s="14" t="str">
        <f>IFERROR(IF(SUMIFS(tblDaily[Admissions],tblDaily[EntryDate],DATE(2026,2,1),tblDaily[WardCode],"FAE")=0,"",SUMIFS(tblDaily[Admissions],tblDaily[EntryDate],DATE(2026,2,1),tblDaily[WardCode],"FAE")),"")</f>
        <v/>
      </c>
      <c r="J48" s="14" t="str">
        <f>IFERROR(IF(SUMIFS(tblDaily[Discharges],tblDaily[EntryDate],DATE(2026,2,1),tblDaily[WardCode],"FAE")=0,"",SUMIFS(tblDaily[Discharges],tblDaily[EntryDate],DATE(2026,2,1),tblDaily[WardCode],"FAE")),"")</f>
        <v/>
      </c>
      <c r="K48" s="14" t="str">
        <f>IFERROR(IF(SUMIFS(tblDaily[Deaths],tblDaily[EntryDate],DATE(2026,2,1),tblDaily[WardCode],"FAE")=0,"",SUMIFS(tblDaily[Deaths],tblDaily[EntryDate],DATE(2026,2,1),tblDaily[WardCode],"FAE")),"")</f>
        <v/>
      </c>
      <c r="L48" s="14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14" t="str">
        <f>IFERROR(IF(SUMIFS(tblDaily[TransfersIn],tblDaily[EntryDate],DATE(2026,2,1),tblDaily[WardCode],"FAE")=0,"",SUMIFS(tblDaily[TransfersIn],tblDaily[EntryDate],DATE(2026,2,1),tblDaily[WardCode],"FAE")),"")</f>
        <v/>
      </c>
      <c r="N48" s="14" t="str">
        <f>IFERROR(IF(SUMIFS(tblDaily[TransfersOut],tblDaily[EntryDate],DATE(2026,2,1),tblDaily[WardCode],"FAE")=0,"",SUMIFS(tblDaily[TransfersOut],tblDaily[EntryDate],DATE(2026,2,1),tblDaily[WardCode],"FAE")),"")</f>
        <v/>
      </c>
      <c r="O48" s="14" t="str">
        <f>IFERROR(IF(SUMIFS(tblDaily[Remaining],tblDaily[EntryDate],DATE(2026,2,1),tblDaily[WardCode],"FAE")=0,"",SUMIFS(tblDaily[Remaining],tblDaily[EntryDate],DATE(2026,2,1),tblDaily[WardCode],"FAE")),"")</f>
        <v/>
      </c>
      <c r="P48" s="15" t="str">
        <f t="shared" ref="P48:P75" si="1">IF(AND(H48="", O48=""), "", N(H48) + N(O48))</f>
        <v/>
      </c>
    </row>
    <row r="49" spans="1:16" x14ac:dyDescent="0.25">
      <c r="A49" s="14">
        <v>2</v>
      </c>
      <c r="B49" s="14" t="str">
        <f>IFERROR(IF(SUMIFS(tblDaily[Admissions],tblDaily[EntryDate],DATE(2026,2,2),tblDaily[WardCode],"MAE")=0,"",SUMIFS(tblDaily[Admissions],tblDaily[EntryDate],DATE(2026,2,2),tblDaily[WardCode],"MAE")),"")</f>
        <v/>
      </c>
      <c r="C49" s="14" t="str">
        <f>IFERROR(IF(SUMIFS(tblDaily[Discharges],tblDaily[EntryDate],DATE(2026,2,2),tblDaily[WardCode],"MAE")=0,"",SUMIFS(tblDaily[Discharges],tblDaily[EntryDate],DATE(2026,2,2),tblDaily[WardCode],"MAE")),"")</f>
        <v/>
      </c>
      <c r="D49" s="14" t="str">
        <f>IFERROR(IF(SUMIFS(tblDaily[Deaths],tblDaily[EntryDate],DATE(2026,2,2),tblDaily[WardCode],"MAE")=0,"",SUMIFS(tblDaily[Deaths],tblDaily[EntryDate],DATE(2026,2,2),tblDaily[WardCode],"MAE")),"")</f>
        <v/>
      </c>
      <c r="E49" s="14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14" t="str">
        <f>IFERROR(IF(SUMIFS(tblDaily[TransfersIn],tblDaily[EntryDate],DATE(2026,2,2),tblDaily[WardCode],"MAE")=0,"",SUMIFS(tblDaily[TransfersIn],tblDaily[EntryDate],DATE(2026,2,2),tblDaily[WardCode],"MAE")),"")</f>
        <v/>
      </c>
      <c r="G49" s="14" t="str">
        <f>IFERROR(IF(SUMIFS(tblDaily[TransfersOut],tblDaily[EntryDate],DATE(2026,2,2),tblDaily[WardCode],"MAE")=0,"",SUMIFS(tblDaily[TransfersOut],tblDaily[EntryDate],DATE(2026,2,2),tblDaily[WardCode],"MAE")),"")</f>
        <v/>
      </c>
      <c r="H49" s="14" t="str">
        <f>IFERROR(IF(SUMIFS(tblDaily[Remaining],tblDaily[EntryDate],DATE(2026,2,2),tblDaily[WardCode],"MAE")=0,"",SUMIFS(tblDaily[Remaining],tblDaily[EntryDate],DATE(2026,2,2),tblDaily[WardCode],"MAE")),"")</f>
        <v/>
      </c>
      <c r="I49" s="14" t="str">
        <f>IFERROR(IF(SUMIFS(tblDaily[Admissions],tblDaily[EntryDate],DATE(2026,2,2),tblDaily[WardCode],"FAE")=0,"",SUMIFS(tblDaily[Admissions],tblDaily[EntryDate],DATE(2026,2,2),tblDaily[WardCode],"FAE")),"")</f>
        <v/>
      </c>
      <c r="J49" s="14" t="str">
        <f>IFERROR(IF(SUMIFS(tblDaily[Discharges],tblDaily[EntryDate],DATE(2026,2,2),tblDaily[WardCode],"FAE")=0,"",SUMIFS(tblDaily[Discharges],tblDaily[EntryDate],DATE(2026,2,2),tblDaily[WardCode],"FAE")),"")</f>
        <v/>
      </c>
      <c r="K49" s="14" t="str">
        <f>IFERROR(IF(SUMIFS(tblDaily[Deaths],tblDaily[EntryDate],DATE(2026,2,2),tblDaily[WardCode],"FAE")=0,"",SUMIFS(tblDaily[Deaths],tblDaily[EntryDate],DATE(2026,2,2),tblDaily[WardCode],"FAE")),"")</f>
        <v/>
      </c>
      <c r="L49" s="14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14" t="str">
        <f>IFERROR(IF(SUMIFS(tblDaily[TransfersIn],tblDaily[EntryDate],DATE(2026,2,2),tblDaily[WardCode],"FAE")=0,"",SUMIFS(tblDaily[TransfersIn],tblDaily[EntryDate],DATE(2026,2,2),tblDaily[WardCode],"FAE")),"")</f>
        <v/>
      </c>
      <c r="N49" s="14" t="str">
        <f>IFERROR(IF(SUMIFS(tblDaily[TransfersOut],tblDaily[EntryDate],DATE(2026,2,2),tblDaily[WardCode],"FAE")=0,"",SUMIFS(tblDaily[TransfersOut],tblDaily[EntryDate],DATE(2026,2,2),tblDaily[WardCode],"FAE")),"")</f>
        <v/>
      </c>
      <c r="O49" s="14" t="str">
        <f>IFERROR(IF(SUMIFS(tblDaily[Remaining],tblDaily[EntryDate],DATE(2026,2,2),tblDaily[WardCode],"FAE")=0,"",SUMIFS(tblDaily[Remaining],tblDaily[EntryDate],DATE(2026,2,2),tblDaily[WardCode],"FAE")),"")</f>
        <v/>
      </c>
      <c r="P49" s="15" t="str">
        <f t="shared" si="1"/>
        <v/>
      </c>
    </row>
    <row r="50" spans="1:16" x14ac:dyDescent="0.25">
      <c r="A50" s="14">
        <v>3</v>
      </c>
      <c r="B50" s="14">
        <f>IFERROR(IF(SUMIFS(tblDaily[Admissions],tblDaily[EntryDate],DATE(2026,2,3),tblDaily[WardCode],"MAE")=0,"",SUMIFS(tblDaily[Admissions],tblDaily[EntryDate],DATE(2026,2,3),tblDaily[WardCode],"MAE")),"")</f>
        <v>3</v>
      </c>
      <c r="C50" s="14">
        <f>IFERROR(IF(SUMIFS(tblDaily[Discharges],tblDaily[EntryDate],DATE(2026,2,3),tblDaily[WardCode],"MAE")=0,"",SUMIFS(tblDaily[Discharges],tblDaily[EntryDate],DATE(2026,2,3),tblDaily[WardCode],"MAE")),"")</f>
        <v>3</v>
      </c>
      <c r="D50" s="14" t="str">
        <f>IFERROR(IF(SUMIFS(tblDaily[Deaths],tblDaily[EntryDate],DATE(2026,2,3),tblDaily[WardCode],"MAE")=0,"",SUMIFS(tblDaily[Deaths],tblDaily[EntryDate],DATE(2026,2,3),tblDaily[WardCode],"MAE")),"")</f>
        <v/>
      </c>
      <c r="E50" s="14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14">
        <f>IFERROR(IF(SUMIFS(tblDaily[TransfersIn],tblDaily[EntryDate],DATE(2026,2,3),tblDaily[WardCode],"MAE")=0,"",SUMIFS(tblDaily[TransfersIn],tblDaily[EntryDate],DATE(2026,2,3),tblDaily[WardCode],"MAE")),"")</f>
        <v>2</v>
      </c>
      <c r="G50" s="14" t="str">
        <f>IFERROR(IF(SUMIFS(tblDaily[TransfersOut],tblDaily[EntryDate],DATE(2026,2,3),tblDaily[WardCode],"MAE")=0,"",SUMIFS(tblDaily[TransfersOut],tblDaily[EntryDate],DATE(2026,2,3),tblDaily[WardCode],"MAE")),"")</f>
        <v/>
      </c>
      <c r="H50" s="14">
        <f>IFERROR(IF(SUMIFS(tblDaily[Remaining],tblDaily[EntryDate],DATE(2026,2,3),tblDaily[WardCode],"MAE")=0,"",SUMIFS(tblDaily[Remaining],tblDaily[EntryDate],DATE(2026,2,3),tblDaily[WardCode],"MAE")),"")</f>
        <v>3</v>
      </c>
      <c r="I50" s="14" t="str">
        <f>IFERROR(IF(SUMIFS(tblDaily[Admissions],tblDaily[EntryDate],DATE(2026,2,3),tblDaily[WardCode],"FAE")=0,"",SUMIFS(tblDaily[Admissions],tblDaily[EntryDate],DATE(2026,2,3),tblDaily[WardCode],"FAE")),"")</f>
        <v/>
      </c>
      <c r="J50" s="14" t="str">
        <f>IFERROR(IF(SUMIFS(tblDaily[Discharges],tblDaily[EntryDate],DATE(2026,2,3),tblDaily[WardCode],"FAE")=0,"",SUMIFS(tblDaily[Discharges],tblDaily[EntryDate],DATE(2026,2,3),tblDaily[WardCode],"FAE")),"")</f>
        <v/>
      </c>
      <c r="K50" s="14" t="str">
        <f>IFERROR(IF(SUMIFS(tblDaily[Deaths],tblDaily[EntryDate],DATE(2026,2,3),tblDaily[WardCode],"FAE")=0,"",SUMIFS(tblDaily[Deaths],tblDaily[EntryDate],DATE(2026,2,3),tblDaily[WardCode],"FAE")),"")</f>
        <v/>
      </c>
      <c r="L50" s="14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14" t="str">
        <f>IFERROR(IF(SUMIFS(tblDaily[TransfersIn],tblDaily[EntryDate],DATE(2026,2,3),tblDaily[WardCode],"FAE")=0,"",SUMIFS(tblDaily[TransfersIn],tblDaily[EntryDate],DATE(2026,2,3),tblDaily[WardCode],"FAE")),"")</f>
        <v/>
      </c>
      <c r="N50" s="14" t="str">
        <f>IFERROR(IF(SUMIFS(tblDaily[TransfersOut],tblDaily[EntryDate],DATE(2026,2,3),tblDaily[WardCode],"FAE")=0,"",SUMIFS(tblDaily[TransfersOut],tblDaily[EntryDate],DATE(2026,2,3),tblDaily[WardCode],"FAE")),"")</f>
        <v/>
      </c>
      <c r="O50" s="14" t="str">
        <f>IFERROR(IF(SUMIFS(tblDaily[Remaining],tblDaily[EntryDate],DATE(2026,2,3),tblDaily[WardCode],"FAE")=0,"",SUMIFS(tblDaily[Remaining],tblDaily[EntryDate],DATE(2026,2,3),tblDaily[WardCode],"FAE")),"")</f>
        <v/>
      </c>
      <c r="P50" s="15">
        <f t="shared" si="1"/>
        <v>3</v>
      </c>
    </row>
    <row r="51" spans="1:16" x14ac:dyDescent="0.25">
      <c r="A51" s="14">
        <v>4</v>
      </c>
      <c r="B51" s="14" t="str">
        <f>IFERROR(IF(SUMIFS(tblDaily[Admissions],tblDaily[EntryDate],DATE(2026,2,4),tblDaily[WardCode],"MAE")=0,"",SUMIFS(tblDaily[Admissions],tblDaily[EntryDate],DATE(2026,2,4),tblDaily[WardCode],"MAE")),"")</f>
        <v/>
      </c>
      <c r="C51" s="14" t="str">
        <f>IFERROR(IF(SUMIFS(tblDaily[Discharges],tblDaily[EntryDate],DATE(2026,2,4),tblDaily[WardCode],"MAE")=0,"",SUMIFS(tblDaily[Discharges],tblDaily[EntryDate],DATE(2026,2,4),tblDaily[WardCode],"MAE")),"")</f>
        <v/>
      </c>
      <c r="D51" s="14" t="str">
        <f>IFERROR(IF(SUMIFS(tblDaily[Deaths],tblDaily[EntryDate],DATE(2026,2,4),tblDaily[WardCode],"MAE")=0,"",SUMIFS(tblDaily[Deaths],tblDaily[EntryDate],DATE(2026,2,4),tblDaily[WardCode],"MAE")),"")</f>
        <v/>
      </c>
      <c r="E51" s="14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14" t="str">
        <f>IFERROR(IF(SUMIFS(tblDaily[TransfersIn],tblDaily[EntryDate],DATE(2026,2,4),tblDaily[WardCode],"MAE")=0,"",SUMIFS(tblDaily[TransfersIn],tblDaily[EntryDate],DATE(2026,2,4),tblDaily[WardCode],"MAE")),"")</f>
        <v/>
      </c>
      <c r="G51" s="14" t="str">
        <f>IFERROR(IF(SUMIFS(tblDaily[TransfersOut],tblDaily[EntryDate],DATE(2026,2,4),tblDaily[WardCode],"MAE")=0,"",SUMIFS(tblDaily[TransfersOut],tblDaily[EntryDate],DATE(2026,2,4),tblDaily[WardCode],"MAE")),"")</f>
        <v/>
      </c>
      <c r="H51" s="14" t="str">
        <f>IFERROR(IF(SUMIFS(tblDaily[Remaining],tblDaily[EntryDate],DATE(2026,2,4),tblDaily[WardCode],"MAE")=0,"",SUMIFS(tblDaily[Remaining],tblDaily[EntryDate],DATE(2026,2,4),tblDaily[WardCode],"MAE")),"")</f>
        <v/>
      </c>
      <c r="I51" s="14" t="str">
        <f>IFERROR(IF(SUMIFS(tblDaily[Admissions],tblDaily[EntryDate],DATE(2026,2,4),tblDaily[WardCode],"FAE")=0,"",SUMIFS(tblDaily[Admissions],tblDaily[EntryDate],DATE(2026,2,4),tblDaily[WardCode],"FAE")),"")</f>
        <v/>
      </c>
      <c r="J51" s="14" t="str">
        <f>IFERROR(IF(SUMIFS(tblDaily[Discharges],tblDaily[EntryDate],DATE(2026,2,4),tblDaily[WardCode],"FAE")=0,"",SUMIFS(tblDaily[Discharges],tblDaily[EntryDate],DATE(2026,2,4),tblDaily[WardCode],"FAE")),"")</f>
        <v/>
      </c>
      <c r="K51" s="14" t="str">
        <f>IFERROR(IF(SUMIFS(tblDaily[Deaths],tblDaily[EntryDate],DATE(2026,2,4),tblDaily[WardCode],"FAE")=0,"",SUMIFS(tblDaily[Deaths],tblDaily[EntryDate],DATE(2026,2,4),tblDaily[WardCode],"FAE")),"")</f>
        <v/>
      </c>
      <c r="L51" s="14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14" t="str">
        <f>IFERROR(IF(SUMIFS(tblDaily[TransfersIn],tblDaily[EntryDate],DATE(2026,2,4),tblDaily[WardCode],"FAE")=0,"",SUMIFS(tblDaily[TransfersIn],tblDaily[EntryDate],DATE(2026,2,4),tblDaily[WardCode],"FAE")),"")</f>
        <v/>
      </c>
      <c r="N51" s="14" t="str">
        <f>IFERROR(IF(SUMIFS(tblDaily[TransfersOut],tblDaily[EntryDate],DATE(2026,2,4),tblDaily[WardCode],"FAE")=0,"",SUMIFS(tblDaily[TransfersOut],tblDaily[EntryDate],DATE(2026,2,4),tblDaily[WardCode],"FAE")),"")</f>
        <v/>
      </c>
      <c r="O51" s="14" t="str">
        <f>IFERROR(IF(SUMIFS(tblDaily[Remaining],tblDaily[EntryDate],DATE(2026,2,4),tblDaily[WardCode],"FAE")=0,"",SUMIFS(tblDaily[Remaining],tblDaily[EntryDate],DATE(2026,2,4),tblDaily[WardCode],"FAE")),"")</f>
        <v/>
      </c>
      <c r="P51" s="15" t="str">
        <f t="shared" si="1"/>
        <v/>
      </c>
    </row>
    <row r="52" spans="1:16" x14ac:dyDescent="0.25">
      <c r="A52" s="14">
        <v>5</v>
      </c>
      <c r="B52" s="14" t="str">
        <f>IFERROR(IF(SUMIFS(tblDaily[Admissions],tblDaily[EntryDate],DATE(2026,2,5),tblDaily[WardCode],"MAE")=0,"",SUMIFS(tblDaily[Admissions],tblDaily[EntryDate],DATE(2026,2,5),tblDaily[WardCode],"MAE")),"")</f>
        <v/>
      </c>
      <c r="C52" s="14" t="str">
        <f>IFERROR(IF(SUMIFS(tblDaily[Discharges],tblDaily[EntryDate],DATE(2026,2,5),tblDaily[WardCode],"MAE")=0,"",SUMIFS(tblDaily[Discharges],tblDaily[EntryDate],DATE(2026,2,5),tblDaily[WardCode],"MAE")),"")</f>
        <v/>
      </c>
      <c r="D52" s="14" t="str">
        <f>IFERROR(IF(SUMIFS(tblDaily[Deaths],tblDaily[EntryDate],DATE(2026,2,5),tblDaily[WardCode],"MAE")=0,"",SUMIFS(tblDaily[Deaths],tblDaily[EntryDate],DATE(2026,2,5),tblDaily[WardCode],"MAE")),"")</f>
        <v/>
      </c>
      <c r="E52" s="14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14" t="str">
        <f>IFERROR(IF(SUMIFS(tblDaily[TransfersIn],tblDaily[EntryDate],DATE(2026,2,5),tblDaily[WardCode],"MAE")=0,"",SUMIFS(tblDaily[TransfersIn],tblDaily[EntryDate],DATE(2026,2,5),tblDaily[WardCode],"MAE")),"")</f>
        <v/>
      </c>
      <c r="G52" s="14" t="str">
        <f>IFERROR(IF(SUMIFS(tblDaily[TransfersOut],tblDaily[EntryDate],DATE(2026,2,5),tblDaily[WardCode],"MAE")=0,"",SUMIFS(tblDaily[TransfersOut],tblDaily[EntryDate],DATE(2026,2,5),tblDaily[WardCode],"MAE")),"")</f>
        <v/>
      </c>
      <c r="H52" s="14" t="str">
        <f>IFERROR(IF(SUMIFS(tblDaily[Remaining],tblDaily[EntryDate],DATE(2026,2,5),tblDaily[WardCode],"MAE")=0,"",SUMIFS(tblDaily[Remaining],tblDaily[EntryDate],DATE(2026,2,5),tblDaily[WardCode],"MAE")),"")</f>
        <v/>
      </c>
      <c r="I52" s="14" t="str">
        <f>IFERROR(IF(SUMIFS(tblDaily[Admissions],tblDaily[EntryDate],DATE(2026,2,5),tblDaily[WardCode],"FAE")=0,"",SUMIFS(tblDaily[Admissions],tblDaily[EntryDate],DATE(2026,2,5),tblDaily[WardCode],"FAE")),"")</f>
        <v/>
      </c>
      <c r="J52" s="14" t="str">
        <f>IFERROR(IF(SUMIFS(tblDaily[Discharges],tblDaily[EntryDate],DATE(2026,2,5),tblDaily[WardCode],"FAE")=0,"",SUMIFS(tblDaily[Discharges],tblDaily[EntryDate],DATE(2026,2,5),tblDaily[WardCode],"FAE")),"")</f>
        <v/>
      </c>
      <c r="K52" s="14" t="str">
        <f>IFERROR(IF(SUMIFS(tblDaily[Deaths],tblDaily[EntryDate],DATE(2026,2,5),tblDaily[WardCode],"FAE")=0,"",SUMIFS(tblDaily[Deaths],tblDaily[EntryDate],DATE(2026,2,5),tblDaily[WardCode],"FAE")),"")</f>
        <v/>
      </c>
      <c r="L52" s="14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14" t="str">
        <f>IFERROR(IF(SUMIFS(tblDaily[TransfersIn],tblDaily[EntryDate],DATE(2026,2,5),tblDaily[WardCode],"FAE")=0,"",SUMIFS(tblDaily[TransfersIn],tblDaily[EntryDate],DATE(2026,2,5),tblDaily[WardCode],"FAE")),"")</f>
        <v/>
      </c>
      <c r="N52" s="14" t="str">
        <f>IFERROR(IF(SUMIFS(tblDaily[TransfersOut],tblDaily[EntryDate],DATE(2026,2,5),tblDaily[WardCode],"FAE")=0,"",SUMIFS(tblDaily[TransfersOut],tblDaily[EntryDate],DATE(2026,2,5),tblDaily[WardCode],"FAE")),"")</f>
        <v/>
      </c>
      <c r="O52" s="14" t="str">
        <f>IFERROR(IF(SUMIFS(tblDaily[Remaining],tblDaily[EntryDate],DATE(2026,2,5),tblDaily[WardCode],"FAE")=0,"",SUMIFS(tblDaily[Remaining],tblDaily[EntryDate],DATE(2026,2,5),tblDaily[WardCode],"FAE")),"")</f>
        <v/>
      </c>
      <c r="P52" s="15" t="str">
        <f t="shared" si="1"/>
        <v/>
      </c>
    </row>
    <row r="53" spans="1:16" x14ac:dyDescent="0.25">
      <c r="A53" s="14">
        <v>6</v>
      </c>
      <c r="B53" s="14" t="str">
        <f>IFERROR(IF(SUMIFS(tblDaily[Admissions],tblDaily[EntryDate],DATE(2026,2,6),tblDaily[WardCode],"MAE")=0,"",SUMIFS(tblDaily[Admissions],tblDaily[EntryDate],DATE(2026,2,6),tblDaily[WardCode],"MAE")),"")</f>
        <v/>
      </c>
      <c r="C53" s="14" t="str">
        <f>IFERROR(IF(SUMIFS(tblDaily[Discharges],tblDaily[EntryDate],DATE(2026,2,6),tblDaily[WardCode],"MAE")=0,"",SUMIFS(tblDaily[Discharges],tblDaily[EntryDate],DATE(2026,2,6),tblDaily[WardCode],"MAE")),"")</f>
        <v/>
      </c>
      <c r="D53" s="14" t="str">
        <f>IFERROR(IF(SUMIFS(tblDaily[Deaths],tblDaily[EntryDate],DATE(2026,2,6),tblDaily[WardCode],"MAE")=0,"",SUMIFS(tblDaily[Deaths],tblDaily[EntryDate],DATE(2026,2,6),tblDaily[WardCode],"MAE")),"")</f>
        <v/>
      </c>
      <c r="E53" s="14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14" t="str">
        <f>IFERROR(IF(SUMIFS(tblDaily[TransfersIn],tblDaily[EntryDate],DATE(2026,2,6),tblDaily[WardCode],"MAE")=0,"",SUMIFS(tblDaily[TransfersIn],tblDaily[EntryDate],DATE(2026,2,6),tblDaily[WardCode],"MAE")),"")</f>
        <v/>
      </c>
      <c r="G53" s="14" t="str">
        <f>IFERROR(IF(SUMIFS(tblDaily[TransfersOut],tblDaily[EntryDate],DATE(2026,2,6),tblDaily[WardCode],"MAE")=0,"",SUMIFS(tblDaily[TransfersOut],tblDaily[EntryDate],DATE(2026,2,6),tblDaily[WardCode],"MAE")),"")</f>
        <v/>
      </c>
      <c r="H53" s="14" t="str">
        <f>IFERROR(IF(SUMIFS(tblDaily[Remaining],tblDaily[EntryDate],DATE(2026,2,6),tblDaily[WardCode],"MAE")=0,"",SUMIFS(tblDaily[Remaining],tblDaily[EntryDate],DATE(2026,2,6),tblDaily[WardCode],"MAE")),"")</f>
        <v/>
      </c>
      <c r="I53" s="14" t="str">
        <f>IFERROR(IF(SUMIFS(tblDaily[Admissions],tblDaily[EntryDate],DATE(2026,2,6),tblDaily[WardCode],"FAE")=0,"",SUMIFS(tblDaily[Admissions],tblDaily[EntryDate],DATE(2026,2,6),tblDaily[WardCode],"FAE")),"")</f>
        <v/>
      </c>
      <c r="J53" s="14" t="str">
        <f>IFERROR(IF(SUMIFS(tblDaily[Discharges],tblDaily[EntryDate],DATE(2026,2,6),tblDaily[WardCode],"FAE")=0,"",SUMIFS(tblDaily[Discharges],tblDaily[EntryDate],DATE(2026,2,6),tblDaily[WardCode],"FAE")),"")</f>
        <v/>
      </c>
      <c r="K53" s="14" t="str">
        <f>IFERROR(IF(SUMIFS(tblDaily[Deaths],tblDaily[EntryDate],DATE(2026,2,6),tblDaily[WardCode],"FAE")=0,"",SUMIFS(tblDaily[Deaths],tblDaily[EntryDate],DATE(2026,2,6),tblDaily[WardCode],"FAE")),"")</f>
        <v/>
      </c>
      <c r="L53" s="14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14" t="str">
        <f>IFERROR(IF(SUMIFS(tblDaily[TransfersIn],tblDaily[EntryDate],DATE(2026,2,6),tblDaily[WardCode],"FAE")=0,"",SUMIFS(tblDaily[TransfersIn],tblDaily[EntryDate],DATE(2026,2,6),tblDaily[WardCode],"FAE")),"")</f>
        <v/>
      </c>
      <c r="N53" s="14" t="str">
        <f>IFERROR(IF(SUMIFS(tblDaily[TransfersOut],tblDaily[EntryDate],DATE(2026,2,6),tblDaily[WardCode],"FAE")=0,"",SUMIFS(tblDaily[TransfersOut],tblDaily[EntryDate],DATE(2026,2,6),tblDaily[WardCode],"FAE")),"")</f>
        <v/>
      </c>
      <c r="O53" s="14" t="str">
        <f>IFERROR(IF(SUMIFS(tblDaily[Remaining],tblDaily[EntryDate],DATE(2026,2,6),tblDaily[WardCode],"FAE")=0,"",SUMIFS(tblDaily[Remaining],tblDaily[EntryDate],DATE(2026,2,6),tblDaily[WardCode],"FAE")),"")</f>
        <v/>
      </c>
      <c r="P53" s="15" t="str">
        <f t="shared" si="1"/>
        <v/>
      </c>
    </row>
    <row r="54" spans="1:16" x14ac:dyDescent="0.25">
      <c r="A54" s="14">
        <v>7</v>
      </c>
      <c r="B54" s="14" t="str">
        <f>IFERROR(IF(SUMIFS(tblDaily[Admissions],tblDaily[EntryDate],DATE(2026,2,7),tblDaily[WardCode],"MAE")=0,"",SUMIFS(tblDaily[Admissions],tblDaily[EntryDate],DATE(2026,2,7),tblDaily[WardCode],"MAE")),"")</f>
        <v/>
      </c>
      <c r="C54" s="14" t="str">
        <f>IFERROR(IF(SUMIFS(tblDaily[Discharges],tblDaily[EntryDate],DATE(2026,2,7),tblDaily[WardCode],"MAE")=0,"",SUMIFS(tblDaily[Discharges],tblDaily[EntryDate],DATE(2026,2,7),tblDaily[WardCode],"MAE")),"")</f>
        <v/>
      </c>
      <c r="D54" s="14" t="str">
        <f>IFERROR(IF(SUMIFS(tblDaily[Deaths],tblDaily[EntryDate],DATE(2026,2,7),tblDaily[WardCode],"MAE")=0,"",SUMIFS(tblDaily[Deaths],tblDaily[EntryDate],DATE(2026,2,7),tblDaily[WardCode],"MAE")),"")</f>
        <v/>
      </c>
      <c r="E54" s="14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14" t="str">
        <f>IFERROR(IF(SUMIFS(tblDaily[TransfersIn],tblDaily[EntryDate],DATE(2026,2,7),tblDaily[WardCode],"MAE")=0,"",SUMIFS(tblDaily[TransfersIn],tblDaily[EntryDate],DATE(2026,2,7),tblDaily[WardCode],"MAE")),"")</f>
        <v/>
      </c>
      <c r="G54" s="14" t="str">
        <f>IFERROR(IF(SUMIFS(tblDaily[TransfersOut],tblDaily[EntryDate],DATE(2026,2,7),tblDaily[WardCode],"MAE")=0,"",SUMIFS(tblDaily[TransfersOut],tblDaily[EntryDate],DATE(2026,2,7),tblDaily[WardCode],"MAE")),"")</f>
        <v/>
      </c>
      <c r="H54" s="14" t="str">
        <f>IFERROR(IF(SUMIFS(tblDaily[Remaining],tblDaily[EntryDate],DATE(2026,2,7),tblDaily[WardCode],"MAE")=0,"",SUMIFS(tblDaily[Remaining],tblDaily[EntryDate],DATE(2026,2,7),tblDaily[WardCode],"MAE")),"")</f>
        <v/>
      </c>
      <c r="I54" s="14" t="str">
        <f>IFERROR(IF(SUMIFS(tblDaily[Admissions],tblDaily[EntryDate],DATE(2026,2,7),tblDaily[WardCode],"FAE")=0,"",SUMIFS(tblDaily[Admissions],tblDaily[EntryDate],DATE(2026,2,7),tblDaily[WardCode],"FAE")),"")</f>
        <v/>
      </c>
      <c r="J54" s="14" t="str">
        <f>IFERROR(IF(SUMIFS(tblDaily[Discharges],tblDaily[EntryDate],DATE(2026,2,7),tblDaily[WardCode],"FAE")=0,"",SUMIFS(tblDaily[Discharges],tblDaily[EntryDate],DATE(2026,2,7),tblDaily[WardCode],"FAE")),"")</f>
        <v/>
      </c>
      <c r="K54" s="14" t="str">
        <f>IFERROR(IF(SUMIFS(tblDaily[Deaths],tblDaily[EntryDate],DATE(2026,2,7),tblDaily[WardCode],"FAE")=0,"",SUMIFS(tblDaily[Deaths],tblDaily[EntryDate],DATE(2026,2,7),tblDaily[WardCode],"FAE")),"")</f>
        <v/>
      </c>
      <c r="L54" s="14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14" t="str">
        <f>IFERROR(IF(SUMIFS(tblDaily[TransfersIn],tblDaily[EntryDate],DATE(2026,2,7),tblDaily[WardCode],"FAE")=0,"",SUMIFS(tblDaily[TransfersIn],tblDaily[EntryDate],DATE(2026,2,7),tblDaily[WardCode],"FAE")),"")</f>
        <v/>
      </c>
      <c r="N54" s="14" t="str">
        <f>IFERROR(IF(SUMIFS(tblDaily[TransfersOut],tblDaily[EntryDate],DATE(2026,2,7),tblDaily[WardCode],"FAE")=0,"",SUMIFS(tblDaily[TransfersOut],tblDaily[EntryDate],DATE(2026,2,7),tblDaily[WardCode],"FAE")),"")</f>
        <v/>
      </c>
      <c r="O54" s="14" t="str">
        <f>IFERROR(IF(SUMIFS(tblDaily[Remaining],tblDaily[EntryDate],DATE(2026,2,7),tblDaily[WardCode],"FAE")=0,"",SUMIFS(tblDaily[Remaining],tblDaily[EntryDate],DATE(2026,2,7),tblDaily[WardCode],"FAE")),"")</f>
        <v/>
      </c>
      <c r="P54" s="15" t="str">
        <f t="shared" si="1"/>
        <v/>
      </c>
    </row>
    <row r="55" spans="1:16" x14ac:dyDescent="0.25">
      <c r="A55" s="14">
        <v>8</v>
      </c>
      <c r="B55" s="14" t="str">
        <f>IFERROR(IF(SUMIFS(tblDaily[Admissions],tblDaily[EntryDate],DATE(2026,2,8),tblDaily[WardCode],"MAE")=0,"",SUMIFS(tblDaily[Admissions],tblDaily[EntryDate],DATE(2026,2,8),tblDaily[WardCode],"MAE")),"")</f>
        <v/>
      </c>
      <c r="C55" s="14" t="str">
        <f>IFERROR(IF(SUMIFS(tblDaily[Discharges],tblDaily[EntryDate],DATE(2026,2,8),tblDaily[WardCode],"MAE")=0,"",SUMIFS(tblDaily[Discharges],tblDaily[EntryDate],DATE(2026,2,8),tblDaily[WardCode],"MAE")),"")</f>
        <v/>
      </c>
      <c r="D55" s="14" t="str">
        <f>IFERROR(IF(SUMIFS(tblDaily[Deaths],tblDaily[EntryDate],DATE(2026,2,8),tblDaily[WardCode],"MAE")=0,"",SUMIFS(tblDaily[Deaths],tblDaily[EntryDate],DATE(2026,2,8),tblDaily[WardCode],"MAE")),"")</f>
        <v/>
      </c>
      <c r="E55" s="14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14" t="str">
        <f>IFERROR(IF(SUMIFS(tblDaily[TransfersIn],tblDaily[EntryDate],DATE(2026,2,8),tblDaily[WardCode],"MAE")=0,"",SUMIFS(tblDaily[TransfersIn],tblDaily[EntryDate],DATE(2026,2,8),tblDaily[WardCode],"MAE")),"")</f>
        <v/>
      </c>
      <c r="G55" s="14" t="str">
        <f>IFERROR(IF(SUMIFS(tblDaily[TransfersOut],tblDaily[EntryDate],DATE(2026,2,8),tblDaily[WardCode],"MAE")=0,"",SUMIFS(tblDaily[TransfersOut],tblDaily[EntryDate],DATE(2026,2,8),tblDaily[WardCode],"MAE")),"")</f>
        <v/>
      </c>
      <c r="H55" s="14" t="str">
        <f>IFERROR(IF(SUMIFS(tblDaily[Remaining],tblDaily[EntryDate],DATE(2026,2,8),tblDaily[WardCode],"MAE")=0,"",SUMIFS(tblDaily[Remaining],tblDaily[EntryDate],DATE(2026,2,8),tblDaily[WardCode],"MAE")),"")</f>
        <v/>
      </c>
      <c r="I55" s="14" t="str">
        <f>IFERROR(IF(SUMIFS(tblDaily[Admissions],tblDaily[EntryDate],DATE(2026,2,8),tblDaily[WardCode],"FAE")=0,"",SUMIFS(tblDaily[Admissions],tblDaily[EntryDate],DATE(2026,2,8),tblDaily[WardCode],"FAE")),"")</f>
        <v/>
      </c>
      <c r="J55" s="14" t="str">
        <f>IFERROR(IF(SUMIFS(tblDaily[Discharges],tblDaily[EntryDate],DATE(2026,2,8),tblDaily[WardCode],"FAE")=0,"",SUMIFS(tblDaily[Discharges],tblDaily[EntryDate],DATE(2026,2,8),tblDaily[WardCode],"FAE")),"")</f>
        <v/>
      </c>
      <c r="K55" s="14" t="str">
        <f>IFERROR(IF(SUMIFS(tblDaily[Deaths],tblDaily[EntryDate],DATE(2026,2,8),tblDaily[WardCode],"FAE")=0,"",SUMIFS(tblDaily[Deaths],tblDaily[EntryDate],DATE(2026,2,8),tblDaily[WardCode],"FAE")),"")</f>
        <v/>
      </c>
      <c r="L55" s="14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14" t="str">
        <f>IFERROR(IF(SUMIFS(tblDaily[TransfersIn],tblDaily[EntryDate],DATE(2026,2,8),tblDaily[WardCode],"FAE")=0,"",SUMIFS(tblDaily[TransfersIn],tblDaily[EntryDate],DATE(2026,2,8),tblDaily[WardCode],"FAE")),"")</f>
        <v/>
      </c>
      <c r="N55" s="14" t="str">
        <f>IFERROR(IF(SUMIFS(tblDaily[TransfersOut],tblDaily[EntryDate],DATE(2026,2,8),tblDaily[WardCode],"FAE")=0,"",SUMIFS(tblDaily[TransfersOut],tblDaily[EntryDate],DATE(2026,2,8),tblDaily[WardCode],"FAE")),"")</f>
        <v/>
      </c>
      <c r="O55" s="14" t="str">
        <f>IFERROR(IF(SUMIFS(tblDaily[Remaining],tblDaily[EntryDate],DATE(2026,2,8),tblDaily[WardCode],"FAE")=0,"",SUMIFS(tblDaily[Remaining],tblDaily[EntryDate],DATE(2026,2,8),tblDaily[WardCode],"FAE")),"")</f>
        <v/>
      </c>
      <c r="P55" s="15" t="str">
        <f t="shared" si="1"/>
        <v/>
      </c>
    </row>
    <row r="56" spans="1:16" x14ac:dyDescent="0.25">
      <c r="A56" s="14">
        <v>9</v>
      </c>
      <c r="B56" s="14" t="str">
        <f>IFERROR(IF(SUMIFS(tblDaily[Admissions],tblDaily[EntryDate],DATE(2026,2,9),tblDaily[WardCode],"MAE")=0,"",SUMIFS(tblDaily[Admissions],tblDaily[EntryDate],DATE(2026,2,9),tblDaily[WardCode],"MAE")),"")</f>
        <v/>
      </c>
      <c r="C56" s="14" t="str">
        <f>IFERROR(IF(SUMIFS(tblDaily[Discharges],tblDaily[EntryDate],DATE(2026,2,9),tblDaily[WardCode],"MAE")=0,"",SUMIFS(tblDaily[Discharges],tblDaily[EntryDate],DATE(2026,2,9),tblDaily[WardCode],"MAE")),"")</f>
        <v/>
      </c>
      <c r="D56" s="14" t="str">
        <f>IFERROR(IF(SUMIFS(tblDaily[Deaths],tblDaily[EntryDate],DATE(2026,2,9),tblDaily[WardCode],"MAE")=0,"",SUMIFS(tblDaily[Deaths],tblDaily[EntryDate],DATE(2026,2,9),tblDaily[WardCode],"MAE")),"")</f>
        <v/>
      </c>
      <c r="E56" s="14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14" t="str">
        <f>IFERROR(IF(SUMIFS(tblDaily[TransfersIn],tblDaily[EntryDate],DATE(2026,2,9),tblDaily[WardCode],"MAE")=0,"",SUMIFS(tblDaily[TransfersIn],tblDaily[EntryDate],DATE(2026,2,9),tblDaily[WardCode],"MAE")),"")</f>
        <v/>
      </c>
      <c r="G56" s="14" t="str">
        <f>IFERROR(IF(SUMIFS(tblDaily[TransfersOut],tblDaily[EntryDate],DATE(2026,2,9),tblDaily[WardCode],"MAE")=0,"",SUMIFS(tblDaily[TransfersOut],tblDaily[EntryDate],DATE(2026,2,9),tblDaily[WardCode],"MAE")),"")</f>
        <v/>
      </c>
      <c r="H56" s="14" t="str">
        <f>IFERROR(IF(SUMIFS(tblDaily[Remaining],tblDaily[EntryDate],DATE(2026,2,9),tblDaily[WardCode],"MAE")=0,"",SUMIFS(tblDaily[Remaining],tblDaily[EntryDate],DATE(2026,2,9),tblDaily[WardCode],"MAE")),"")</f>
        <v/>
      </c>
      <c r="I56" s="14" t="str">
        <f>IFERROR(IF(SUMIFS(tblDaily[Admissions],tblDaily[EntryDate],DATE(2026,2,9),tblDaily[WardCode],"FAE")=0,"",SUMIFS(tblDaily[Admissions],tblDaily[EntryDate],DATE(2026,2,9),tblDaily[WardCode],"FAE")),"")</f>
        <v/>
      </c>
      <c r="J56" s="14" t="str">
        <f>IFERROR(IF(SUMIFS(tblDaily[Discharges],tblDaily[EntryDate],DATE(2026,2,9),tblDaily[WardCode],"FAE")=0,"",SUMIFS(tblDaily[Discharges],tblDaily[EntryDate],DATE(2026,2,9),tblDaily[WardCode],"FAE")),"")</f>
        <v/>
      </c>
      <c r="K56" s="14" t="str">
        <f>IFERROR(IF(SUMIFS(tblDaily[Deaths],tblDaily[EntryDate],DATE(2026,2,9),tblDaily[WardCode],"FAE")=0,"",SUMIFS(tblDaily[Deaths],tblDaily[EntryDate],DATE(2026,2,9),tblDaily[WardCode],"FAE")),"")</f>
        <v/>
      </c>
      <c r="L56" s="14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14" t="str">
        <f>IFERROR(IF(SUMIFS(tblDaily[TransfersIn],tblDaily[EntryDate],DATE(2026,2,9),tblDaily[WardCode],"FAE")=0,"",SUMIFS(tblDaily[TransfersIn],tblDaily[EntryDate],DATE(2026,2,9),tblDaily[WardCode],"FAE")),"")</f>
        <v/>
      </c>
      <c r="N56" s="14" t="str">
        <f>IFERROR(IF(SUMIFS(tblDaily[TransfersOut],tblDaily[EntryDate],DATE(2026,2,9),tblDaily[WardCode],"FAE")=0,"",SUMIFS(tblDaily[TransfersOut],tblDaily[EntryDate],DATE(2026,2,9),tblDaily[WardCode],"FAE")),"")</f>
        <v/>
      </c>
      <c r="O56" s="14" t="str">
        <f>IFERROR(IF(SUMIFS(tblDaily[Remaining],tblDaily[EntryDate],DATE(2026,2,9),tblDaily[WardCode],"FAE")=0,"",SUMIFS(tblDaily[Remaining],tblDaily[EntryDate],DATE(2026,2,9),tblDaily[WardCode],"FAE")),"")</f>
        <v/>
      </c>
      <c r="P56" s="15" t="str">
        <f t="shared" si="1"/>
        <v/>
      </c>
    </row>
    <row r="57" spans="1:16" x14ac:dyDescent="0.25">
      <c r="A57" s="14">
        <v>10</v>
      </c>
      <c r="B57" s="14" t="str">
        <f>IFERROR(IF(SUMIFS(tblDaily[Admissions],tblDaily[EntryDate],DATE(2026,2,10),tblDaily[WardCode],"MAE")=0,"",SUMIFS(tblDaily[Admissions],tblDaily[EntryDate],DATE(2026,2,10),tblDaily[WardCode],"MAE")),"")</f>
        <v/>
      </c>
      <c r="C57" s="14" t="str">
        <f>IFERROR(IF(SUMIFS(tblDaily[Discharges],tblDaily[EntryDate],DATE(2026,2,10),tblDaily[WardCode],"MAE")=0,"",SUMIFS(tblDaily[Discharges],tblDaily[EntryDate],DATE(2026,2,10),tblDaily[WardCode],"MAE")),"")</f>
        <v/>
      </c>
      <c r="D57" s="14" t="str">
        <f>IFERROR(IF(SUMIFS(tblDaily[Deaths],tblDaily[EntryDate],DATE(2026,2,10),tblDaily[WardCode],"MAE")=0,"",SUMIFS(tblDaily[Deaths],tblDaily[EntryDate],DATE(2026,2,10),tblDaily[WardCode],"MAE")),"")</f>
        <v/>
      </c>
      <c r="E57" s="14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14" t="str">
        <f>IFERROR(IF(SUMIFS(tblDaily[TransfersIn],tblDaily[EntryDate],DATE(2026,2,10),tblDaily[WardCode],"MAE")=0,"",SUMIFS(tblDaily[TransfersIn],tblDaily[EntryDate],DATE(2026,2,10),tblDaily[WardCode],"MAE")),"")</f>
        <v/>
      </c>
      <c r="G57" s="14" t="str">
        <f>IFERROR(IF(SUMIFS(tblDaily[TransfersOut],tblDaily[EntryDate],DATE(2026,2,10),tblDaily[WardCode],"MAE")=0,"",SUMIFS(tblDaily[TransfersOut],tblDaily[EntryDate],DATE(2026,2,10),tblDaily[WardCode],"MAE")),"")</f>
        <v/>
      </c>
      <c r="H57" s="14" t="str">
        <f>IFERROR(IF(SUMIFS(tblDaily[Remaining],tblDaily[EntryDate],DATE(2026,2,10),tblDaily[WardCode],"MAE")=0,"",SUMIFS(tblDaily[Remaining],tblDaily[EntryDate],DATE(2026,2,10),tblDaily[WardCode],"MAE")),"")</f>
        <v/>
      </c>
      <c r="I57" s="14" t="str">
        <f>IFERROR(IF(SUMIFS(tblDaily[Admissions],tblDaily[EntryDate],DATE(2026,2,10),tblDaily[WardCode],"FAE")=0,"",SUMIFS(tblDaily[Admissions],tblDaily[EntryDate],DATE(2026,2,10),tblDaily[WardCode],"FAE")),"")</f>
        <v/>
      </c>
      <c r="J57" s="14" t="str">
        <f>IFERROR(IF(SUMIFS(tblDaily[Discharges],tblDaily[EntryDate],DATE(2026,2,10),tblDaily[WardCode],"FAE")=0,"",SUMIFS(tblDaily[Discharges],tblDaily[EntryDate],DATE(2026,2,10),tblDaily[WardCode],"FAE")),"")</f>
        <v/>
      </c>
      <c r="K57" s="14" t="str">
        <f>IFERROR(IF(SUMIFS(tblDaily[Deaths],tblDaily[EntryDate],DATE(2026,2,10),tblDaily[WardCode],"FAE")=0,"",SUMIFS(tblDaily[Deaths],tblDaily[EntryDate],DATE(2026,2,10),tblDaily[WardCode],"FAE")),"")</f>
        <v/>
      </c>
      <c r="L57" s="14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14" t="str">
        <f>IFERROR(IF(SUMIFS(tblDaily[TransfersIn],tblDaily[EntryDate],DATE(2026,2,10),tblDaily[WardCode],"FAE")=0,"",SUMIFS(tblDaily[TransfersIn],tblDaily[EntryDate],DATE(2026,2,10),tblDaily[WardCode],"FAE")),"")</f>
        <v/>
      </c>
      <c r="N57" s="14" t="str">
        <f>IFERROR(IF(SUMIFS(tblDaily[TransfersOut],tblDaily[EntryDate],DATE(2026,2,10),tblDaily[WardCode],"FAE")=0,"",SUMIFS(tblDaily[TransfersOut],tblDaily[EntryDate],DATE(2026,2,10),tblDaily[WardCode],"FAE")),"")</f>
        <v/>
      </c>
      <c r="O57" s="14" t="str">
        <f>IFERROR(IF(SUMIFS(tblDaily[Remaining],tblDaily[EntryDate],DATE(2026,2,10),tblDaily[WardCode],"FAE")=0,"",SUMIFS(tblDaily[Remaining],tblDaily[EntryDate],DATE(2026,2,10),tblDaily[WardCode],"FAE")),"")</f>
        <v/>
      </c>
      <c r="P57" s="15" t="str">
        <f t="shared" si="1"/>
        <v/>
      </c>
    </row>
    <row r="58" spans="1:16" x14ac:dyDescent="0.25">
      <c r="A58" s="14">
        <v>11</v>
      </c>
      <c r="B58" s="14" t="str">
        <f>IFERROR(IF(SUMIFS(tblDaily[Admissions],tblDaily[EntryDate],DATE(2026,2,11),tblDaily[WardCode],"MAE")=0,"",SUMIFS(tblDaily[Admissions],tblDaily[EntryDate],DATE(2026,2,11),tblDaily[WardCode],"MAE")),"")</f>
        <v/>
      </c>
      <c r="C58" s="14" t="str">
        <f>IFERROR(IF(SUMIFS(tblDaily[Discharges],tblDaily[EntryDate],DATE(2026,2,11),tblDaily[WardCode],"MAE")=0,"",SUMIFS(tblDaily[Discharges],tblDaily[EntryDate],DATE(2026,2,11),tblDaily[WardCode],"MAE")),"")</f>
        <v/>
      </c>
      <c r="D58" s="14" t="str">
        <f>IFERROR(IF(SUMIFS(tblDaily[Deaths],tblDaily[EntryDate],DATE(2026,2,11),tblDaily[WardCode],"MAE")=0,"",SUMIFS(tblDaily[Deaths],tblDaily[EntryDate],DATE(2026,2,11),tblDaily[WardCode],"MAE")),"")</f>
        <v/>
      </c>
      <c r="E58" s="14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14" t="str">
        <f>IFERROR(IF(SUMIFS(tblDaily[TransfersIn],tblDaily[EntryDate],DATE(2026,2,11),tblDaily[WardCode],"MAE")=0,"",SUMIFS(tblDaily[TransfersIn],tblDaily[EntryDate],DATE(2026,2,11),tblDaily[WardCode],"MAE")),"")</f>
        <v/>
      </c>
      <c r="G58" s="14" t="str">
        <f>IFERROR(IF(SUMIFS(tblDaily[TransfersOut],tblDaily[EntryDate],DATE(2026,2,11),tblDaily[WardCode],"MAE")=0,"",SUMIFS(tblDaily[TransfersOut],tblDaily[EntryDate],DATE(2026,2,11),tblDaily[WardCode],"MAE")),"")</f>
        <v/>
      </c>
      <c r="H58" s="14" t="str">
        <f>IFERROR(IF(SUMIFS(tblDaily[Remaining],tblDaily[EntryDate],DATE(2026,2,11),tblDaily[WardCode],"MAE")=0,"",SUMIFS(tblDaily[Remaining],tblDaily[EntryDate],DATE(2026,2,11),tblDaily[WardCode],"MAE")),"")</f>
        <v/>
      </c>
      <c r="I58" s="14" t="str">
        <f>IFERROR(IF(SUMIFS(tblDaily[Admissions],tblDaily[EntryDate],DATE(2026,2,11),tblDaily[WardCode],"FAE")=0,"",SUMIFS(tblDaily[Admissions],tblDaily[EntryDate],DATE(2026,2,11),tblDaily[WardCode],"FAE")),"")</f>
        <v/>
      </c>
      <c r="J58" s="14" t="str">
        <f>IFERROR(IF(SUMIFS(tblDaily[Discharges],tblDaily[EntryDate],DATE(2026,2,11),tblDaily[WardCode],"FAE")=0,"",SUMIFS(tblDaily[Discharges],tblDaily[EntryDate],DATE(2026,2,11),tblDaily[WardCode],"FAE")),"")</f>
        <v/>
      </c>
      <c r="K58" s="14" t="str">
        <f>IFERROR(IF(SUMIFS(tblDaily[Deaths],tblDaily[EntryDate],DATE(2026,2,11),tblDaily[WardCode],"FAE")=0,"",SUMIFS(tblDaily[Deaths],tblDaily[EntryDate],DATE(2026,2,11),tblDaily[WardCode],"FAE")),"")</f>
        <v/>
      </c>
      <c r="L58" s="14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14" t="str">
        <f>IFERROR(IF(SUMIFS(tblDaily[TransfersIn],tblDaily[EntryDate],DATE(2026,2,11),tblDaily[WardCode],"FAE")=0,"",SUMIFS(tblDaily[TransfersIn],tblDaily[EntryDate],DATE(2026,2,11),tblDaily[WardCode],"FAE")),"")</f>
        <v/>
      </c>
      <c r="N58" s="14" t="str">
        <f>IFERROR(IF(SUMIFS(tblDaily[TransfersOut],tblDaily[EntryDate],DATE(2026,2,11),tblDaily[WardCode],"FAE")=0,"",SUMIFS(tblDaily[TransfersOut],tblDaily[EntryDate],DATE(2026,2,11),tblDaily[WardCode],"FAE")),"")</f>
        <v/>
      </c>
      <c r="O58" s="14" t="str">
        <f>IFERROR(IF(SUMIFS(tblDaily[Remaining],tblDaily[EntryDate],DATE(2026,2,11),tblDaily[WardCode],"FAE")=0,"",SUMIFS(tblDaily[Remaining],tblDaily[EntryDate],DATE(2026,2,11),tblDaily[WardCode],"FAE")),"")</f>
        <v/>
      </c>
      <c r="P58" s="15" t="str">
        <f t="shared" si="1"/>
        <v/>
      </c>
    </row>
    <row r="59" spans="1:16" x14ac:dyDescent="0.25">
      <c r="A59" s="14">
        <v>12</v>
      </c>
      <c r="B59" s="14" t="str">
        <f>IFERROR(IF(SUMIFS(tblDaily[Admissions],tblDaily[EntryDate],DATE(2026,2,12),tblDaily[WardCode],"MAE")=0,"",SUMIFS(tblDaily[Admissions],tblDaily[EntryDate],DATE(2026,2,12),tblDaily[WardCode],"MAE")),"")</f>
        <v/>
      </c>
      <c r="C59" s="14" t="str">
        <f>IFERROR(IF(SUMIFS(tblDaily[Discharges],tblDaily[EntryDate],DATE(2026,2,12),tblDaily[WardCode],"MAE")=0,"",SUMIFS(tblDaily[Discharges],tblDaily[EntryDate],DATE(2026,2,12),tblDaily[WardCode],"MAE")),"")</f>
        <v/>
      </c>
      <c r="D59" s="14" t="str">
        <f>IFERROR(IF(SUMIFS(tblDaily[Deaths],tblDaily[EntryDate],DATE(2026,2,12),tblDaily[WardCode],"MAE")=0,"",SUMIFS(tblDaily[Deaths],tblDaily[EntryDate],DATE(2026,2,12),tblDaily[WardCode],"MAE")),"")</f>
        <v/>
      </c>
      <c r="E59" s="14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14" t="str">
        <f>IFERROR(IF(SUMIFS(tblDaily[TransfersIn],tblDaily[EntryDate],DATE(2026,2,12),tblDaily[WardCode],"MAE")=0,"",SUMIFS(tblDaily[TransfersIn],tblDaily[EntryDate],DATE(2026,2,12),tblDaily[WardCode],"MAE")),"")</f>
        <v/>
      </c>
      <c r="G59" s="14" t="str">
        <f>IFERROR(IF(SUMIFS(tblDaily[TransfersOut],tblDaily[EntryDate],DATE(2026,2,12),tblDaily[WardCode],"MAE")=0,"",SUMIFS(tblDaily[TransfersOut],tblDaily[EntryDate],DATE(2026,2,12),tblDaily[WardCode],"MAE")),"")</f>
        <v/>
      </c>
      <c r="H59" s="14" t="str">
        <f>IFERROR(IF(SUMIFS(tblDaily[Remaining],tblDaily[EntryDate],DATE(2026,2,12),tblDaily[WardCode],"MAE")=0,"",SUMIFS(tblDaily[Remaining],tblDaily[EntryDate],DATE(2026,2,12),tblDaily[WardCode],"MAE")),"")</f>
        <v/>
      </c>
      <c r="I59" s="14" t="str">
        <f>IFERROR(IF(SUMIFS(tblDaily[Admissions],tblDaily[EntryDate],DATE(2026,2,12),tblDaily[WardCode],"FAE")=0,"",SUMIFS(tblDaily[Admissions],tblDaily[EntryDate],DATE(2026,2,12),tblDaily[WardCode],"FAE")),"")</f>
        <v/>
      </c>
      <c r="J59" s="14" t="str">
        <f>IFERROR(IF(SUMIFS(tblDaily[Discharges],tblDaily[EntryDate],DATE(2026,2,12),tblDaily[WardCode],"FAE")=0,"",SUMIFS(tblDaily[Discharges],tblDaily[EntryDate],DATE(2026,2,12),tblDaily[WardCode],"FAE")),"")</f>
        <v/>
      </c>
      <c r="K59" s="14" t="str">
        <f>IFERROR(IF(SUMIFS(tblDaily[Deaths],tblDaily[EntryDate],DATE(2026,2,12),tblDaily[WardCode],"FAE")=0,"",SUMIFS(tblDaily[Deaths],tblDaily[EntryDate],DATE(2026,2,12),tblDaily[WardCode],"FAE")),"")</f>
        <v/>
      </c>
      <c r="L59" s="14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14" t="str">
        <f>IFERROR(IF(SUMIFS(tblDaily[TransfersIn],tblDaily[EntryDate],DATE(2026,2,12),tblDaily[WardCode],"FAE")=0,"",SUMIFS(tblDaily[TransfersIn],tblDaily[EntryDate],DATE(2026,2,12),tblDaily[WardCode],"FAE")),"")</f>
        <v/>
      </c>
      <c r="N59" s="14" t="str">
        <f>IFERROR(IF(SUMIFS(tblDaily[TransfersOut],tblDaily[EntryDate],DATE(2026,2,12),tblDaily[WardCode],"FAE")=0,"",SUMIFS(tblDaily[TransfersOut],tblDaily[EntryDate],DATE(2026,2,12),tblDaily[WardCode],"FAE")),"")</f>
        <v/>
      </c>
      <c r="O59" s="14" t="str">
        <f>IFERROR(IF(SUMIFS(tblDaily[Remaining],tblDaily[EntryDate],DATE(2026,2,12),tblDaily[WardCode],"FAE")=0,"",SUMIFS(tblDaily[Remaining],tblDaily[EntryDate],DATE(2026,2,12),tblDaily[WardCode],"FAE")),"")</f>
        <v/>
      </c>
      <c r="P59" s="15" t="str">
        <f t="shared" si="1"/>
        <v/>
      </c>
    </row>
    <row r="60" spans="1:16" x14ac:dyDescent="0.25">
      <c r="A60" s="14">
        <v>13</v>
      </c>
      <c r="B60" s="14" t="str">
        <f>IFERROR(IF(SUMIFS(tblDaily[Admissions],tblDaily[EntryDate],DATE(2026,2,13),tblDaily[WardCode],"MAE")=0,"",SUMIFS(tblDaily[Admissions],tblDaily[EntryDate],DATE(2026,2,13),tblDaily[WardCode],"MAE")),"")</f>
        <v/>
      </c>
      <c r="C60" s="14" t="str">
        <f>IFERROR(IF(SUMIFS(tblDaily[Discharges],tblDaily[EntryDate],DATE(2026,2,13),tblDaily[WardCode],"MAE")=0,"",SUMIFS(tblDaily[Discharges],tblDaily[EntryDate],DATE(2026,2,13),tblDaily[WardCode],"MAE")),"")</f>
        <v/>
      </c>
      <c r="D60" s="14" t="str">
        <f>IFERROR(IF(SUMIFS(tblDaily[Deaths],tblDaily[EntryDate],DATE(2026,2,13),tblDaily[WardCode],"MAE")=0,"",SUMIFS(tblDaily[Deaths],tblDaily[EntryDate],DATE(2026,2,13),tblDaily[WardCode],"MAE")),"")</f>
        <v/>
      </c>
      <c r="E60" s="14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14" t="str">
        <f>IFERROR(IF(SUMIFS(tblDaily[TransfersIn],tblDaily[EntryDate],DATE(2026,2,13),tblDaily[WardCode],"MAE")=0,"",SUMIFS(tblDaily[TransfersIn],tblDaily[EntryDate],DATE(2026,2,13),tblDaily[WardCode],"MAE")),"")</f>
        <v/>
      </c>
      <c r="G60" s="14" t="str">
        <f>IFERROR(IF(SUMIFS(tblDaily[TransfersOut],tblDaily[EntryDate],DATE(2026,2,13),tblDaily[WardCode],"MAE")=0,"",SUMIFS(tblDaily[TransfersOut],tblDaily[EntryDate],DATE(2026,2,13),tblDaily[WardCode],"MAE")),"")</f>
        <v/>
      </c>
      <c r="H60" s="14" t="str">
        <f>IFERROR(IF(SUMIFS(tblDaily[Remaining],tblDaily[EntryDate],DATE(2026,2,13),tblDaily[WardCode],"MAE")=0,"",SUMIFS(tblDaily[Remaining],tblDaily[EntryDate],DATE(2026,2,13),tblDaily[WardCode],"MAE")),"")</f>
        <v/>
      </c>
      <c r="I60" s="14" t="str">
        <f>IFERROR(IF(SUMIFS(tblDaily[Admissions],tblDaily[EntryDate],DATE(2026,2,13),tblDaily[WardCode],"FAE")=0,"",SUMIFS(tblDaily[Admissions],tblDaily[EntryDate],DATE(2026,2,13),tblDaily[WardCode],"FAE")),"")</f>
        <v/>
      </c>
      <c r="J60" s="14" t="str">
        <f>IFERROR(IF(SUMIFS(tblDaily[Discharges],tblDaily[EntryDate],DATE(2026,2,13),tblDaily[WardCode],"FAE")=0,"",SUMIFS(tblDaily[Discharges],tblDaily[EntryDate],DATE(2026,2,13),tblDaily[WardCode],"FAE")),"")</f>
        <v/>
      </c>
      <c r="K60" s="14" t="str">
        <f>IFERROR(IF(SUMIFS(tblDaily[Deaths],tblDaily[EntryDate],DATE(2026,2,13),tblDaily[WardCode],"FAE")=0,"",SUMIFS(tblDaily[Deaths],tblDaily[EntryDate],DATE(2026,2,13),tblDaily[WardCode],"FAE")),"")</f>
        <v/>
      </c>
      <c r="L60" s="14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14" t="str">
        <f>IFERROR(IF(SUMIFS(tblDaily[TransfersIn],tblDaily[EntryDate],DATE(2026,2,13),tblDaily[WardCode],"FAE")=0,"",SUMIFS(tblDaily[TransfersIn],tblDaily[EntryDate],DATE(2026,2,13),tblDaily[WardCode],"FAE")),"")</f>
        <v/>
      </c>
      <c r="N60" s="14" t="str">
        <f>IFERROR(IF(SUMIFS(tblDaily[TransfersOut],tblDaily[EntryDate],DATE(2026,2,13),tblDaily[WardCode],"FAE")=0,"",SUMIFS(tblDaily[TransfersOut],tblDaily[EntryDate],DATE(2026,2,13),tblDaily[WardCode],"FAE")),"")</f>
        <v/>
      </c>
      <c r="O60" s="14" t="str">
        <f>IFERROR(IF(SUMIFS(tblDaily[Remaining],tblDaily[EntryDate],DATE(2026,2,13),tblDaily[WardCode],"FAE")=0,"",SUMIFS(tblDaily[Remaining],tblDaily[EntryDate],DATE(2026,2,13),tblDaily[WardCode],"FAE")),"")</f>
        <v/>
      </c>
      <c r="P60" s="15" t="str">
        <f t="shared" si="1"/>
        <v/>
      </c>
    </row>
    <row r="61" spans="1:16" x14ac:dyDescent="0.25">
      <c r="A61" s="14">
        <v>14</v>
      </c>
      <c r="B61" s="14" t="str">
        <f>IFERROR(IF(SUMIFS(tblDaily[Admissions],tblDaily[EntryDate],DATE(2026,2,14),tblDaily[WardCode],"MAE")=0,"",SUMIFS(tblDaily[Admissions],tblDaily[EntryDate],DATE(2026,2,14),tblDaily[WardCode],"MAE")),"")</f>
        <v/>
      </c>
      <c r="C61" s="14" t="str">
        <f>IFERROR(IF(SUMIFS(tblDaily[Discharges],tblDaily[EntryDate],DATE(2026,2,14),tblDaily[WardCode],"MAE")=0,"",SUMIFS(tblDaily[Discharges],tblDaily[EntryDate],DATE(2026,2,14),tblDaily[WardCode],"MAE")),"")</f>
        <v/>
      </c>
      <c r="D61" s="14" t="str">
        <f>IFERROR(IF(SUMIFS(tblDaily[Deaths],tblDaily[EntryDate],DATE(2026,2,14),tblDaily[WardCode],"MAE")=0,"",SUMIFS(tblDaily[Deaths],tblDaily[EntryDate],DATE(2026,2,14),tblDaily[WardCode],"MAE")),"")</f>
        <v/>
      </c>
      <c r="E61" s="14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14" t="str">
        <f>IFERROR(IF(SUMIFS(tblDaily[TransfersIn],tblDaily[EntryDate],DATE(2026,2,14),tblDaily[WardCode],"MAE")=0,"",SUMIFS(tblDaily[TransfersIn],tblDaily[EntryDate],DATE(2026,2,14),tblDaily[WardCode],"MAE")),"")</f>
        <v/>
      </c>
      <c r="G61" s="14" t="str">
        <f>IFERROR(IF(SUMIFS(tblDaily[TransfersOut],tblDaily[EntryDate],DATE(2026,2,14),tblDaily[WardCode],"MAE")=0,"",SUMIFS(tblDaily[TransfersOut],tblDaily[EntryDate],DATE(2026,2,14),tblDaily[WardCode],"MAE")),"")</f>
        <v/>
      </c>
      <c r="H61" s="14" t="str">
        <f>IFERROR(IF(SUMIFS(tblDaily[Remaining],tblDaily[EntryDate],DATE(2026,2,14),tblDaily[WardCode],"MAE")=0,"",SUMIFS(tblDaily[Remaining],tblDaily[EntryDate],DATE(2026,2,14),tblDaily[WardCode],"MAE")),"")</f>
        <v/>
      </c>
      <c r="I61" s="14" t="str">
        <f>IFERROR(IF(SUMIFS(tblDaily[Admissions],tblDaily[EntryDate],DATE(2026,2,14),tblDaily[WardCode],"FAE")=0,"",SUMIFS(tblDaily[Admissions],tblDaily[EntryDate],DATE(2026,2,14),tblDaily[WardCode],"FAE")),"")</f>
        <v/>
      </c>
      <c r="J61" s="14" t="str">
        <f>IFERROR(IF(SUMIFS(tblDaily[Discharges],tblDaily[EntryDate],DATE(2026,2,14),tblDaily[WardCode],"FAE")=0,"",SUMIFS(tblDaily[Discharges],tblDaily[EntryDate],DATE(2026,2,14),tblDaily[WardCode],"FAE")),"")</f>
        <v/>
      </c>
      <c r="K61" s="14" t="str">
        <f>IFERROR(IF(SUMIFS(tblDaily[Deaths],tblDaily[EntryDate],DATE(2026,2,14),tblDaily[WardCode],"FAE")=0,"",SUMIFS(tblDaily[Deaths],tblDaily[EntryDate],DATE(2026,2,14),tblDaily[WardCode],"FAE")),"")</f>
        <v/>
      </c>
      <c r="L61" s="14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14" t="str">
        <f>IFERROR(IF(SUMIFS(tblDaily[TransfersIn],tblDaily[EntryDate],DATE(2026,2,14),tblDaily[WardCode],"FAE")=0,"",SUMIFS(tblDaily[TransfersIn],tblDaily[EntryDate],DATE(2026,2,14),tblDaily[WardCode],"FAE")),"")</f>
        <v/>
      </c>
      <c r="N61" s="14" t="str">
        <f>IFERROR(IF(SUMIFS(tblDaily[TransfersOut],tblDaily[EntryDate],DATE(2026,2,14),tblDaily[WardCode],"FAE")=0,"",SUMIFS(tblDaily[TransfersOut],tblDaily[EntryDate],DATE(2026,2,14),tblDaily[WardCode],"FAE")),"")</f>
        <v/>
      </c>
      <c r="O61" s="14" t="str">
        <f>IFERROR(IF(SUMIFS(tblDaily[Remaining],tblDaily[EntryDate],DATE(2026,2,14),tblDaily[WardCode],"FAE")=0,"",SUMIFS(tblDaily[Remaining],tblDaily[EntryDate],DATE(2026,2,14),tblDaily[WardCode],"FAE")),"")</f>
        <v/>
      </c>
      <c r="P61" s="15" t="str">
        <f t="shared" si="1"/>
        <v/>
      </c>
    </row>
    <row r="62" spans="1:16" x14ac:dyDescent="0.25">
      <c r="A62" s="14">
        <v>15</v>
      </c>
      <c r="B62" s="14" t="str">
        <f>IFERROR(IF(SUMIFS(tblDaily[Admissions],tblDaily[EntryDate],DATE(2026,2,15),tblDaily[WardCode],"MAE")=0,"",SUMIFS(tblDaily[Admissions],tblDaily[EntryDate],DATE(2026,2,15),tblDaily[WardCode],"MAE")),"")</f>
        <v/>
      </c>
      <c r="C62" s="14" t="str">
        <f>IFERROR(IF(SUMIFS(tblDaily[Discharges],tblDaily[EntryDate],DATE(2026,2,15),tblDaily[WardCode],"MAE")=0,"",SUMIFS(tblDaily[Discharges],tblDaily[EntryDate],DATE(2026,2,15),tblDaily[WardCode],"MAE")),"")</f>
        <v/>
      </c>
      <c r="D62" s="14" t="str">
        <f>IFERROR(IF(SUMIFS(tblDaily[Deaths],tblDaily[EntryDate],DATE(2026,2,15),tblDaily[WardCode],"MAE")=0,"",SUMIFS(tblDaily[Deaths],tblDaily[EntryDate],DATE(2026,2,15),tblDaily[WardCode],"MAE")),"")</f>
        <v/>
      </c>
      <c r="E62" s="14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14" t="str">
        <f>IFERROR(IF(SUMIFS(tblDaily[TransfersIn],tblDaily[EntryDate],DATE(2026,2,15),tblDaily[WardCode],"MAE")=0,"",SUMIFS(tblDaily[TransfersIn],tblDaily[EntryDate],DATE(2026,2,15),tblDaily[WardCode],"MAE")),"")</f>
        <v/>
      </c>
      <c r="G62" s="14" t="str">
        <f>IFERROR(IF(SUMIFS(tblDaily[TransfersOut],tblDaily[EntryDate],DATE(2026,2,15),tblDaily[WardCode],"MAE")=0,"",SUMIFS(tblDaily[TransfersOut],tblDaily[EntryDate],DATE(2026,2,15),tblDaily[WardCode],"MAE")),"")</f>
        <v/>
      </c>
      <c r="H62" s="14" t="str">
        <f>IFERROR(IF(SUMIFS(tblDaily[Remaining],tblDaily[EntryDate],DATE(2026,2,15),tblDaily[WardCode],"MAE")=0,"",SUMIFS(tblDaily[Remaining],tblDaily[EntryDate],DATE(2026,2,15),tblDaily[WardCode],"MAE")),"")</f>
        <v/>
      </c>
      <c r="I62" s="14" t="str">
        <f>IFERROR(IF(SUMIFS(tblDaily[Admissions],tblDaily[EntryDate],DATE(2026,2,15),tblDaily[WardCode],"FAE")=0,"",SUMIFS(tblDaily[Admissions],tblDaily[EntryDate],DATE(2026,2,15),tblDaily[WardCode],"FAE")),"")</f>
        <v/>
      </c>
      <c r="J62" s="14" t="str">
        <f>IFERROR(IF(SUMIFS(tblDaily[Discharges],tblDaily[EntryDate],DATE(2026,2,15),tblDaily[WardCode],"FAE")=0,"",SUMIFS(tblDaily[Discharges],tblDaily[EntryDate],DATE(2026,2,15),tblDaily[WardCode],"FAE")),"")</f>
        <v/>
      </c>
      <c r="K62" s="14" t="str">
        <f>IFERROR(IF(SUMIFS(tblDaily[Deaths],tblDaily[EntryDate],DATE(2026,2,15),tblDaily[WardCode],"FAE")=0,"",SUMIFS(tblDaily[Deaths],tblDaily[EntryDate],DATE(2026,2,15),tblDaily[WardCode],"FAE")),"")</f>
        <v/>
      </c>
      <c r="L62" s="14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14" t="str">
        <f>IFERROR(IF(SUMIFS(tblDaily[TransfersIn],tblDaily[EntryDate],DATE(2026,2,15),tblDaily[WardCode],"FAE")=0,"",SUMIFS(tblDaily[TransfersIn],tblDaily[EntryDate],DATE(2026,2,15),tblDaily[WardCode],"FAE")),"")</f>
        <v/>
      </c>
      <c r="N62" s="14" t="str">
        <f>IFERROR(IF(SUMIFS(tblDaily[TransfersOut],tblDaily[EntryDate],DATE(2026,2,15),tblDaily[WardCode],"FAE")=0,"",SUMIFS(tblDaily[TransfersOut],tblDaily[EntryDate],DATE(2026,2,15),tblDaily[WardCode],"FAE")),"")</f>
        <v/>
      </c>
      <c r="O62" s="14" t="str">
        <f>IFERROR(IF(SUMIFS(tblDaily[Remaining],tblDaily[EntryDate],DATE(2026,2,15),tblDaily[WardCode],"FAE")=0,"",SUMIFS(tblDaily[Remaining],tblDaily[EntryDate],DATE(2026,2,15),tblDaily[WardCode],"FAE")),"")</f>
        <v/>
      </c>
      <c r="P62" s="15" t="str">
        <f t="shared" si="1"/>
        <v/>
      </c>
    </row>
    <row r="63" spans="1:16" x14ac:dyDescent="0.25">
      <c r="A63" s="14">
        <v>16</v>
      </c>
      <c r="B63" s="14" t="str">
        <f>IFERROR(IF(SUMIFS(tblDaily[Admissions],tblDaily[EntryDate],DATE(2026,2,16),tblDaily[WardCode],"MAE")=0,"",SUMIFS(tblDaily[Admissions],tblDaily[EntryDate],DATE(2026,2,16),tblDaily[WardCode],"MAE")),"")</f>
        <v/>
      </c>
      <c r="C63" s="14" t="str">
        <f>IFERROR(IF(SUMIFS(tblDaily[Discharges],tblDaily[EntryDate],DATE(2026,2,16),tblDaily[WardCode],"MAE")=0,"",SUMIFS(tblDaily[Discharges],tblDaily[EntryDate],DATE(2026,2,16),tblDaily[WardCode],"MAE")),"")</f>
        <v/>
      </c>
      <c r="D63" s="14" t="str">
        <f>IFERROR(IF(SUMIFS(tblDaily[Deaths],tblDaily[EntryDate],DATE(2026,2,16),tblDaily[WardCode],"MAE")=0,"",SUMIFS(tblDaily[Deaths],tblDaily[EntryDate],DATE(2026,2,16),tblDaily[WardCode],"MAE")),"")</f>
        <v/>
      </c>
      <c r="E63" s="14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14" t="str">
        <f>IFERROR(IF(SUMIFS(tblDaily[TransfersIn],tblDaily[EntryDate],DATE(2026,2,16),tblDaily[WardCode],"MAE")=0,"",SUMIFS(tblDaily[TransfersIn],tblDaily[EntryDate],DATE(2026,2,16),tblDaily[WardCode],"MAE")),"")</f>
        <v/>
      </c>
      <c r="G63" s="14" t="str">
        <f>IFERROR(IF(SUMIFS(tblDaily[TransfersOut],tblDaily[EntryDate],DATE(2026,2,16),tblDaily[WardCode],"MAE")=0,"",SUMIFS(tblDaily[TransfersOut],tblDaily[EntryDate],DATE(2026,2,16),tblDaily[WardCode],"MAE")),"")</f>
        <v/>
      </c>
      <c r="H63" s="14" t="str">
        <f>IFERROR(IF(SUMIFS(tblDaily[Remaining],tblDaily[EntryDate],DATE(2026,2,16),tblDaily[WardCode],"MAE")=0,"",SUMIFS(tblDaily[Remaining],tblDaily[EntryDate],DATE(2026,2,16),tblDaily[WardCode],"MAE")),"")</f>
        <v/>
      </c>
      <c r="I63" s="14" t="str">
        <f>IFERROR(IF(SUMIFS(tblDaily[Admissions],tblDaily[EntryDate],DATE(2026,2,16),tblDaily[WardCode],"FAE")=0,"",SUMIFS(tblDaily[Admissions],tblDaily[EntryDate],DATE(2026,2,16),tblDaily[WardCode],"FAE")),"")</f>
        <v/>
      </c>
      <c r="J63" s="14" t="str">
        <f>IFERROR(IF(SUMIFS(tblDaily[Discharges],tblDaily[EntryDate],DATE(2026,2,16),tblDaily[WardCode],"FAE")=0,"",SUMIFS(tblDaily[Discharges],tblDaily[EntryDate],DATE(2026,2,16),tblDaily[WardCode],"FAE")),"")</f>
        <v/>
      </c>
      <c r="K63" s="14" t="str">
        <f>IFERROR(IF(SUMIFS(tblDaily[Deaths],tblDaily[EntryDate],DATE(2026,2,16),tblDaily[WardCode],"FAE")=0,"",SUMIFS(tblDaily[Deaths],tblDaily[EntryDate],DATE(2026,2,16),tblDaily[WardCode],"FAE")),"")</f>
        <v/>
      </c>
      <c r="L63" s="14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14" t="str">
        <f>IFERROR(IF(SUMIFS(tblDaily[TransfersIn],tblDaily[EntryDate],DATE(2026,2,16),tblDaily[WardCode],"FAE")=0,"",SUMIFS(tblDaily[TransfersIn],tblDaily[EntryDate],DATE(2026,2,16),tblDaily[WardCode],"FAE")),"")</f>
        <v/>
      </c>
      <c r="N63" s="14" t="str">
        <f>IFERROR(IF(SUMIFS(tblDaily[TransfersOut],tblDaily[EntryDate],DATE(2026,2,16),tblDaily[WardCode],"FAE")=0,"",SUMIFS(tblDaily[TransfersOut],tblDaily[EntryDate],DATE(2026,2,16),tblDaily[WardCode],"FAE")),"")</f>
        <v/>
      </c>
      <c r="O63" s="14" t="str">
        <f>IFERROR(IF(SUMIFS(tblDaily[Remaining],tblDaily[EntryDate],DATE(2026,2,16),tblDaily[WardCode],"FAE")=0,"",SUMIFS(tblDaily[Remaining],tblDaily[EntryDate],DATE(2026,2,16),tblDaily[WardCode],"FAE")),"")</f>
        <v/>
      </c>
      <c r="P63" s="15" t="str">
        <f t="shared" si="1"/>
        <v/>
      </c>
    </row>
    <row r="64" spans="1:16" x14ac:dyDescent="0.25">
      <c r="A64" s="14">
        <v>17</v>
      </c>
      <c r="B64" s="14" t="str">
        <f>IFERROR(IF(SUMIFS(tblDaily[Admissions],tblDaily[EntryDate],DATE(2026,2,17),tblDaily[WardCode],"MAE")=0,"",SUMIFS(tblDaily[Admissions],tblDaily[EntryDate],DATE(2026,2,17),tblDaily[WardCode],"MAE")),"")</f>
        <v/>
      </c>
      <c r="C64" s="14" t="str">
        <f>IFERROR(IF(SUMIFS(tblDaily[Discharges],tblDaily[EntryDate],DATE(2026,2,17),tblDaily[WardCode],"MAE")=0,"",SUMIFS(tblDaily[Discharges],tblDaily[EntryDate],DATE(2026,2,17),tblDaily[WardCode],"MAE")),"")</f>
        <v/>
      </c>
      <c r="D64" s="14" t="str">
        <f>IFERROR(IF(SUMIFS(tblDaily[Deaths],tblDaily[EntryDate],DATE(2026,2,17),tblDaily[WardCode],"MAE")=0,"",SUMIFS(tblDaily[Deaths],tblDaily[EntryDate],DATE(2026,2,17),tblDaily[WardCode],"MAE")),"")</f>
        <v/>
      </c>
      <c r="E64" s="14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14" t="str">
        <f>IFERROR(IF(SUMIFS(tblDaily[TransfersIn],tblDaily[EntryDate],DATE(2026,2,17),tblDaily[WardCode],"MAE")=0,"",SUMIFS(tblDaily[TransfersIn],tblDaily[EntryDate],DATE(2026,2,17),tblDaily[WardCode],"MAE")),"")</f>
        <v/>
      </c>
      <c r="G64" s="14" t="str">
        <f>IFERROR(IF(SUMIFS(tblDaily[TransfersOut],tblDaily[EntryDate],DATE(2026,2,17),tblDaily[WardCode],"MAE")=0,"",SUMIFS(tblDaily[TransfersOut],tblDaily[EntryDate],DATE(2026,2,17),tblDaily[WardCode],"MAE")),"")</f>
        <v/>
      </c>
      <c r="H64" s="14" t="str">
        <f>IFERROR(IF(SUMIFS(tblDaily[Remaining],tblDaily[EntryDate],DATE(2026,2,17),tblDaily[WardCode],"MAE")=0,"",SUMIFS(tblDaily[Remaining],tblDaily[EntryDate],DATE(2026,2,17),tblDaily[WardCode],"MAE")),"")</f>
        <v/>
      </c>
      <c r="I64" s="14" t="str">
        <f>IFERROR(IF(SUMIFS(tblDaily[Admissions],tblDaily[EntryDate],DATE(2026,2,17),tblDaily[WardCode],"FAE")=0,"",SUMIFS(tblDaily[Admissions],tblDaily[EntryDate],DATE(2026,2,17),tblDaily[WardCode],"FAE")),"")</f>
        <v/>
      </c>
      <c r="J64" s="14" t="str">
        <f>IFERROR(IF(SUMIFS(tblDaily[Discharges],tblDaily[EntryDate],DATE(2026,2,17),tblDaily[WardCode],"FAE")=0,"",SUMIFS(tblDaily[Discharges],tblDaily[EntryDate],DATE(2026,2,17),tblDaily[WardCode],"FAE")),"")</f>
        <v/>
      </c>
      <c r="K64" s="14" t="str">
        <f>IFERROR(IF(SUMIFS(tblDaily[Deaths],tblDaily[EntryDate],DATE(2026,2,17),tblDaily[WardCode],"FAE")=0,"",SUMIFS(tblDaily[Deaths],tblDaily[EntryDate],DATE(2026,2,17),tblDaily[WardCode],"FAE")),"")</f>
        <v/>
      </c>
      <c r="L64" s="14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14" t="str">
        <f>IFERROR(IF(SUMIFS(tblDaily[TransfersIn],tblDaily[EntryDate],DATE(2026,2,17),tblDaily[WardCode],"FAE")=0,"",SUMIFS(tblDaily[TransfersIn],tblDaily[EntryDate],DATE(2026,2,17),tblDaily[WardCode],"FAE")),"")</f>
        <v/>
      </c>
      <c r="N64" s="14" t="str">
        <f>IFERROR(IF(SUMIFS(tblDaily[TransfersOut],tblDaily[EntryDate],DATE(2026,2,17),tblDaily[WardCode],"FAE")=0,"",SUMIFS(tblDaily[TransfersOut],tblDaily[EntryDate],DATE(2026,2,17),tblDaily[WardCode],"FAE")),"")</f>
        <v/>
      </c>
      <c r="O64" s="14" t="str">
        <f>IFERROR(IF(SUMIFS(tblDaily[Remaining],tblDaily[EntryDate],DATE(2026,2,17),tblDaily[WardCode],"FAE")=0,"",SUMIFS(tblDaily[Remaining],tblDaily[EntryDate],DATE(2026,2,17),tblDaily[WardCode],"FAE")),"")</f>
        <v/>
      </c>
      <c r="P64" s="15" t="str">
        <f t="shared" si="1"/>
        <v/>
      </c>
    </row>
    <row r="65" spans="1:16" x14ac:dyDescent="0.25">
      <c r="A65" s="14">
        <v>18</v>
      </c>
      <c r="B65" s="14" t="str">
        <f>IFERROR(IF(SUMIFS(tblDaily[Admissions],tblDaily[EntryDate],DATE(2026,2,18),tblDaily[WardCode],"MAE")=0,"",SUMIFS(tblDaily[Admissions],tblDaily[EntryDate],DATE(2026,2,18),tblDaily[WardCode],"MAE")),"")</f>
        <v/>
      </c>
      <c r="C65" s="14" t="str">
        <f>IFERROR(IF(SUMIFS(tblDaily[Discharges],tblDaily[EntryDate],DATE(2026,2,18),tblDaily[WardCode],"MAE")=0,"",SUMIFS(tblDaily[Discharges],tblDaily[EntryDate],DATE(2026,2,18),tblDaily[WardCode],"MAE")),"")</f>
        <v/>
      </c>
      <c r="D65" s="14" t="str">
        <f>IFERROR(IF(SUMIFS(tblDaily[Deaths],tblDaily[EntryDate],DATE(2026,2,18),tblDaily[WardCode],"MAE")=0,"",SUMIFS(tblDaily[Deaths],tblDaily[EntryDate],DATE(2026,2,18),tblDaily[WardCode],"MAE")),"")</f>
        <v/>
      </c>
      <c r="E65" s="14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14" t="str">
        <f>IFERROR(IF(SUMIFS(tblDaily[TransfersIn],tblDaily[EntryDate],DATE(2026,2,18),tblDaily[WardCode],"MAE")=0,"",SUMIFS(tblDaily[TransfersIn],tblDaily[EntryDate],DATE(2026,2,18),tblDaily[WardCode],"MAE")),"")</f>
        <v/>
      </c>
      <c r="G65" s="14" t="str">
        <f>IFERROR(IF(SUMIFS(tblDaily[TransfersOut],tblDaily[EntryDate],DATE(2026,2,18),tblDaily[WardCode],"MAE")=0,"",SUMIFS(tblDaily[TransfersOut],tblDaily[EntryDate],DATE(2026,2,18),tblDaily[WardCode],"MAE")),"")</f>
        <v/>
      </c>
      <c r="H65" s="14" t="str">
        <f>IFERROR(IF(SUMIFS(tblDaily[Remaining],tblDaily[EntryDate],DATE(2026,2,18),tblDaily[WardCode],"MAE")=0,"",SUMIFS(tblDaily[Remaining],tblDaily[EntryDate],DATE(2026,2,18),tblDaily[WardCode],"MAE")),"")</f>
        <v/>
      </c>
      <c r="I65" s="14" t="str">
        <f>IFERROR(IF(SUMIFS(tblDaily[Admissions],tblDaily[EntryDate],DATE(2026,2,18),tblDaily[WardCode],"FAE")=0,"",SUMIFS(tblDaily[Admissions],tblDaily[EntryDate],DATE(2026,2,18),tblDaily[WardCode],"FAE")),"")</f>
        <v/>
      </c>
      <c r="J65" s="14" t="str">
        <f>IFERROR(IF(SUMIFS(tblDaily[Discharges],tblDaily[EntryDate],DATE(2026,2,18),tblDaily[WardCode],"FAE")=0,"",SUMIFS(tblDaily[Discharges],tblDaily[EntryDate],DATE(2026,2,18),tblDaily[WardCode],"FAE")),"")</f>
        <v/>
      </c>
      <c r="K65" s="14" t="str">
        <f>IFERROR(IF(SUMIFS(tblDaily[Deaths],tblDaily[EntryDate],DATE(2026,2,18),tblDaily[WardCode],"FAE")=0,"",SUMIFS(tblDaily[Deaths],tblDaily[EntryDate],DATE(2026,2,18),tblDaily[WardCode],"FAE")),"")</f>
        <v/>
      </c>
      <c r="L65" s="14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14" t="str">
        <f>IFERROR(IF(SUMIFS(tblDaily[TransfersIn],tblDaily[EntryDate],DATE(2026,2,18),tblDaily[WardCode],"FAE")=0,"",SUMIFS(tblDaily[TransfersIn],tblDaily[EntryDate],DATE(2026,2,18),tblDaily[WardCode],"FAE")),"")</f>
        <v/>
      </c>
      <c r="N65" s="14" t="str">
        <f>IFERROR(IF(SUMIFS(tblDaily[TransfersOut],tblDaily[EntryDate],DATE(2026,2,18),tblDaily[WardCode],"FAE")=0,"",SUMIFS(tblDaily[TransfersOut],tblDaily[EntryDate],DATE(2026,2,18),tblDaily[WardCode],"FAE")),"")</f>
        <v/>
      </c>
      <c r="O65" s="14" t="str">
        <f>IFERROR(IF(SUMIFS(tblDaily[Remaining],tblDaily[EntryDate],DATE(2026,2,18),tblDaily[WardCode],"FAE")=0,"",SUMIFS(tblDaily[Remaining],tblDaily[EntryDate],DATE(2026,2,18),tblDaily[WardCode],"FAE")),"")</f>
        <v/>
      </c>
      <c r="P65" s="15" t="str">
        <f t="shared" si="1"/>
        <v/>
      </c>
    </row>
    <row r="66" spans="1:16" x14ac:dyDescent="0.25">
      <c r="A66" s="14">
        <v>19</v>
      </c>
      <c r="B66" s="14" t="str">
        <f>IFERROR(IF(SUMIFS(tblDaily[Admissions],tblDaily[EntryDate],DATE(2026,2,19),tblDaily[WardCode],"MAE")=0,"",SUMIFS(tblDaily[Admissions],tblDaily[EntryDate],DATE(2026,2,19),tblDaily[WardCode],"MAE")),"")</f>
        <v/>
      </c>
      <c r="C66" s="14" t="str">
        <f>IFERROR(IF(SUMIFS(tblDaily[Discharges],tblDaily[EntryDate],DATE(2026,2,19),tblDaily[WardCode],"MAE")=0,"",SUMIFS(tblDaily[Discharges],tblDaily[EntryDate],DATE(2026,2,19),tblDaily[WardCode],"MAE")),"")</f>
        <v/>
      </c>
      <c r="D66" s="14" t="str">
        <f>IFERROR(IF(SUMIFS(tblDaily[Deaths],tblDaily[EntryDate],DATE(2026,2,19),tblDaily[WardCode],"MAE")=0,"",SUMIFS(tblDaily[Deaths],tblDaily[EntryDate],DATE(2026,2,19),tblDaily[WardCode],"MAE")),"")</f>
        <v/>
      </c>
      <c r="E66" s="14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14" t="str">
        <f>IFERROR(IF(SUMIFS(tblDaily[TransfersIn],tblDaily[EntryDate],DATE(2026,2,19),tblDaily[WardCode],"MAE")=0,"",SUMIFS(tblDaily[TransfersIn],tblDaily[EntryDate],DATE(2026,2,19),tblDaily[WardCode],"MAE")),"")</f>
        <v/>
      </c>
      <c r="G66" s="14" t="str">
        <f>IFERROR(IF(SUMIFS(tblDaily[TransfersOut],tblDaily[EntryDate],DATE(2026,2,19),tblDaily[WardCode],"MAE")=0,"",SUMIFS(tblDaily[TransfersOut],tblDaily[EntryDate],DATE(2026,2,19),tblDaily[WardCode],"MAE")),"")</f>
        <v/>
      </c>
      <c r="H66" s="14" t="str">
        <f>IFERROR(IF(SUMIFS(tblDaily[Remaining],tblDaily[EntryDate],DATE(2026,2,19),tblDaily[WardCode],"MAE")=0,"",SUMIFS(tblDaily[Remaining],tblDaily[EntryDate],DATE(2026,2,19),tblDaily[WardCode],"MAE")),"")</f>
        <v/>
      </c>
      <c r="I66" s="14" t="str">
        <f>IFERROR(IF(SUMIFS(tblDaily[Admissions],tblDaily[EntryDate],DATE(2026,2,19),tblDaily[WardCode],"FAE")=0,"",SUMIFS(tblDaily[Admissions],tblDaily[EntryDate],DATE(2026,2,19),tblDaily[WardCode],"FAE")),"")</f>
        <v/>
      </c>
      <c r="J66" s="14" t="str">
        <f>IFERROR(IF(SUMIFS(tblDaily[Discharges],tblDaily[EntryDate],DATE(2026,2,19),tblDaily[WardCode],"FAE")=0,"",SUMIFS(tblDaily[Discharges],tblDaily[EntryDate],DATE(2026,2,19),tblDaily[WardCode],"FAE")),"")</f>
        <v/>
      </c>
      <c r="K66" s="14" t="str">
        <f>IFERROR(IF(SUMIFS(tblDaily[Deaths],tblDaily[EntryDate],DATE(2026,2,19),tblDaily[WardCode],"FAE")=0,"",SUMIFS(tblDaily[Deaths],tblDaily[EntryDate],DATE(2026,2,19),tblDaily[WardCode],"FAE")),"")</f>
        <v/>
      </c>
      <c r="L66" s="14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14" t="str">
        <f>IFERROR(IF(SUMIFS(tblDaily[TransfersIn],tblDaily[EntryDate],DATE(2026,2,19),tblDaily[WardCode],"FAE")=0,"",SUMIFS(tblDaily[TransfersIn],tblDaily[EntryDate],DATE(2026,2,19),tblDaily[WardCode],"FAE")),"")</f>
        <v/>
      </c>
      <c r="N66" s="14" t="str">
        <f>IFERROR(IF(SUMIFS(tblDaily[TransfersOut],tblDaily[EntryDate],DATE(2026,2,19),tblDaily[WardCode],"FAE")=0,"",SUMIFS(tblDaily[TransfersOut],tblDaily[EntryDate],DATE(2026,2,19),tblDaily[WardCode],"FAE")),"")</f>
        <v/>
      </c>
      <c r="O66" s="14" t="str">
        <f>IFERROR(IF(SUMIFS(tblDaily[Remaining],tblDaily[EntryDate],DATE(2026,2,19),tblDaily[WardCode],"FAE")=0,"",SUMIFS(tblDaily[Remaining],tblDaily[EntryDate],DATE(2026,2,19),tblDaily[WardCode],"FAE")),"")</f>
        <v/>
      </c>
      <c r="P66" s="15" t="str">
        <f t="shared" si="1"/>
        <v/>
      </c>
    </row>
    <row r="67" spans="1:16" x14ac:dyDescent="0.25">
      <c r="A67" s="14">
        <v>20</v>
      </c>
      <c r="B67" s="14" t="str">
        <f>IFERROR(IF(SUMIFS(tblDaily[Admissions],tblDaily[EntryDate],DATE(2026,2,20),tblDaily[WardCode],"MAE")=0,"",SUMIFS(tblDaily[Admissions],tblDaily[EntryDate],DATE(2026,2,20),tblDaily[WardCode],"MAE")),"")</f>
        <v/>
      </c>
      <c r="C67" s="14" t="str">
        <f>IFERROR(IF(SUMIFS(tblDaily[Discharges],tblDaily[EntryDate],DATE(2026,2,20),tblDaily[WardCode],"MAE")=0,"",SUMIFS(tblDaily[Discharges],tblDaily[EntryDate],DATE(2026,2,20),tblDaily[WardCode],"MAE")),"")</f>
        <v/>
      </c>
      <c r="D67" s="14" t="str">
        <f>IFERROR(IF(SUMIFS(tblDaily[Deaths],tblDaily[EntryDate],DATE(2026,2,20),tblDaily[WardCode],"MAE")=0,"",SUMIFS(tblDaily[Deaths],tblDaily[EntryDate],DATE(2026,2,20),tblDaily[WardCode],"MAE")),"")</f>
        <v/>
      </c>
      <c r="E67" s="14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14" t="str">
        <f>IFERROR(IF(SUMIFS(tblDaily[TransfersIn],tblDaily[EntryDate],DATE(2026,2,20),tblDaily[WardCode],"MAE")=0,"",SUMIFS(tblDaily[TransfersIn],tblDaily[EntryDate],DATE(2026,2,20),tblDaily[WardCode],"MAE")),"")</f>
        <v/>
      </c>
      <c r="G67" s="14" t="str">
        <f>IFERROR(IF(SUMIFS(tblDaily[TransfersOut],tblDaily[EntryDate],DATE(2026,2,20),tblDaily[WardCode],"MAE")=0,"",SUMIFS(tblDaily[TransfersOut],tblDaily[EntryDate],DATE(2026,2,20),tblDaily[WardCode],"MAE")),"")</f>
        <v/>
      </c>
      <c r="H67" s="14" t="str">
        <f>IFERROR(IF(SUMIFS(tblDaily[Remaining],tblDaily[EntryDate],DATE(2026,2,20),tblDaily[WardCode],"MAE")=0,"",SUMIFS(tblDaily[Remaining],tblDaily[EntryDate],DATE(2026,2,20),tblDaily[WardCode],"MAE")),"")</f>
        <v/>
      </c>
      <c r="I67" s="14" t="str">
        <f>IFERROR(IF(SUMIFS(tblDaily[Admissions],tblDaily[EntryDate],DATE(2026,2,20),tblDaily[WardCode],"FAE")=0,"",SUMIFS(tblDaily[Admissions],tblDaily[EntryDate],DATE(2026,2,20),tblDaily[WardCode],"FAE")),"")</f>
        <v/>
      </c>
      <c r="J67" s="14" t="str">
        <f>IFERROR(IF(SUMIFS(tblDaily[Discharges],tblDaily[EntryDate],DATE(2026,2,20),tblDaily[WardCode],"FAE")=0,"",SUMIFS(tblDaily[Discharges],tblDaily[EntryDate],DATE(2026,2,20),tblDaily[WardCode],"FAE")),"")</f>
        <v/>
      </c>
      <c r="K67" s="14" t="str">
        <f>IFERROR(IF(SUMIFS(tblDaily[Deaths],tblDaily[EntryDate],DATE(2026,2,20),tblDaily[WardCode],"FAE")=0,"",SUMIFS(tblDaily[Deaths],tblDaily[EntryDate],DATE(2026,2,20),tblDaily[WardCode],"FAE")),"")</f>
        <v/>
      </c>
      <c r="L67" s="14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14" t="str">
        <f>IFERROR(IF(SUMIFS(tblDaily[TransfersIn],tblDaily[EntryDate],DATE(2026,2,20),tblDaily[WardCode],"FAE")=0,"",SUMIFS(tblDaily[TransfersIn],tblDaily[EntryDate],DATE(2026,2,20),tblDaily[WardCode],"FAE")),"")</f>
        <v/>
      </c>
      <c r="N67" s="14" t="str">
        <f>IFERROR(IF(SUMIFS(tblDaily[TransfersOut],tblDaily[EntryDate],DATE(2026,2,20),tblDaily[WardCode],"FAE")=0,"",SUMIFS(tblDaily[TransfersOut],tblDaily[EntryDate],DATE(2026,2,20),tblDaily[WardCode],"FAE")),"")</f>
        <v/>
      </c>
      <c r="O67" s="14" t="str">
        <f>IFERROR(IF(SUMIFS(tblDaily[Remaining],tblDaily[EntryDate],DATE(2026,2,20),tblDaily[WardCode],"FAE")=0,"",SUMIFS(tblDaily[Remaining],tblDaily[EntryDate],DATE(2026,2,20),tblDaily[WardCode],"FAE")),"")</f>
        <v/>
      </c>
      <c r="P67" s="15" t="str">
        <f t="shared" si="1"/>
        <v/>
      </c>
    </row>
    <row r="68" spans="1:16" x14ac:dyDescent="0.25">
      <c r="A68" s="14">
        <v>21</v>
      </c>
      <c r="B68" s="14" t="str">
        <f>IFERROR(IF(SUMIFS(tblDaily[Admissions],tblDaily[EntryDate],DATE(2026,2,21),tblDaily[WardCode],"MAE")=0,"",SUMIFS(tblDaily[Admissions],tblDaily[EntryDate],DATE(2026,2,21),tblDaily[WardCode],"MAE")),"")</f>
        <v/>
      </c>
      <c r="C68" s="14" t="str">
        <f>IFERROR(IF(SUMIFS(tblDaily[Discharges],tblDaily[EntryDate],DATE(2026,2,21),tblDaily[WardCode],"MAE")=0,"",SUMIFS(tblDaily[Discharges],tblDaily[EntryDate],DATE(2026,2,21),tblDaily[WardCode],"MAE")),"")</f>
        <v/>
      </c>
      <c r="D68" s="14" t="str">
        <f>IFERROR(IF(SUMIFS(tblDaily[Deaths],tblDaily[EntryDate],DATE(2026,2,21),tblDaily[WardCode],"MAE")=0,"",SUMIFS(tblDaily[Deaths],tblDaily[EntryDate],DATE(2026,2,21),tblDaily[WardCode],"MAE")),"")</f>
        <v/>
      </c>
      <c r="E68" s="14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14" t="str">
        <f>IFERROR(IF(SUMIFS(tblDaily[TransfersIn],tblDaily[EntryDate],DATE(2026,2,21),tblDaily[WardCode],"MAE")=0,"",SUMIFS(tblDaily[TransfersIn],tblDaily[EntryDate],DATE(2026,2,21),tblDaily[WardCode],"MAE")),"")</f>
        <v/>
      </c>
      <c r="G68" s="14" t="str">
        <f>IFERROR(IF(SUMIFS(tblDaily[TransfersOut],tblDaily[EntryDate],DATE(2026,2,21),tblDaily[WardCode],"MAE")=0,"",SUMIFS(tblDaily[TransfersOut],tblDaily[EntryDate],DATE(2026,2,21),tblDaily[WardCode],"MAE")),"")</f>
        <v/>
      </c>
      <c r="H68" s="14" t="str">
        <f>IFERROR(IF(SUMIFS(tblDaily[Remaining],tblDaily[EntryDate],DATE(2026,2,21),tblDaily[WardCode],"MAE")=0,"",SUMIFS(tblDaily[Remaining],tblDaily[EntryDate],DATE(2026,2,21),tblDaily[WardCode],"MAE")),"")</f>
        <v/>
      </c>
      <c r="I68" s="14" t="str">
        <f>IFERROR(IF(SUMIFS(tblDaily[Admissions],tblDaily[EntryDate],DATE(2026,2,21),tblDaily[WardCode],"FAE")=0,"",SUMIFS(tblDaily[Admissions],tblDaily[EntryDate],DATE(2026,2,21),tblDaily[WardCode],"FAE")),"")</f>
        <v/>
      </c>
      <c r="J68" s="14" t="str">
        <f>IFERROR(IF(SUMIFS(tblDaily[Discharges],tblDaily[EntryDate],DATE(2026,2,21),tblDaily[WardCode],"FAE")=0,"",SUMIFS(tblDaily[Discharges],tblDaily[EntryDate],DATE(2026,2,21),tblDaily[WardCode],"FAE")),"")</f>
        <v/>
      </c>
      <c r="K68" s="14" t="str">
        <f>IFERROR(IF(SUMIFS(tblDaily[Deaths],tblDaily[EntryDate],DATE(2026,2,21),tblDaily[WardCode],"FAE")=0,"",SUMIFS(tblDaily[Deaths],tblDaily[EntryDate],DATE(2026,2,21),tblDaily[WardCode],"FAE")),"")</f>
        <v/>
      </c>
      <c r="L68" s="14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14" t="str">
        <f>IFERROR(IF(SUMIFS(tblDaily[TransfersIn],tblDaily[EntryDate],DATE(2026,2,21),tblDaily[WardCode],"FAE")=0,"",SUMIFS(tblDaily[TransfersIn],tblDaily[EntryDate],DATE(2026,2,21),tblDaily[WardCode],"FAE")),"")</f>
        <v/>
      </c>
      <c r="N68" s="14" t="str">
        <f>IFERROR(IF(SUMIFS(tblDaily[TransfersOut],tblDaily[EntryDate],DATE(2026,2,21),tblDaily[WardCode],"FAE")=0,"",SUMIFS(tblDaily[TransfersOut],tblDaily[EntryDate],DATE(2026,2,21),tblDaily[WardCode],"FAE")),"")</f>
        <v/>
      </c>
      <c r="O68" s="14" t="str">
        <f>IFERROR(IF(SUMIFS(tblDaily[Remaining],tblDaily[EntryDate],DATE(2026,2,21),tblDaily[WardCode],"FAE")=0,"",SUMIFS(tblDaily[Remaining],tblDaily[EntryDate],DATE(2026,2,21),tblDaily[WardCode],"FAE")),"")</f>
        <v/>
      </c>
      <c r="P68" s="15" t="str">
        <f t="shared" si="1"/>
        <v/>
      </c>
    </row>
    <row r="69" spans="1:16" x14ac:dyDescent="0.25">
      <c r="A69" s="14">
        <v>22</v>
      </c>
      <c r="B69" s="14" t="str">
        <f>IFERROR(IF(SUMIFS(tblDaily[Admissions],tblDaily[EntryDate],DATE(2026,2,22),tblDaily[WardCode],"MAE")=0,"",SUMIFS(tblDaily[Admissions],tblDaily[EntryDate],DATE(2026,2,22),tblDaily[WardCode],"MAE")),"")</f>
        <v/>
      </c>
      <c r="C69" s="14" t="str">
        <f>IFERROR(IF(SUMIFS(tblDaily[Discharges],tblDaily[EntryDate],DATE(2026,2,22),tblDaily[WardCode],"MAE")=0,"",SUMIFS(tblDaily[Discharges],tblDaily[EntryDate],DATE(2026,2,22),tblDaily[WardCode],"MAE")),"")</f>
        <v/>
      </c>
      <c r="D69" s="14" t="str">
        <f>IFERROR(IF(SUMIFS(tblDaily[Deaths],tblDaily[EntryDate],DATE(2026,2,22),tblDaily[WardCode],"MAE")=0,"",SUMIFS(tblDaily[Deaths],tblDaily[EntryDate],DATE(2026,2,22),tblDaily[WardCode],"MAE")),"")</f>
        <v/>
      </c>
      <c r="E69" s="14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14" t="str">
        <f>IFERROR(IF(SUMIFS(tblDaily[TransfersIn],tblDaily[EntryDate],DATE(2026,2,22),tblDaily[WardCode],"MAE")=0,"",SUMIFS(tblDaily[TransfersIn],tblDaily[EntryDate],DATE(2026,2,22),tblDaily[WardCode],"MAE")),"")</f>
        <v/>
      </c>
      <c r="G69" s="14" t="str">
        <f>IFERROR(IF(SUMIFS(tblDaily[TransfersOut],tblDaily[EntryDate],DATE(2026,2,22),tblDaily[WardCode],"MAE")=0,"",SUMIFS(tblDaily[TransfersOut],tblDaily[EntryDate],DATE(2026,2,22),tblDaily[WardCode],"MAE")),"")</f>
        <v/>
      </c>
      <c r="H69" s="14" t="str">
        <f>IFERROR(IF(SUMIFS(tblDaily[Remaining],tblDaily[EntryDate],DATE(2026,2,22),tblDaily[WardCode],"MAE")=0,"",SUMIFS(tblDaily[Remaining],tblDaily[EntryDate],DATE(2026,2,22),tblDaily[WardCode],"MAE")),"")</f>
        <v/>
      </c>
      <c r="I69" s="14" t="str">
        <f>IFERROR(IF(SUMIFS(tblDaily[Admissions],tblDaily[EntryDate],DATE(2026,2,22),tblDaily[WardCode],"FAE")=0,"",SUMIFS(tblDaily[Admissions],tblDaily[EntryDate],DATE(2026,2,22),tblDaily[WardCode],"FAE")),"")</f>
        <v/>
      </c>
      <c r="J69" s="14" t="str">
        <f>IFERROR(IF(SUMIFS(tblDaily[Discharges],tblDaily[EntryDate],DATE(2026,2,22),tblDaily[WardCode],"FAE")=0,"",SUMIFS(tblDaily[Discharges],tblDaily[EntryDate],DATE(2026,2,22),tblDaily[WardCode],"FAE")),"")</f>
        <v/>
      </c>
      <c r="K69" s="14" t="str">
        <f>IFERROR(IF(SUMIFS(tblDaily[Deaths],tblDaily[EntryDate],DATE(2026,2,22),tblDaily[WardCode],"FAE")=0,"",SUMIFS(tblDaily[Deaths],tblDaily[EntryDate],DATE(2026,2,22),tblDaily[WardCode],"FAE")),"")</f>
        <v/>
      </c>
      <c r="L69" s="14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14" t="str">
        <f>IFERROR(IF(SUMIFS(tblDaily[TransfersIn],tblDaily[EntryDate],DATE(2026,2,22),tblDaily[WardCode],"FAE")=0,"",SUMIFS(tblDaily[TransfersIn],tblDaily[EntryDate],DATE(2026,2,22),tblDaily[WardCode],"FAE")),"")</f>
        <v/>
      </c>
      <c r="N69" s="14" t="str">
        <f>IFERROR(IF(SUMIFS(tblDaily[TransfersOut],tblDaily[EntryDate],DATE(2026,2,22),tblDaily[WardCode],"FAE")=0,"",SUMIFS(tblDaily[TransfersOut],tblDaily[EntryDate],DATE(2026,2,22),tblDaily[WardCode],"FAE")),"")</f>
        <v/>
      </c>
      <c r="O69" s="14" t="str">
        <f>IFERROR(IF(SUMIFS(tblDaily[Remaining],tblDaily[EntryDate],DATE(2026,2,22),tblDaily[WardCode],"FAE")=0,"",SUMIFS(tblDaily[Remaining],tblDaily[EntryDate],DATE(2026,2,22),tblDaily[WardCode],"FAE")),"")</f>
        <v/>
      </c>
      <c r="P69" s="15" t="str">
        <f t="shared" si="1"/>
        <v/>
      </c>
    </row>
    <row r="70" spans="1:16" x14ac:dyDescent="0.25">
      <c r="A70" s="14">
        <v>23</v>
      </c>
      <c r="B70" s="14" t="str">
        <f>IFERROR(IF(SUMIFS(tblDaily[Admissions],tblDaily[EntryDate],DATE(2026,2,23),tblDaily[WardCode],"MAE")=0,"",SUMIFS(tblDaily[Admissions],tblDaily[EntryDate],DATE(2026,2,23),tblDaily[WardCode],"MAE")),"")</f>
        <v/>
      </c>
      <c r="C70" s="14" t="str">
        <f>IFERROR(IF(SUMIFS(tblDaily[Discharges],tblDaily[EntryDate],DATE(2026,2,23),tblDaily[WardCode],"MAE")=0,"",SUMIFS(tblDaily[Discharges],tblDaily[EntryDate],DATE(2026,2,23),tblDaily[WardCode],"MAE")),"")</f>
        <v/>
      </c>
      <c r="D70" s="14" t="str">
        <f>IFERROR(IF(SUMIFS(tblDaily[Deaths],tblDaily[EntryDate],DATE(2026,2,23),tblDaily[WardCode],"MAE")=0,"",SUMIFS(tblDaily[Deaths],tblDaily[EntryDate],DATE(2026,2,23),tblDaily[WardCode],"MAE")),"")</f>
        <v/>
      </c>
      <c r="E70" s="14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14" t="str">
        <f>IFERROR(IF(SUMIFS(tblDaily[TransfersIn],tblDaily[EntryDate],DATE(2026,2,23),tblDaily[WardCode],"MAE")=0,"",SUMIFS(tblDaily[TransfersIn],tblDaily[EntryDate],DATE(2026,2,23),tblDaily[WardCode],"MAE")),"")</f>
        <v/>
      </c>
      <c r="G70" s="14" t="str">
        <f>IFERROR(IF(SUMIFS(tblDaily[TransfersOut],tblDaily[EntryDate],DATE(2026,2,23),tblDaily[WardCode],"MAE")=0,"",SUMIFS(tblDaily[TransfersOut],tblDaily[EntryDate],DATE(2026,2,23),tblDaily[WardCode],"MAE")),"")</f>
        <v/>
      </c>
      <c r="H70" s="14" t="str">
        <f>IFERROR(IF(SUMIFS(tblDaily[Remaining],tblDaily[EntryDate],DATE(2026,2,23),tblDaily[WardCode],"MAE")=0,"",SUMIFS(tblDaily[Remaining],tblDaily[EntryDate],DATE(2026,2,23),tblDaily[WardCode],"MAE")),"")</f>
        <v/>
      </c>
      <c r="I70" s="14" t="str">
        <f>IFERROR(IF(SUMIFS(tblDaily[Admissions],tblDaily[EntryDate],DATE(2026,2,23),tblDaily[WardCode],"FAE")=0,"",SUMIFS(tblDaily[Admissions],tblDaily[EntryDate],DATE(2026,2,23),tblDaily[WardCode],"FAE")),"")</f>
        <v/>
      </c>
      <c r="J70" s="14" t="str">
        <f>IFERROR(IF(SUMIFS(tblDaily[Discharges],tblDaily[EntryDate],DATE(2026,2,23),tblDaily[WardCode],"FAE")=0,"",SUMIFS(tblDaily[Discharges],tblDaily[EntryDate],DATE(2026,2,23),tblDaily[WardCode],"FAE")),"")</f>
        <v/>
      </c>
      <c r="K70" s="14" t="str">
        <f>IFERROR(IF(SUMIFS(tblDaily[Deaths],tblDaily[EntryDate],DATE(2026,2,23),tblDaily[WardCode],"FAE")=0,"",SUMIFS(tblDaily[Deaths],tblDaily[EntryDate],DATE(2026,2,23),tblDaily[WardCode],"FAE")),"")</f>
        <v/>
      </c>
      <c r="L70" s="14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14" t="str">
        <f>IFERROR(IF(SUMIFS(tblDaily[TransfersIn],tblDaily[EntryDate],DATE(2026,2,23),tblDaily[WardCode],"FAE")=0,"",SUMIFS(tblDaily[TransfersIn],tblDaily[EntryDate],DATE(2026,2,23),tblDaily[WardCode],"FAE")),"")</f>
        <v/>
      </c>
      <c r="N70" s="14" t="str">
        <f>IFERROR(IF(SUMIFS(tblDaily[TransfersOut],tblDaily[EntryDate],DATE(2026,2,23),tblDaily[WardCode],"FAE")=0,"",SUMIFS(tblDaily[TransfersOut],tblDaily[EntryDate],DATE(2026,2,23),tblDaily[WardCode],"FAE")),"")</f>
        <v/>
      </c>
      <c r="O70" s="14" t="str">
        <f>IFERROR(IF(SUMIFS(tblDaily[Remaining],tblDaily[EntryDate],DATE(2026,2,23),tblDaily[WardCode],"FAE")=0,"",SUMIFS(tblDaily[Remaining],tblDaily[EntryDate],DATE(2026,2,23),tblDaily[WardCode],"FAE")),"")</f>
        <v/>
      </c>
      <c r="P70" s="15" t="str">
        <f t="shared" si="1"/>
        <v/>
      </c>
    </row>
    <row r="71" spans="1:16" x14ac:dyDescent="0.25">
      <c r="A71" s="14">
        <v>24</v>
      </c>
      <c r="B71" s="14" t="str">
        <f>IFERROR(IF(SUMIFS(tblDaily[Admissions],tblDaily[EntryDate],DATE(2026,2,24),tblDaily[WardCode],"MAE")=0,"",SUMIFS(tblDaily[Admissions],tblDaily[EntryDate],DATE(2026,2,24),tblDaily[WardCode],"MAE")),"")</f>
        <v/>
      </c>
      <c r="C71" s="14" t="str">
        <f>IFERROR(IF(SUMIFS(tblDaily[Discharges],tblDaily[EntryDate],DATE(2026,2,24),tblDaily[WardCode],"MAE")=0,"",SUMIFS(tblDaily[Discharges],tblDaily[EntryDate],DATE(2026,2,24),tblDaily[WardCode],"MAE")),"")</f>
        <v/>
      </c>
      <c r="D71" s="14" t="str">
        <f>IFERROR(IF(SUMIFS(tblDaily[Deaths],tblDaily[EntryDate],DATE(2026,2,24),tblDaily[WardCode],"MAE")=0,"",SUMIFS(tblDaily[Deaths],tblDaily[EntryDate],DATE(2026,2,24),tblDaily[WardCode],"MAE")),"")</f>
        <v/>
      </c>
      <c r="E71" s="14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14" t="str">
        <f>IFERROR(IF(SUMIFS(tblDaily[TransfersIn],tblDaily[EntryDate],DATE(2026,2,24),tblDaily[WardCode],"MAE")=0,"",SUMIFS(tblDaily[TransfersIn],tblDaily[EntryDate],DATE(2026,2,24),tblDaily[WardCode],"MAE")),"")</f>
        <v/>
      </c>
      <c r="G71" s="14" t="str">
        <f>IFERROR(IF(SUMIFS(tblDaily[TransfersOut],tblDaily[EntryDate],DATE(2026,2,24),tblDaily[WardCode],"MAE")=0,"",SUMIFS(tblDaily[TransfersOut],tblDaily[EntryDate],DATE(2026,2,24),tblDaily[WardCode],"MAE")),"")</f>
        <v/>
      </c>
      <c r="H71" s="14" t="str">
        <f>IFERROR(IF(SUMIFS(tblDaily[Remaining],tblDaily[EntryDate],DATE(2026,2,24),tblDaily[WardCode],"MAE")=0,"",SUMIFS(tblDaily[Remaining],tblDaily[EntryDate],DATE(2026,2,24),tblDaily[WardCode],"MAE")),"")</f>
        <v/>
      </c>
      <c r="I71" s="14" t="str">
        <f>IFERROR(IF(SUMIFS(tblDaily[Admissions],tblDaily[EntryDate],DATE(2026,2,24),tblDaily[WardCode],"FAE")=0,"",SUMIFS(tblDaily[Admissions],tblDaily[EntryDate],DATE(2026,2,24),tblDaily[WardCode],"FAE")),"")</f>
        <v/>
      </c>
      <c r="J71" s="14" t="str">
        <f>IFERROR(IF(SUMIFS(tblDaily[Discharges],tblDaily[EntryDate],DATE(2026,2,24),tblDaily[WardCode],"FAE")=0,"",SUMIFS(tblDaily[Discharges],tblDaily[EntryDate],DATE(2026,2,24),tblDaily[WardCode],"FAE")),"")</f>
        <v/>
      </c>
      <c r="K71" s="14" t="str">
        <f>IFERROR(IF(SUMIFS(tblDaily[Deaths],tblDaily[EntryDate],DATE(2026,2,24),tblDaily[WardCode],"FAE")=0,"",SUMIFS(tblDaily[Deaths],tblDaily[EntryDate],DATE(2026,2,24),tblDaily[WardCode],"FAE")),"")</f>
        <v/>
      </c>
      <c r="L71" s="14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14" t="str">
        <f>IFERROR(IF(SUMIFS(tblDaily[TransfersIn],tblDaily[EntryDate],DATE(2026,2,24),tblDaily[WardCode],"FAE")=0,"",SUMIFS(tblDaily[TransfersIn],tblDaily[EntryDate],DATE(2026,2,24),tblDaily[WardCode],"FAE")),"")</f>
        <v/>
      </c>
      <c r="N71" s="14" t="str">
        <f>IFERROR(IF(SUMIFS(tblDaily[TransfersOut],tblDaily[EntryDate],DATE(2026,2,24),tblDaily[WardCode],"FAE")=0,"",SUMIFS(tblDaily[TransfersOut],tblDaily[EntryDate],DATE(2026,2,24),tblDaily[WardCode],"FAE")),"")</f>
        <v/>
      </c>
      <c r="O71" s="14" t="str">
        <f>IFERROR(IF(SUMIFS(tblDaily[Remaining],tblDaily[EntryDate],DATE(2026,2,24),tblDaily[WardCode],"FAE")=0,"",SUMIFS(tblDaily[Remaining],tblDaily[EntryDate],DATE(2026,2,24),tblDaily[WardCode],"FAE")),"")</f>
        <v/>
      </c>
      <c r="P71" s="15" t="str">
        <f t="shared" si="1"/>
        <v/>
      </c>
    </row>
    <row r="72" spans="1:16" x14ac:dyDescent="0.25">
      <c r="A72" s="14">
        <v>25</v>
      </c>
      <c r="B72" s="14" t="str">
        <f>IFERROR(IF(SUMIFS(tblDaily[Admissions],tblDaily[EntryDate],DATE(2026,2,25),tblDaily[WardCode],"MAE")=0,"",SUMIFS(tblDaily[Admissions],tblDaily[EntryDate],DATE(2026,2,25),tblDaily[WardCode],"MAE")),"")</f>
        <v/>
      </c>
      <c r="C72" s="14" t="str">
        <f>IFERROR(IF(SUMIFS(tblDaily[Discharges],tblDaily[EntryDate],DATE(2026,2,25),tblDaily[WardCode],"MAE")=0,"",SUMIFS(tblDaily[Discharges],tblDaily[EntryDate],DATE(2026,2,25),tblDaily[WardCode],"MAE")),"")</f>
        <v/>
      </c>
      <c r="D72" s="14" t="str">
        <f>IFERROR(IF(SUMIFS(tblDaily[Deaths],tblDaily[EntryDate],DATE(2026,2,25),tblDaily[WardCode],"MAE")=0,"",SUMIFS(tblDaily[Deaths],tblDaily[EntryDate],DATE(2026,2,25),tblDaily[WardCode],"MAE")),"")</f>
        <v/>
      </c>
      <c r="E72" s="14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14" t="str">
        <f>IFERROR(IF(SUMIFS(tblDaily[TransfersIn],tblDaily[EntryDate],DATE(2026,2,25),tblDaily[WardCode],"MAE")=0,"",SUMIFS(tblDaily[TransfersIn],tblDaily[EntryDate],DATE(2026,2,25),tblDaily[WardCode],"MAE")),"")</f>
        <v/>
      </c>
      <c r="G72" s="14" t="str">
        <f>IFERROR(IF(SUMIFS(tblDaily[TransfersOut],tblDaily[EntryDate],DATE(2026,2,25),tblDaily[WardCode],"MAE")=0,"",SUMIFS(tblDaily[TransfersOut],tblDaily[EntryDate],DATE(2026,2,25),tblDaily[WardCode],"MAE")),"")</f>
        <v/>
      </c>
      <c r="H72" s="14" t="str">
        <f>IFERROR(IF(SUMIFS(tblDaily[Remaining],tblDaily[EntryDate],DATE(2026,2,25),tblDaily[WardCode],"MAE")=0,"",SUMIFS(tblDaily[Remaining],tblDaily[EntryDate],DATE(2026,2,25),tblDaily[WardCode],"MAE")),"")</f>
        <v/>
      </c>
      <c r="I72" s="14" t="str">
        <f>IFERROR(IF(SUMIFS(tblDaily[Admissions],tblDaily[EntryDate],DATE(2026,2,25),tblDaily[WardCode],"FAE")=0,"",SUMIFS(tblDaily[Admissions],tblDaily[EntryDate],DATE(2026,2,25),tblDaily[WardCode],"FAE")),"")</f>
        <v/>
      </c>
      <c r="J72" s="14" t="str">
        <f>IFERROR(IF(SUMIFS(tblDaily[Discharges],tblDaily[EntryDate],DATE(2026,2,25),tblDaily[WardCode],"FAE")=0,"",SUMIFS(tblDaily[Discharges],tblDaily[EntryDate],DATE(2026,2,25),tblDaily[WardCode],"FAE")),"")</f>
        <v/>
      </c>
      <c r="K72" s="14" t="str">
        <f>IFERROR(IF(SUMIFS(tblDaily[Deaths],tblDaily[EntryDate],DATE(2026,2,25),tblDaily[WardCode],"FAE")=0,"",SUMIFS(tblDaily[Deaths],tblDaily[EntryDate],DATE(2026,2,25),tblDaily[WardCode],"FAE")),"")</f>
        <v/>
      </c>
      <c r="L72" s="14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14" t="str">
        <f>IFERROR(IF(SUMIFS(tblDaily[TransfersIn],tblDaily[EntryDate],DATE(2026,2,25),tblDaily[WardCode],"FAE")=0,"",SUMIFS(tblDaily[TransfersIn],tblDaily[EntryDate],DATE(2026,2,25),tblDaily[WardCode],"FAE")),"")</f>
        <v/>
      </c>
      <c r="N72" s="14" t="str">
        <f>IFERROR(IF(SUMIFS(tblDaily[TransfersOut],tblDaily[EntryDate],DATE(2026,2,25),tblDaily[WardCode],"FAE")=0,"",SUMIFS(tblDaily[TransfersOut],tblDaily[EntryDate],DATE(2026,2,25),tblDaily[WardCode],"FAE")),"")</f>
        <v/>
      </c>
      <c r="O72" s="14" t="str">
        <f>IFERROR(IF(SUMIFS(tblDaily[Remaining],tblDaily[EntryDate],DATE(2026,2,25),tblDaily[WardCode],"FAE")=0,"",SUMIFS(tblDaily[Remaining],tblDaily[EntryDate],DATE(2026,2,25),tblDaily[WardCode],"FAE")),"")</f>
        <v/>
      </c>
      <c r="P72" s="15" t="str">
        <f t="shared" si="1"/>
        <v/>
      </c>
    </row>
    <row r="73" spans="1:16" x14ac:dyDescent="0.25">
      <c r="A73" s="14">
        <v>26</v>
      </c>
      <c r="B73" s="14" t="str">
        <f>IFERROR(IF(SUMIFS(tblDaily[Admissions],tblDaily[EntryDate],DATE(2026,2,26),tblDaily[WardCode],"MAE")=0,"",SUMIFS(tblDaily[Admissions],tblDaily[EntryDate],DATE(2026,2,26),tblDaily[WardCode],"MAE")),"")</f>
        <v/>
      </c>
      <c r="C73" s="14" t="str">
        <f>IFERROR(IF(SUMIFS(tblDaily[Discharges],tblDaily[EntryDate],DATE(2026,2,26),tblDaily[WardCode],"MAE")=0,"",SUMIFS(tblDaily[Discharges],tblDaily[EntryDate],DATE(2026,2,26),tblDaily[WardCode],"MAE")),"")</f>
        <v/>
      </c>
      <c r="D73" s="14" t="str">
        <f>IFERROR(IF(SUMIFS(tblDaily[Deaths],tblDaily[EntryDate],DATE(2026,2,26),tblDaily[WardCode],"MAE")=0,"",SUMIFS(tblDaily[Deaths],tblDaily[EntryDate],DATE(2026,2,26),tblDaily[WardCode],"MAE")),"")</f>
        <v/>
      </c>
      <c r="E73" s="14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14" t="str">
        <f>IFERROR(IF(SUMIFS(tblDaily[TransfersIn],tblDaily[EntryDate],DATE(2026,2,26),tblDaily[WardCode],"MAE")=0,"",SUMIFS(tblDaily[TransfersIn],tblDaily[EntryDate],DATE(2026,2,26),tblDaily[WardCode],"MAE")),"")</f>
        <v/>
      </c>
      <c r="G73" s="14" t="str">
        <f>IFERROR(IF(SUMIFS(tblDaily[TransfersOut],tblDaily[EntryDate],DATE(2026,2,26),tblDaily[WardCode],"MAE")=0,"",SUMIFS(tblDaily[TransfersOut],tblDaily[EntryDate],DATE(2026,2,26),tblDaily[WardCode],"MAE")),"")</f>
        <v/>
      </c>
      <c r="H73" s="14" t="str">
        <f>IFERROR(IF(SUMIFS(tblDaily[Remaining],tblDaily[EntryDate],DATE(2026,2,26),tblDaily[WardCode],"MAE")=0,"",SUMIFS(tblDaily[Remaining],tblDaily[EntryDate],DATE(2026,2,26),tblDaily[WardCode],"MAE")),"")</f>
        <v/>
      </c>
      <c r="I73" s="14" t="str">
        <f>IFERROR(IF(SUMIFS(tblDaily[Admissions],tblDaily[EntryDate],DATE(2026,2,26),tblDaily[WardCode],"FAE")=0,"",SUMIFS(tblDaily[Admissions],tblDaily[EntryDate],DATE(2026,2,26),tblDaily[WardCode],"FAE")),"")</f>
        <v/>
      </c>
      <c r="J73" s="14" t="str">
        <f>IFERROR(IF(SUMIFS(tblDaily[Discharges],tblDaily[EntryDate],DATE(2026,2,26),tblDaily[WardCode],"FAE")=0,"",SUMIFS(tblDaily[Discharges],tblDaily[EntryDate],DATE(2026,2,26),tblDaily[WardCode],"FAE")),"")</f>
        <v/>
      </c>
      <c r="K73" s="14" t="str">
        <f>IFERROR(IF(SUMIFS(tblDaily[Deaths],tblDaily[EntryDate],DATE(2026,2,26),tblDaily[WardCode],"FAE")=0,"",SUMIFS(tblDaily[Deaths],tblDaily[EntryDate],DATE(2026,2,26),tblDaily[WardCode],"FAE")),"")</f>
        <v/>
      </c>
      <c r="L73" s="14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14" t="str">
        <f>IFERROR(IF(SUMIFS(tblDaily[TransfersIn],tblDaily[EntryDate],DATE(2026,2,26),tblDaily[WardCode],"FAE")=0,"",SUMIFS(tblDaily[TransfersIn],tblDaily[EntryDate],DATE(2026,2,26),tblDaily[WardCode],"FAE")),"")</f>
        <v/>
      </c>
      <c r="N73" s="14" t="str">
        <f>IFERROR(IF(SUMIFS(tblDaily[TransfersOut],tblDaily[EntryDate],DATE(2026,2,26),tblDaily[WardCode],"FAE")=0,"",SUMIFS(tblDaily[TransfersOut],tblDaily[EntryDate],DATE(2026,2,26),tblDaily[WardCode],"FAE")),"")</f>
        <v/>
      </c>
      <c r="O73" s="14" t="str">
        <f>IFERROR(IF(SUMIFS(tblDaily[Remaining],tblDaily[EntryDate],DATE(2026,2,26),tblDaily[WardCode],"FAE")=0,"",SUMIFS(tblDaily[Remaining],tblDaily[EntryDate],DATE(2026,2,26),tblDaily[WardCode],"FAE")),"")</f>
        <v/>
      </c>
      <c r="P73" s="15" t="str">
        <f t="shared" si="1"/>
        <v/>
      </c>
    </row>
    <row r="74" spans="1:16" x14ac:dyDescent="0.25">
      <c r="A74" s="14">
        <v>27</v>
      </c>
      <c r="B74" s="14" t="str">
        <f>IFERROR(IF(SUMIFS(tblDaily[Admissions],tblDaily[EntryDate],DATE(2026,2,27),tblDaily[WardCode],"MAE")=0,"",SUMIFS(tblDaily[Admissions],tblDaily[EntryDate],DATE(2026,2,27),tblDaily[WardCode],"MAE")),"")</f>
        <v/>
      </c>
      <c r="C74" s="14" t="str">
        <f>IFERROR(IF(SUMIFS(tblDaily[Discharges],tblDaily[EntryDate],DATE(2026,2,27),tblDaily[WardCode],"MAE")=0,"",SUMIFS(tblDaily[Discharges],tblDaily[EntryDate],DATE(2026,2,27),tblDaily[WardCode],"MAE")),"")</f>
        <v/>
      </c>
      <c r="D74" s="14" t="str">
        <f>IFERROR(IF(SUMIFS(tblDaily[Deaths],tblDaily[EntryDate],DATE(2026,2,27),tblDaily[WardCode],"MAE")=0,"",SUMIFS(tblDaily[Deaths],tblDaily[EntryDate],DATE(2026,2,27),tblDaily[WardCode],"MAE")),"")</f>
        <v/>
      </c>
      <c r="E74" s="14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14" t="str">
        <f>IFERROR(IF(SUMIFS(tblDaily[TransfersIn],tblDaily[EntryDate],DATE(2026,2,27),tblDaily[WardCode],"MAE")=0,"",SUMIFS(tblDaily[TransfersIn],tblDaily[EntryDate],DATE(2026,2,27),tblDaily[WardCode],"MAE")),"")</f>
        <v/>
      </c>
      <c r="G74" s="14" t="str">
        <f>IFERROR(IF(SUMIFS(tblDaily[TransfersOut],tblDaily[EntryDate],DATE(2026,2,27),tblDaily[WardCode],"MAE")=0,"",SUMIFS(tblDaily[TransfersOut],tblDaily[EntryDate],DATE(2026,2,27),tblDaily[WardCode],"MAE")),"")</f>
        <v/>
      </c>
      <c r="H74" s="14" t="str">
        <f>IFERROR(IF(SUMIFS(tblDaily[Remaining],tblDaily[EntryDate],DATE(2026,2,27),tblDaily[WardCode],"MAE")=0,"",SUMIFS(tblDaily[Remaining],tblDaily[EntryDate],DATE(2026,2,27),tblDaily[WardCode],"MAE")),"")</f>
        <v/>
      </c>
      <c r="I74" s="14" t="str">
        <f>IFERROR(IF(SUMIFS(tblDaily[Admissions],tblDaily[EntryDate],DATE(2026,2,27),tblDaily[WardCode],"FAE")=0,"",SUMIFS(tblDaily[Admissions],tblDaily[EntryDate],DATE(2026,2,27),tblDaily[WardCode],"FAE")),"")</f>
        <v/>
      </c>
      <c r="J74" s="14" t="str">
        <f>IFERROR(IF(SUMIFS(tblDaily[Discharges],tblDaily[EntryDate],DATE(2026,2,27),tblDaily[WardCode],"FAE")=0,"",SUMIFS(tblDaily[Discharges],tblDaily[EntryDate],DATE(2026,2,27),tblDaily[WardCode],"FAE")),"")</f>
        <v/>
      </c>
      <c r="K74" s="14" t="str">
        <f>IFERROR(IF(SUMIFS(tblDaily[Deaths],tblDaily[EntryDate],DATE(2026,2,27),tblDaily[WardCode],"FAE")=0,"",SUMIFS(tblDaily[Deaths],tblDaily[EntryDate],DATE(2026,2,27),tblDaily[WardCode],"FAE")),"")</f>
        <v/>
      </c>
      <c r="L74" s="14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14" t="str">
        <f>IFERROR(IF(SUMIFS(tblDaily[TransfersIn],tblDaily[EntryDate],DATE(2026,2,27),tblDaily[WardCode],"FAE")=0,"",SUMIFS(tblDaily[TransfersIn],tblDaily[EntryDate],DATE(2026,2,27),tblDaily[WardCode],"FAE")),"")</f>
        <v/>
      </c>
      <c r="N74" s="14" t="str">
        <f>IFERROR(IF(SUMIFS(tblDaily[TransfersOut],tblDaily[EntryDate],DATE(2026,2,27),tblDaily[WardCode],"FAE")=0,"",SUMIFS(tblDaily[TransfersOut],tblDaily[EntryDate],DATE(2026,2,27),tblDaily[WardCode],"FAE")),"")</f>
        <v/>
      </c>
      <c r="O74" s="14" t="str">
        <f>IFERROR(IF(SUMIFS(tblDaily[Remaining],tblDaily[EntryDate],DATE(2026,2,27),tblDaily[WardCode],"FAE")=0,"",SUMIFS(tblDaily[Remaining],tblDaily[EntryDate],DATE(2026,2,27),tblDaily[WardCode],"FAE")),"")</f>
        <v/>
      </c>
      <c r="P74" s="15" t="str">
        <f t="shared" si="1"/>
        <v/>
      </c>
    </row>
    <row r="75" spans="1:16" x14ac:dyDescent="0.25">
      <c r="A75" s="14">
        <v>28</v>
      </c>
      <c r="B75" s="14" t="str">
        <f>IFERROR(IF(SUMIFS(tblDaily[Admissions],tblDaily[EntryDate],DATE(2026,2,28),tblDaily[WardCode],"MAE")=0,"",SUMIFS(tblDaily[Admissions],tblDaily[EntryDate],DATE(2026,2,28),tblDaily[WardCode],"MAE")),"")</f>
        <v/>
      </c>
      <c r="C75" s="14" t="str">
        <f>IFERROR(IF(SUMIFS(tblDaily[Discharges],tblDaily[EntryDate],DATE(2026,2,28),tblDaily[WardCode],"MAE")=0,"",SUMIFS(tblDaily[Discharges],tblDaily[EntryDate],DATE(2026,2,28),tblDaily[WardCode],"MAE")),"")</f>
        <v/>
      </c>
      <c r="D75" s="14" t="str">
        <f>IFERROR(IF(SUMIFS(tblDaily[Deaths],tblDaily[EntryDate],DATE(2026,2,28),tblDaily[WardCode],"MAE")=0,"",SUMIFS(tblDaily[Deaths],tblDaily[EntryDate],DATE(2026,2,28),tblDaily[WardCode],"MAE")),"")</f>
        <v/>
      </c>
      <c r="E75" s="14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14" t="str">
        <f>IFERROR(IF(SUMIFS(tblDaily[TransfersIn],tblDaily[EntryDate],DATE(2026,2,28),tblDaily[WardCode],"MAE")=0,"",SUMIFS(tblDaily[TransfersIn],tblDaily[EntryDate],DATE(2026,2,28),tblDaily[WardCode],"MAE")),"")</f>
        <v/>
      </c>
      <c r="G75" s="14" t="str">
        <f>IFERROR(IF(SUMIFS(tblDaily[TransfersOut],tblDaily[EntryDate],DATE(2026,2,28),tblDaily[WardCode],"MAE")=0,"",SUMIFS(tblDaily[TransfersOut],tblDaily[EntryDate],DATE(2026,2,28),tblDaily[WardCode],"MAE")),"")</f>
        <v/>
      </c>
      <c r="H75" s="14" t="str">
        <f>IFERROR(IF(SUMIFS(tblDaily[Remaining],tblDaily[EntryDate],DATE(2026,2,28),tblDaily[WardCode],"MAE")=0,"",SUMIFS(tblDaily[Remaining],tblDaily[EntryDate],DATE(2026,2,28),tblDaily[WardCode],"MAE")),"")</f>
        <v/>
      </c>
      <c r="I75" s="14" t="str">
        <f>IFERROR(IF(SUMIFS(tblDaily[Admissions],tblDaily[EntryDate],DATE(2026,2,28),tblDaily[WardCode],"FAE")=0,"",SUMIFS(tblDaily[Admissions],tblDaily[EntryDate],DATE(2026,2,28),tblDaily[WardCode],"FAE")),"")</f>
        <v/>
      </c>
      <c r="J75" s="14" t="str">
        <f>IFERROR(IF(SUMIFS(tblDaily[Discharges],tblDaily[EntryDate],DATE(2026,2,28),tblDaily[WardCode],"FAE")=0,"",SUMIFS(tblDaily[Discharges],tblDaily[EntryDate],DATE(2026,2,28),tblDaily[WardCode],"FAE")),"")</f>
        <v/>
      </c>
      <c r="K75" s="14" t="str">
        <f>IFERROR(IF(SUMIFS(tblDaily[Deaths],tblDaily[EntryDate],DATE(2026,2,28),tblDaily[WardCode],"FAE")=0,"",SUMIFS(tblDaily[Deaths],tblDaily[EntryDate],DATE(2026,2,28),tblDaily[WardCode],"FAE")),"")</f>
        <v/>
      </c>
      <c r="L75" s="14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14" t="str">
        <f>IFERROR(IF(SUMIFS(tblDaily[TransfersIn],tblDaily[EntryDate],DATE(2026,2,28),tblDaily[WardCode],"FAE")=0,"",SUMIFS(tblDaily[TransfersIn],tblDaily[EntryDate],DATE(2026,2,28),tblDaily[WardCode],"FAE")),"")</f>
        <v/>
      </c>
      <c r="N75" s="14" t="str">
        <f>IFERROR(IF(SUMIFS(tblDaily[TransfersOut],tblDaily[EntryDate],DATE(2026,2,28),tblDaily[WardCode],"FAE")=0,"",SUMIFS(tblDaily[TransfersOut],tblDaily[EntryDate],DATE(2026,2,28),tblDaily[WardCode],"FAE")),"")</f>
        <v/>
      </c>
      <c r="O75" s="14" t="str">
        <f>IFERROR(IF(SUMIFS(tblDaily[Remaining],tblDaily[EntryDate],DATE(2026,2,28),tblDaily[WardCode],"FAE")=0,"",SUMIFS(tblDaily[Remaining],tblDaily[EntryDate],DATE(2026,2,28),tblDaily[WardCode],"FAE")),"")</f>
        <v/>
      </c>
      <c r="P75" s="15" t="str">
        <f t="shared" si="1"/>
        <v/>
      </c>
    </row>
    <row r="76" spans="1:16" x14ac:dyDescent="0.25">
      <c r="A76" s="14">
        <v>29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</row>
    <row r="77" spans="1:16" x14ac:dyDescent="0.25">
      <c r="A77" s="14">
        <v>30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</row>
    <row r="78" spans="1:16" x14ac:dyDescent="0.25">
      <c r="A78" s="14">
        <v>31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</row>
    <row r="79" spans="1:16" x14ac:dyDescent="0.25">
      <c r="A79" s="9" t="s">
        <v>112</v>
      </c>
      <c r="B79" s="9">
        <f>SUMIFS(tblDaily[Admissions],tblDaily[Month],2,tblDaily[WardCode],"MAE") - SUMIFS(tblDaily[DeathsUnder24Hrs],tblDaily[Month],2,tblDaily[WardCode],"MAE")</f>
        <v>3</v>
      </c>
      <c r="C79" s="9">
        <f>SUMIFS(tblDaily[Discharges],tblDaily[Month],2,tblDaily[WardCode],"MAE")</f>
        <v>3</v>
      </c>
      <c r="D79" s="9">
        <f>SUMIFS(tblDaily[Deaths],tblDaily[Month],2,tblDaily[WardCode],"MAE")</f>
        <v>0</v>
      </c>
      <c r="E79" s="9">
        <f>SUMIFS(tblDaily[DeathsUnder24Hrs],tblDaily[Month],2,tblDaily[WardCode],"MAE")</f>
        <v>0</v>
      </c>
      <c r="F79" s="9">
        <f>SUMIFS(tblDaily[TransfersIn],tblDaily[Month],2,tblDaily[WardCode],"MAE")</f>
        <v>2</v>
      </c>
      <c r="G79" s="9">
        <f>SUMIFS(tblDaily[TransfersOut],tblDaily[Month],2,tblDaily[WardCode],"MAE")</f>
        <v>0</v>
      </c>
      <c r="H79" s="9">
        <f>SUMIFS(tblDaily[Remaining],tblDaily[Month],2,tblDaily[WardCode],"MAE")</f>
        <v>3</v>
      </c>
      <c r="I79" s="9">
        <f>SUMIFS(tblDaily[Admissions],tblDaily[Month],2,tblDaily[WardCode],"FAE") - SUMIFS(tblDaily[DeathsUnder24Hrs],tblDaily[Month],2,tblDaily[WardCode],"FAE")</f>
        <v>0</v>
      </c>
      <c r="J79" s="9">
        <f>SUMIFS(tblDaily[Discharges],tblDaily[Month],2,tblDaily[WardCode],"FAE")</f>
        <v>0</v>
      </c>
      <c r="K79" s="9">
        <f>SUMIFS(tblDaily[Deaths],tblDaily[Month],2,tblDaily[WardCode],"FAE")</f>
        <v>0</v>
      </c>
      <c r="L79" s="9">
        <f>SUMIFS(tblDaily[DeathsUnder24Hrs],tblDaily[Month],2,tblDaily[WardCode],"FAE")</f>
        <v>0</v>
      </c>
      <c r="M79" s="9">
        <f>SUMIFS(tblDaily[TransfersIn],tblDaily[Month],2,tblDaily[WardCode],"FAE")</f>
        <v>0</v>
      </c>
      <c r="N79" s="9">
        <f>SUMIFS(tblDaily[TransfersOut],tblDaily[Month],2,tblDaily[WardCode],"FAE")</f>
        <v>0</v>
      </c>
      <c r="O79" s="9">
        <f>SUMIFS(tblDaily[Remaining],tblDaily[Month],2,tblDaily[WardCode],"FAE")</f>
        <v>0</v>
      </c>
      <c r="P79" s="9">
        <f>H79 + O79</f>
        <v>3</v>
      </c>
    </row>
    <row r="81" spans="1:16" ht="18.75" x14ac:dyDescent="0.25">
      <c r="A81" s="39" t="s">
        <v>0</v>
      </c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</row>
    <row r="82" spans="1:16" ht="15.75" x14ac:dyDescent="0.25">
      <c r="A82" s="35" t="s">
        <v>101</v>
      </c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</row>
    <row r="83" spans="1:16" x14ac:dyDescent="0.25">
      <c r="A83" s="1" t="s">
        <v>4</v>
      </c>
      <c r="B83" s="2" t="s">
        <v>2</v>
      </c>
      <c r="E83" s="1" t="s">
        <v>102</v>
      </c>
      <c r="F83" s="1" t="s">
        <v>121</v>
      </c>
      <c r="M83" s="1" t="s">
        <v>104</v>
      </c>
      <c r="N83" s="1" t="s">
        <v>62</v>
      </c>
    </row>
    <row r="84" spans="1:16" x14ac:dyDescent="0.25">
      <c r="A84" s="1" t="s">
        <v>105</v>
      </c>
      <c r="B84" s="11">
        <f>IFERROR(SUMIFS(tblDaily[Remaining],tblDaily[EntryDate],DATE(2026,2,28),tblDaily[WardCode],"MAE"),0)</f>
        <v>0</v>
      </c>
      <c r="I84" s="11">
        <f>IFERROR(SUMIFS(tblDaily[Remaining],tblDaily[EntryDate],DATE(2026,2,28),tblDaily[WardCode],"FAE"),0)</f>
        <v>0</v>
      </c>
    </row>
    <row r="85" spans="1:16" x14ac:dyDescent="0.25">
      <c r="A85" s="1" t="s">
        <v>106</v>
      </c>
      <c r="B85" s="11">
        <f>IFERROR(INDEX(tblWardConfig[BedComplement],MATCH("MAE",tblWardConfig[WardCode],0)),0)</f>
        <v>10</v>
      </c>
      <c r="I85" s="11">
        <f>IFERROR(INDEX(tblWardConfig[BedComplement],MATCH("FAE",tblWardConfig[WardCode],0)),0)</f>
        <v>10</v>
      </c>
      <c r="O85" s="12">
        <f>B85+I85</f>
        <v>20</v>
      </c>
    </row>
    <row r="86" spans="1:16" x14ac:dyDescent="0.25">
      <c r="A86" s="3" t="s">
        <v>122</v>
      </c>
      <c r="B86" s="38" t="s">
        <v>119</v>
      </c>
      <c r="C86" s="29"/>
      <c r="D86" s="29"/>
      <c r="E86" s="29"/>
      <c r="F86" s="29"/>
      <c r="G86" s="29"/>
      <c r="H86" s="29"/>
      <c r="I86" s="40" t="s">
        <v>120</v>
      </c>
      <c r="J86" s="29"/>
      <c r="K86" s="29"/>
      <c r="L86" s="29"/>
      <c r="M86" s="29"/>
      <c r="N86" s="29"/>
      <c r="O86" s="29"/>
      <c r="P86" s="13" t="s">
        <v>112</v>
      </c>
    </row>
    <row r="87" spans="1:16" x14ac:dyDescent="0.25">
      <c r="A87" s="3" t="s">
        <v>122</v>
      </c>
      <c r="B87" s="3" t="s">
        <v>123</v>
      </c>
      <c r="C87" s="3" t="s">
        <v>124</v>
      </c>
      <c r="D87" s="3" t="s">
        <v>125</v>
      </c>
      <c r="E87" s="3" t="s">
        <v>126</v>
      </c>
      <c r="F87" s="3" t="s">
        <v>127</v>
      </c>
      <c r="G87" s="3" t="s">
        <v>128</v>
      </c>
      <c r="H87" s="3" t="s">
        <v>129</v>
      </c>
      <c r="I87" s="3" t="s">
        <v>123</v>
      </c>
      <c r="J87" s="3" t="s">
        <v>124</v>
      </c>
      <c r="K87" s="3" t="s">
        <v>125</v>
      </c>
      <c r="L87" s="3" t="s">
        <v>126</v>
      </c>
      <c r="M87" s="3" t="s">
        <v>127</v>
      </c>
      <c r="N87" s="3" t="s">
        <v>128</v>
      </c>
      <c r="O87" s="3" t="s">
        <v>129</v>
      </c>
      <c r="P87" s="3" t="s">
        <v>130</v>
      </c>
    </row>
    <row r="88" spans="1:16" x14ac:dyDescent="0.25">
      <c r="A88" s="14">
        <v>1</v>
      </c>
      <c r="B88" s="14" t="str">
        <f>IFERROR(IF(SUMIFS(tblDaily[Admissions],tblDaily[EntryDate],DATE(2026,3,1),tblDaily[WardCode],"MAE")=0,"",SUMIFS(tblDaily[Admissions],tblDaily[EntryDate],DATE(2026,3,1),tblDaily[WardCode],"MAE")),"")</f>
        <v/>
      </c>
      <c r="C88" s="14" t="str">
        <f>IFERROR(IF(SUMIFS(tblDaily[Discharges],tblDaily[EntryDate],DATE(2026,3,1),tblDaily[WardCode],"MAE")=0,"",SUMIFS(tblDaily[Discharges],tblDaily[EntryDate],DATE(2026,3,1),tblDaily[WardCode],"MAE")),"")</f>
        <v/>
      </c>
      <c r="D88" s="14" t="str">
        <f>IFERROR(IF(SUMIFS(tblDaily[Deaths],tblDaily[EntryDate],DATE(2026,3,1),tblDaily[WardCode],"MAE")=0,"",SUMIFS(tblDaily[Deaths],tblDaily[EntryDate],DATE(2026,3,1),tblDaily[WardCode],"MAE")),"")</f>
        <v/>
      </c>
      <c r="E88" s="14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14" t="str">
        <f>IFERROR(IF(SUMIFS(tblDaily[TransfersIn],tblDaily[EntryDate],DATE(2026,3,1),tblDaily[WardCode],"MAE")=0,"",SUMIFS(tblDaily[TransfersIn],tblDaily[EntryDate],DATE(2026,3,1),tblDaily[WardCode],"MAE")),"")</f>
        <v/>
      </c>
      <c r="G88" s="14" t="str">
        <f>IFERROR(IF(SUMIFS(tblDaily[TransfersOut],tblDaily[EntryDate],DATE(2026,3,1),tblDaily[WardCode],"MAE")=0,"",SUMIFS(tblDaily[TransfersOut],tblDaily[EntryDate],DATE(2026,3,1),tblDaily[WardCode],"MAE")),"")</f>
        <v/>
      </c>
      <c r="H88" s="14" t="str">
        <f>IFERROR(IF(SUMIFS(tblDaily[Remaining],tblDaily[EntryDate],DATE(2026,3,1),tblDaily[WardCode],"MAE")=0,"",SUMIFS(tblDaily[Remaining],tblDaily[EntryDate],DATE(2026,3,1),tblDaily[WardCode],"MAE")),"")</f>
        <v/>
      </c>
      <c r="I88" s="14" t="str">
        <f>IFERROR(IF(SUMIFS(tblDaily[Admissions],tblDaily[EntryDate],DATE(2026,3,1),tblDaily[WardCode],"FAE")=0,"",SUMIFS(tblDaily[Admissions],tblDaily[EntryDate],DATE(2026,3,1),tblDaily[WardCode],"FAE")),"")</f>
        <v/>
      </c>
      <c r="J88" s="14" t="str">
        <f>IFERROR(IF(SUMIFS(tblDaily[Discharges],tblDaily[EntryDate],DATE(2026,3,1),tblDaily[WardCode],"FAE")=0,"",SUMIFS(tblDaily[Discharges],tblDaily[EntryDate],DATE(2026,3,1),tblDaily[WardCode],"FAE")),"")</f>
        <v/>
      </c>
      <c r="K88" s="14" t="str">
        <f>IFERROR(IF(SUMIFS(tblDaily[Deaths],tblDaily[EntryDate],DATE(2026,3,1),tblDaily[WardCode],"FAE")=0,"",SUMIFS(tblDaily[Deaths],tblDaily[EntryDate],DATE(2026,3,1),tblDaily[WardCode],"FAE")),"")</f>
        <v/>
      </c>
      <c r="L88" s="14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14" t="str">
        <f>IFERROR(IF(SUMIFS(tblDaily[TransfersIn],tblDaily[EntryDate],DATE(2026,3,1),tblDaily[WardCode],"FAE")=0,"",SUMIFS(tblDaily[TransfersIn],tblDaily[EntryDate],DATE(2026,3,1),tblDaily[WardCode],"FAE")),"")</f>
        <v/>
      </c>
      <c r="N88" s="14" t="str">
        <f>IFERROR(IF(SUMIFS(tblDaily[TransfersOut],tblDaily[EntryDate],DATE(2026,3,1),tblDaily[WardCode],"FAE")=0,"",SUMIFS(tblDaily[TransfersOut],tblDaily[EntryDate],DATE(2026,3,1),tblDaily[WardCode],"FAE")),"")</f>
        <v/>
      </c>
      <c r="O88" s="14" t="str">
        <f>IFERROR(IF(SUMIFS(tblDaily[Remaining],tblDaily[EntryDate],DATE(2026,3,1),tblDaily[WardCode],"FAE")=0,"",SUMIFS(tblDaily[Remaining],tblDaily[EntryDate],DATE(2026,3,1),tblDaily[WardCode],"FAE")),"")</f>
        <v/>
      </c>
      <c r="P88" s="15" t="str">
        <f t="shared" ref="P88:P118" si="2">IF(AND(H88="", O88=""), "", N(H88) + N(O88))</f>
        <v/>
      </c>
    </row>
    <row r="89" spans="1:16" x14ac:dyDescent="0.25">
      <c r="A89" s="14">
        <v>2</v>
      </c>
      <c r="B89" s="14" t="str">
        <f>IFERROR(IF(SUMIFS(tblDaily[Admissions],tblDaily[EntryDate],DATE(2026,3,2),tblDaily[WardCode],"MAE")=0,"",SUMIFS(tblDaily[Admissions],tblDaily[EntryDate],DATE(2026,3,2),tblDaily[WardCode],"MAE")),"")</f>
        <v/>
      </c>
      <c r="C89" s="14" t="str">
        <f>IFERROR(IF(SUMIFS(tblDaily[Discharges],tblDaily[EntryDate],DATE(2026,3,2),tblDaily[WardCode],"MAE")=0,"",SUMIFS(tblDaily[Discharges],tblDaily[EntryDate],DATE(2026,3,2),tblDaily[WardCode],"MAE")),"")</f>
        <v/>
      </c>
      <c r="D89" s="14" t="str">
        <f>IFERROR(IF(SUMIFS(tblDaily[Deaths],tblDaily[EntryDate],DATE(2026,3,2),tblDaily[WardCode],"MAE")=0,"",SUMIFS(tblDaily[Deaths],tblDaily[EntryDate],DATE(2026,3,2),tblDaily[WardCode],"MAE")),"")</f>
        <v/>
      </c>
      <c r="E89" s="14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14" t="str">
        <f>IFERROR(IF(SUMIFS(tblDaily[TransfersIn],tblDaily[EntryDate],DATE(2026,3,2),tblDaily[WardCode],"MAE")=0,"",SUMIFS(tblDaily[TransfersIn],tblDaily[EntryDate],DATE(2026,3,2),tblDaily[WardCode],"MAE")),"")</f>
        <v/>
      </c>
      <c r="G89" s="14" t="str">
        <f>IFERROR(IF(SUMIFS(tblDaily[TransfersOut],tblDaily[EntryDate],DATE(2026,3,2),tblDaily[WardCode],"MAE")=0,"",SUMIFS(tblDaily[TransfersOut],tblDaily[EntryDate],DATE(2026,3,2),tblDaily[WardCode],"MAE")),"")</f>
        <v/>
      </c>
      <c r="H89" s="14" t="str">
        <f>IFERROR(IF(SUMIFS(tblDaily[Remaining],tblDaily[EntryDate],DATE(2026,3,2),tblDaily[WardCode],"MAE")=0,"",SUMIFS(tblDaily[Remaining],tblDaily[EntryDate],DATE(2026,3,2),tblDaily[WardCode],"MAE")),"")</f>
        <v/>
      </c>
      <c r="I89" s="14" t="str">
        <f>IFERROR(IF(SUMIFS(tblDaily[Admissions],tblDaily[EntryDate],DATE(2026,3,2),tblDaily[WardCode],"FAE")=0,"",SUMIFS(tblDaily[Admissions],tblDaily[EntryDate],DATE(2026,3,2),tblDaily[WardCode],"FAE")),"")</f>
        <v/>
      </c>
      <c r="J89" s="14" t="str">
        <f>IFERROR(IF(SUMIFS(tblDaily[Discharges],tblDaily[EntryDate],DATE(2026,3,2),tblDaily[WardCode],"FAE")=0,"",SUMIFS(tblDaily[Discharges],tblDaily[EntryDate],DATE(2026,3,2),tblDaily[WardCode],"FAE")),"")</f>
        <v/>
      </c>
      <c r="K89" s="14" t="str">
        <f>IFERROR(IF(SUMIFS(tblDaily[Deaths],tblDaily[EntryDate],DATE(2026,3,2),tblDaily[WardCode],"FAE")=0,"",SUMIFS(tblDaily[Deaths],tblDaily[EntryDate],DATE(2026,3,2),tblDaily[WardCode],"FAE")),"")</f>
        <v/>
      </c>
      <c r="L89" s="14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14" t="str">
        <f>IFERROR(IF(SUMIFS(tblDaily[TransfersIn],tblDaily[EntryDate],DATE(2026,3,2),tblDaily[WardCode],"FAE")=0,"",SUMIFS(tblDaily[TransfersIn],tblDaily[EntryDate],DATE(2026,3,2),tblDaily[WardCode],"FAE")),"")</f>
        <v/>
      </c>
      <c r="N89" s="14" t="str">
        <f>IFERROR(IF(SUMIFS(tblDaily[TransfersOut],tblDaily[EntryDate],DATE(2026,3,2),tblDaily[WardCode],"FAE")=0,"",SUMIFS(tblDaily[TransfersOut],tblDaily[EntryDate],DATE(2026,3,2),tblDaily[WardCode],"FAE")),"")</f>
        <v/>
      </c>
      <c r="O89" s="14" t="str">
        <f>IFERROR(IF(SUMIFS(tblDaily[Remaining],tblDaily[EntryDate],DATE(2026,3,2),tblDaily[WardCode],"FAE")=0,"",SUMIFS(tblDaily[Remaining],tblDaily[EntryDate],DATE(2026,3,2),tblDaily[WardCode],"FAE")),"")</f>
        <v/>
      </c>
      <c r="P89" s="15" t="str">
        <f t="shared" si="2"/>
        <v/>
      </c>
    </row>
    <row r="90" spans="1:16" x14ac:dyDescent="0.25">
      <c r="A90" s="14">
        <v>3</v>
      </c>
      <c r="B90" s="14" t="str">
        <f>IFERROR(IF(SUMIFS(tblDaily[Admissions],tblDaily[EntryDate],DATE(2026,3,3),tblDaily[WardCode],"MAE")=0,"",SUMIFS(tblDaily[Admissions],tblDaily[EntryDate],DATE(2026,3,3),tblDaily[WardCode],"MAE")),"")</f>
        <v/>
      </c>
      <c r="C90" s="14" t="str">
        <f>IFERROR(IF(SUMIFS(tblDaily[Discharges],tblDaily[EntryDate],DATE(2026,3,3),tblDaily[WardCode],"MAE")=0,"",SUMIFS(tblDaily[Discharges],tblDaily[EntryDate],DATE(2026,3,3),tblDaily[WardCode],"MAE")),"")</f>
        <v/>
      </c>
      <c r="D90" s="14" t="str">
        <f>IFERROR(IF(SUMIFS(tblDaily[Deaths],tblDaily[EntryDate],DATE(2026,3,3),tblDaily[WardCode],"MAE")=0,"",SUMIFS(tblDaily[Deaths],tblDaily[EntryDate],DATE(2026,3,3),tblDaily[WardCode],"MAE")),"")</f>
        <v/>
      </c>
      <c r="E90" s="14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14" t="str">
        <f>IFERROR(IF(SUMIFS(tblDaily[TransfersIn],tblDaily[EntryDate],DATE(2026,3,3),tblDaily[WardCode],"MAE")=0,"",SUMIFS(tblDaily[TransfersIn],tblDaily[EntryDate],DATE(2026,3,3),tblDaily[WardCode],"MAE")),"")</f>
        <v/>
      </c>
      <c r="G90" s="14" t="str">
        <f>IFERROR(IF(SUMIFS(tblDaily[TransfersOut],tblDaily[EntryDate],DATE(2026,3,3),tblDaily[WardCode],"MAE")=0,"",SUMIFS(tblDaily[TransfersOut],tblDaily[EntryDate],DATE(2026,3,3),tblDaily[WardCode],"MAE")),"")</f>
        <v/>
      </c>
      <c r="H90" s="14" t="str">
        <f>IFERROR(IF(SUMIFS(tblDaily[Remaining],tblDaily[EntryDate],DATE(2026,3,3),tblDaily[WardCode],"MAE")=0,"",SUMIFS(tblDaily[Remaining],tblDaily[EntryDate],DATE(2026,3,3),tblDaily[WardCode],"MAE")),"")</f>
        <v/>
      </c>
      <c r="I90" s="14" t="str">
        <f>IFERROR(IF(SUMIFS(tblDaily[Admissions],tblDaily[EntryDate],DATE(2026,3,3),tblDaily[WardCode],"FAE")=0,"",SUMIFS(tblDaily[Admissions],tblDaily[EntryDate],DATE(2026,3,3),tblDaily[WardCode],"FAE")),"")</f>
        <v/>
      </c>
      <c r="J90" s="14" t="str">
        <f>IFERROR(IF(SUMIFS(tblDaily[Discharges],tblDaily[EntryDate],DATE(2026,3,3),tblDaily[WardCode],"FAE")=0,"",SUMIFS(tblDaily[Discharges],tblDaily[EntryDate],DATE(2026,3,3),tblDaily[WardCode],"FAE")),"")</f>
        <v/>
      </c>
      <c r="K90" s="14" t="str">
        <f>IFERROR(IF(SUMIFS(tblDaily[Deaths],tblDaily[EntryDate],DATE(2026,3,3),tblDaily[WardCode],"FAE")=0,"",SUMIFS(tblDaily[Deaths],tblDaily[EntryDate],DATE(2026,3,3),tblDaily[WardCode],"FAE")),"")</f>
        <v/>
      </c>
      <c r="L90" s="14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14" t="str">
        <f>IFERROR(IF(SUMIFS(tblDaily[TransfersIn],tblDaily[EntryDate],DATE(2026,3,3),tblDaily[WardCode],"FAE")=0,"",SUMIFS(tblDaily[TransfersIn],tblDaily[EntryDate],DATE(2026,3,3),tblDaily[WardCode],"FAE")),"")</f>
        <v/>
      </c>
      <c r="N90" s="14" t="str">
        <f>IFERROR(IF(SUMIFS(tblDaily[TransfersOut],tblDaily[EntryDate],DATE(2026,3,3),tblDaily[WardCode],"FAE")=0,"",SUMIFS(tblDaily[TransfersOut],tblDaily[EntryDate],DATE(2026,3,3),tblDaily[WardCode],"FAE")),"")</f>
        <v/>
      </c>
      <c r="O90" s="14" t="str">
        <f>IFERROR(IF(SUMIFS(tblDaily[Remaining],tblDaily[EntryDate],DATE(2026,3,3),tblDaily[WardCode],"FAE")=0,"",SUMIFS(tblDaily[Remaining],tblDaily[EntryDate],DATE(2026,3,3),tblDaily[WardCode],"FAE")),"")</f>
        <v/>
      </c>
      <c r="P90" s="15" t="str">
        <f t="shared" si="2"/>
        <v/>
      </c>
    </row>
    <row r="91" spans="1:16" x14ac:dyDescent="0.25">
      <c r="A91" s="14">
        <v>4</v>
      </c>
      <c r="B91" s="14" t="str">
        <f>IFERROR(IF(SUMIFS(tblDaily[Admissions],tblDaily[EntryDate],DATE(2026,3,4),tblDaily[WardCode],"MAE")=0,"",SUMIFS(tblDaily[Admissions],tblDaily[EntryDate],DATE(2026,3,4),tblDaily[WardCode],"MAE")),"")</f>
        <v/>
      </c>
      <c r="C91" s="14" t="str">
        <f>IFERROR(IF(SUMIFS(tblDaily[Discharges],tblDaily[EntryDate],DATE(2026,3,4),tblDaily[WardCode],"MAE")=0,"",SUMIFS(tblDaily[Discharges],tblDaily[EntryDate],DATE(2026,3,4),tblDaily[WardCode],"MAE")),"")</f>
        <v/>
      </c>
      <c r="D91" s="14" t="str">
        <f>IFERROR(IF(SUMIFS(tblDaily[Deaths],tblDaily[EntryDate],DATE(2026,3,4),tblDaily[WardCode],"MAE")=0,"",SUMIFS(tblDaily[Deaths],tblDaily[EntryDate],DATE(2026,3,4),tblDaily[WardCode],"MAE")),"")</f>
        <v/>
      </c>
      <c r="E91" s="14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14" t="str">
        <f>IFERROR(IF(SUMIFS(tblDaily[TransfersIn],tblDaily[EntryDate],DATE(2026,3,4),tblDaily[WardCode],"MAE")=0,"",SUMIFS(tblDaily[TransfersIn],tblDaily[EntryDate],DATE(2026,3,4),tblDaily[WardCode],"MAE")),"")</f>
        <v/>
      </c>
      <c r="G91" s="14" t="str">
        <f>IFERROR(IF(SUMIFS(tblDaily[TransfersOut],tblDaily[EntryDate],DATE(2026,3,4),tblDaily[WardCode],"MAE")=0,"",SUMIFS(tblDaily[TransfersOut],tblDaily[EntryDate],DATE(2026,3,4),tblDaily[WardCode],"MAE")),"")</f>
        <v/>
      </c>
      <c r="H91" s="14" t="str">
        <f>IFERROR(IF(SUMIFS(tblDaily[Remaining],tblDaily[EntryDate],DATE(2026,3,4),tblDaily[WardCode],"MAE")=0,"",SUMIFS(tblDaily[Remaining],tblDaily[EntryDate],DATE(2026,3,4),tblDaily[WardCode],"MAE")),"")</f>
        <v/>
      </c>
      <c r="I91" s="14" t="str">
        <f>IFERROR(IF(SUMIFS(tblDaily[Admissions],tblDaily[EntryDate],DATE(2026,3,4),tblDaily[WardCode],"FAE")=0,"",SUMIFS(tblDaily[Admissions],tblDaily[EntryDate],DATE(2026,3,4),tblDaily[WardCode],"FAE")),"")</f>
        <v/>
      </c>
      <c r="J91" s="14" t="str">
        <f>IFERROR(IF(SUMIFS(tblDaily[Discharges],tblDaily[EntryDate],DATE(2026,3,4),tblDaily[WardCode],"FAE")=0,"",SUMIFS(tblDaily[Discharges],tblDaily[EntryDate],DATE(2026,3,4),tblDaily[WardCode],"FAE")),"")</f>
        <v/>
      </c>
      <c r="K91" s="14" t="str">
        <f>IFERROR(IF(SUMIFS(tblDaily[Deaths],tblDaily[EntryDate],DATE(2026,3,4),tblDaily[WardCode],"FAE")=0,"",SUMIFS(tblDaily[Deaths],tblDaily[EntryDate],DATE(2026,3,4),tblDaily[WardCode],"FAE")),"")</f>
        <v/>
      </c>
      <c r="L91" s="14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14" t="str">
        <f>IFERROR(IF(SUMIFS(tblDaily[TransfersIn],tblDaily[EntryDate],DATE(2026,3,4),tblDaily[WardCode],"FAE")=0,"",SUMIFS(tblDaily[TransfersIn],tblDaily[EntryDate],DATE(2026,3,4),tblDaily[WardCode],"FAE")),"")</f>
        <v/>
      </c>
      <c r="N91" s="14" t="str">
        <f>IFERROR(IF(SUMIFS(tblDaily[TransfersOut],tblDaily[EntryDate],DATE(2026,3,4),tblDaily[WardCode],"FAE")=0,"",SUMIFS(tblDaily[TransfersOut],tblDaily[EntryDate],DATE(2026,3,4),tblDaily[WardCode],"FAE")),"")</f>
        <v/>
      </c>
      <c r="O91" s="14" t="str">
        <f>IFERROR(IF(SUMIFS(tblDaily[Remaining],tblDaily[EntryDate],DATE(2026,3,4),tblDaily[WardCode],"FAE")=0,"",SUMIFS(tblDaily[Remaining],tblDaily[EntryDate],DATE(2026,3,4),tblDaily[WardCode],"FAE")),"")</f>
        <v/>
      </c>
      <c r="P91" s="15" t="str">
        <f t="shared" si="2"/>
        <v/>
      </c>
    </row>
    <row r="92" spans="1:16" x14ac:dyDescent="0.25">
      <c r="A92" s="14">
        <v>5</v>
      </c>
      <c r="B92" s="14" t="str">
        <f>IFERROR(IF(SUMIFS(tblDaily[Admissions],tblDaily[EntryDate],DATE(2026,3,5),tblDaily[WardCode],"MAE")=0,"",SUMIFS(tblDaily[Admissions],tblDaily[EntryDate],DATE(2026,3,5),tblDaily[WardCode],"MAE")),"")</f>
        <v/>
      </c>
      <c r="C92" s="14" t="str">
        <f>IFERROR(IF(SUMIFS(tblDaily[Discharges],tblDaily[EntryDate],DATE(2026,3,5),tblDaily[WardCode],"MAE")=0,"",SUMIFS(tblDaily[Discharges],tblDaily[EntryDate],DATE(2026,3,5),tblDaily[WardCode],"MAE")),"")</f>
        <v/>
      </c>
      <c r="D92" s="14" t="str">
        <f>IFERROR(IF(SUMIFS(tblDaily[Deaths],tblDaily[EntryDate],DATE(2026,3,5),tblDaily[WardCode],"MAE")=0,"",SUMIFS(tblDaily[Deaths],tblDaily[EntryDate],DATE(2026,3,5),tblDaily[WardCode],"MAE")),"")</f>
        <v/>
      </c>
      <c r="E92" s="14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14" t="str">
        <f>IFERROR(IF(SUMIFS(tblDaily[TransfersIn],tblDaily[EntryDate],DATE(2026,3,5),tblDaily[WardCode],"MAE")=0,"",SUMIFS(tblDaily[TransfersIn],tblDaily[EntryDate],DATE(2026,3,5),tblDaily[WardCode],"MAE")),"")</f>
        <v/>
      </c>
      <c r="G92" s="14" t="str">
        <f>IFERROR(IF(SUMIFS(tblDaily[TransfersOut],tblDaily[EntryDate],DATE(2026,3,5),tblDaily[WardCode],"MAE")=0,"",SUMIFS(tblDaily[TransfersOut],tblDaily[EntryDate],DATE(2026,3,5),tblDaily[WardCode],"MAE")),"")</f>
        <v/>
      </c>
      <c r="H92" s="14" t="str">
        <f>IFERROR(IF(SUMIFS(tblDaily[Remaining],tblDaily[EntryDate],DATE(2026,3,5),tblDaily[WardCode],"MAE")=0,"",SUMIFS(tblDaily[Remaining],tblDaily[EntryDate],DATE(2026,3,5),tblDaily[WardCode],"MAE")),"")</f>
        <v/>
      </c>
      <c r="I92" s="14" t="str">
        <f>IFERROR(IF(SUMIFS(tblDaily[Admissions],tblDaily[EntryDate],DATE(2026,3,5),tblDaily[WardCode],"FAE")=0,"",SUMIFS(tblDaily[Admissions],tblDaily[EntryDate],DATE(2026,3,5),tblDaily[WardCode],"FAE")),"")</f>
        <v/>
      </c>
      <c r="J92" s="14" t="str">
        <f>IFERROR(IF(SUMIFS(tblDaily[Discharges],tblDaily[EntryDate],DATE(2026,3,5),tblDaily[WardCode],"FAE")=0,"",SUMIFS(tblDaily[Discharges],tblDaily[EntryDate],DATE(2026,3,5),tblDaily[WardCode],"FAE")),"")</f>
        <v/>
      </c>
      <c r="K92" s="14" t="str">
        <f>IFERROR(IF(SUMIFS(tblDaily[Deaths],tblDaily[EntryDate],DATE(2026,3,5),tblDaily[WardCode],"FAE")=0,"",SUMIFS(tblDaily[Deaths],tblDaily[EntryDate],DATE(2026,3,5),tblDaily[WardCode],"FAE")),"")</f>
        <v/>
      </c>
      <c r="L92" s="14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14" t="str">
        <f>IFERROR(IF(SUMIFS(tblDaily[TransfersIn],tblDaily[EntryDate],DATE(2026,3,5),tblDaily[WardCode],"FAE")=0,"",SUMIFS(tblDaily[TransfersIn],tblDaily[EntryDate],DATE(2026,3,5),tblDaily[WardCode],"FAE")),"")</f>
        <v/>
      </c>
      <c r="N92" s="14" t="str">
        <f>IFERROR(IF(SUMIFS(tblDaily[TransfersOut],tblDaily[EntryDate],DATE(2026,3,5),tblDaily[WardCode],"FAE")=0,"",SUMIFS(tblDaily[TransfersOut],tblDaily[EntryDate],DATE(2026,3,5),tblDaily[WardCode],"FAE")),"")</f>
        <v/>
      </c>
      <c r="O92" s="14" t="str">
        <f>IFERROR(IF(SUMIFS(tblDaily[Remaining],tblDaily[EntryDate],DATE(2026,3,5),tblDaily[WardCode],"FAE")=0,"",SUMIFS(tblDaily[Remaining],tblDaily[EntryDate],DATE(2026,3,5),tblDaily[WardCode],"FAE")),"")</f>
        <v/>
      </c>
      <c r="P92" s="15" t="str">
        <f t="shared" si="2"/>
        <v/>
      </c>
    </row>
    <row r="93" spans="1:16" x14ac:dyDescent="0.25">
      <c r="A93" s="14">
        <v>6</v>
      </c>
      <c r="B93" s="14" t="str">
        <f>IFERROR(IF(SUMIFS(tblDaily[Admissions],tblDaily[EntryDate],DATE(2026,3,6),tblDaily[WardCode],"MAE")=0,"",SUMIFS(tblDaily[Admissions],tblDaily[EntryDate],DATE(2026,3,6),tblDaily[WardCode],"MAE")),"")</f>
        <v/>
      </c>
      <c r="C93" s="14" t="str">
        <f>IFERROR(IF(SUMIFS(tblDaily[Discharges],tblDaily[EntryDate],DATE(2026,3,6),tblDaily[WardCode],"MAE")=0,"",SUMIFS(tblDaily[Discharges],tblDaily[EntryDate],DATE(2026,3,6),tblDaily[WardCode],"MAE")),"")</f>
        <v/>
      </c>
      <c r="D93" s="14" t="str">
        <f>IFERROR(IF(SUMIFS(tblDaily[Deaths],tblDaily[EntryDate],DATE(2026,3,6),tblDaily[WardCode],"MAE")=0,"",SUMIFS(tblDaily[Deaths],tblDaily[EntryDate],DATE(2026,3,6),tblDaily[WardCode],"MAE")),"")</f>
        <v/>
      </c>
      <c r="E93" s="14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14" t="str">
        <f>IFERROR(IF(SUMIFS(tblDaily[TransfersIn],tblDaily[EntryDate],DATE(2026,3,6),tblDaily[WardCode],"MAE")=0,"",SUMIFS(tblDaily[TransfersIn],tblDaily[EntryDate],DATE(2026,3,6),tblDaily[WardCode],"MAE")),"")</f>
        <v/>
      </c>
      <c r="G93" s="14" t="str">
        <f>IFERROR(IF(SUMIFS(tblDaily[TransfersOut],tblDaily[EntryDate],DATE(2026,3,6),tblDaily[WardCode],"MAE")=0,"",SUMIFS(tblDaily[TransfersOut],tblDaily[EntryDate],DATE(2026,3,6),tblDaily[WardCode],"MAE")),"")</f>
        <v/>
      </c>
      <c r="H93" s="14" t="str">
        <f>IFERROR(IF(SUMIFS(tblDaily[Remaining],tblDaily[EntryDate],DATE(2026,3,6),tblDaily[WardCode],"MAE")=0,"",SUMIFS(tblDaily[Remaining],tblDaily[EntryDate],DATE(2026,3,6),tblDaily[WardCode],"MAE")),"")</f>
        <v/>
      </c>
      <c r="I93" s="14" t="str">
        <f>IFERROR(IF(SUMIFS(tblDaily[Admissions],tblDaily[EntryDate],DATE(2026,3,6),tblDaily[WardCode],"FAE")=0,"",SUMIFS(tblDaily[Admissions],tblDaily[EntryDate],DATE(2026,3,6),tblDaily[WardCode],"FAE")),"")</f>
        <v/>
      </c>
      <c r="J93" s="14" t="str">
        <f>IFERROR(IF(SUMIFS(tblDaily[Discharges],tblDaily[EntryDate],DATE(2026,3,6),tblDaily[WardCode],"FAE")=0,"",SUMIFS(tblDaily[Discharges],tblDaily[EntryDate],DATE(2026,3,6),tblDaily[WardCode],"FAE")),"")</f>
        <v/>
      </c>
      <c r="K93" s="14" t="str">
        <f>IFERROR(IF(SUMIFS(tblDaily[Deaths],tblDaily[EntryDate],DATE(2026,3,6),tblDaily[WardCode],"FAE")=0,"",SUMIFS(tblDaily[Deaths],tblDaily[EntryDate],DATE(2026,3,6),tblDaily[WardCode],"FAE")),"")</f>
        <v/>
      </c>
      <c r="L93" s="14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14" t="str">
        <f>IFERROR(IF(SUMIFS(tblDaily[TransfersIn],tblDaily[EntryDate],DATE(2026,3,6),tblDaily[WardCode],"FAE")=0,"",SUMIFS(tblDaily[TransfersIn],tblDaily[EntryDate],DATE(2026,3,6),tblDaily[WardCode],"FAE")),"")</f>
        <v/>
      </c>
      <c r="N93" s="14" t="str">
        <f>IFERROR(IF(SUMIFS(tblDaily[TransfersOut],tblDaily[EntryDate],DATE(2026,3,6),tblDaily[WardCode],"FAE")=0,"",SUMIFS(tblDaily[TransfersOut],tblDaily[EntryDate],DATE(2026,3,6),tblDaily[WardCode],"FAE")),"")</f>
        <v/>
      </c>
      <c r="O93" s="14" t="str">
        <f>IFERROR(IF(SUMIFS(tblDaily[Remaining],tblDaily[EntryDate],DATE(2026,3,6),tblDaily[WardCode],"FAE")=0,"",SUMIFS(tblDaily[Remaining],tblDaily[EntryDate],DATE(2026,3,6),tblDaily[WardCode],"FAE")),"")</f>
        <v/>
      </c>
      <c r="P93" s="15" t="str">
        <f t="shared" si="2"/>
        <v/>
      </c>
    </row>
    <row r="94" spans="1:16" x14ac:dyDescent="0.25">
      <c r="A94" s="14">
        <v>7</v>
      </c>
      <c r="B94" s="14" t="str">
        <f>IFERROR(IF(SUMIFS(tblDaily[Admissions],tblDaily[EntryDate],DATE(2026,3,7),tblDaily[WardCode],"MAE")=0,"",SUMIFS(tblDaily[Admissions],tblDaily[EntryDate],DATE(2026,3,7),tblDaily[WardCode],"MAE")),"")</f>
        <v/>
      </c>
      <c r="C94" s="14" t="str">
        <f>IFERROR(IF(SUMIFS(tblDaily[Discharges],tblDaily[EntryDate],DATE(2026,3,7),tblDaily[WardCode],"MAE")=0,"",SUMIFS(tblDaily[Discharges],tblDaily[EntryDate],DATE(2026,3,7),tblDaily[WardCode],"MAE")),"")</f>
        <v/>
      </c>
      <c r="D94" s="14" t="str">
        <f>IFERROR(IF(SUMIFS(tblDaily[Deaths],tblDaily[EntryDate],DATE(2026,3,7),tblDaily[WardCode],"MAE")=0,"",SUMIFS(tblDaily[Deaths],tblDaily[EntryDate],DATE(2026,3,7),tblDaily[WardCode],"MAE")),"")</f>
        <v/>
      </c>
      <c r="E94" s="14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14" t="str">
        <f>IFERROR(IF(SUMIFS(tblDaily[TransfersIn],tblDaily[EntryDate],DATE(2026,3,7),tblDaily[WardCode],"MAE")=0,"",SUMIFS(tblDaily[TransfersIn],tblDaily[EntryDate],DATE(2026,3,7),tblDaily[WardCode],"MAE")),"")</f>
        <v/>
      </c>
      <c r="G94" s="14" t="str">
        <f>IFERROR(IF(SUMIFS(tblDaily[TransfersOut],tblDaily[EntryDate],DATE(2026,3,7),tblDaily[WardCode],"MAE")=0,"",SUMIFS(tblDaily[TransfersOut],tblDaily[EntryDate],DATE(2026,3,7),tblDaily[WardCode],"MAE")),"")</f>
        <v/>
      </c>
      <c r="H94" s="14" t="str">
        <f>IFERROR(IF(SUMIFS(tblDaily[Remaining],tblDaily[EntryDate],DATE(2026,3,7),tblDaily[WardCode],"MAE")=0,"",SUMIFS(tblDaily[Remaining],tblDaily[EntryDate],DATE(2026,3,7),tblDaily[WardCode],"MAE")),"")</f>
        <v/>
      </c>
      <c r="I94" s="14" t="str">
        <f>IFERROR(IF(SUMIFS(tblDaily[Admissions],tblDaily[EntryDate],DATE(2026,3,7),tblDaily[WardCode],"FAE")=0,"",SUMIFS(tblDaily[Admissions],tblDaily[EntryDate],DATE(2026,3,7),tblDaily[WardCode],"FAE")),"")</f>
        <v/>
      </c>
      <c r="J94" s="14" t="str">
        <f>IFERROR(IF(SUMIFS(tblDaily[Discharges],tblDaily[EntryDate],DATE(2026,3,7),tblDaily[WardCode],"FAE")=0,"",SUMIFS(tblDaily[Discharges],tblDaily[EntryDate],DATE(2026,3,7),tblDaily[WardCode],"FAE")),"")</f>
        <v/>
      </c>
      <c r="K94" s="14" t="str">
        <f>IFERROR(IF(SUMIFS(tblDaily[Deaths],tblDaily[EntryDate],DATE(2026,3,7),tblDaily[WardCode],"FAE")=0,"",SUMIFS(tblDaily[Deaths],tblDaily[EntryDate],DATE(2026,3,7),tblDaily[WardCode],"FAE")),"")</f>
        <v/>
      </c>
      <c r="L94" s="14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14" t="str">
        <f>IFERROR(IF(SUMIFS(tblDaily[TransfersIn],tblDaily[EntryDate],DATE(2026,3,7),tblDaily[WardCode],"FAE")=0,"",SUMIFS(tblDaily[TransfersIn],tblDaily[EntryDate],DATE(2026,3,7),tblDaily[WardCode],"FAE")),"")</f>
        <v/>
      </c>
      <c r="N94" s="14" t="str">
        <f>IFERROR(IF(SUMIFS(tblDaily[TransfersOut],tblDaily[EntryDate],DATE(2026,3,7),tblDaily[WardCode],"FAE")=0,"",SUMIFS(tblDaily[TransfersOut],tblDaily[EntryDate],DATE(2026,3,7),tblDaily[WardCode],"FAE")),"")</f>
        <v/>
      </c>
      <c r="O94" s="14" t="str">
        <f>IFERROR(IF(SUMIFS(tblDaily[Remaining],tblDaily[EntryDate],DATE(2026,3,7),tblDaily[WardCode],"FAE")=0,"",SUMIFS(tblDaily[Remaining],tblDaily[EntryDate],DATE(2026,3,7),tblDaily[WardCode],"FAE")),"")</f>
        <v/>
      </c>
      <c r="P94" s="15" t="str">
        <f t="shared" si="2"/>
        <v/>
      </c>
    </row>
    <row r="95" spans="1:16" x14ac:dyDescent="0.25">
      <c r="A95" s="14">
        <v>8</v>
      </c>
      <c r="B95" s="14" t="str">
        <f>IFERROR(IF(SUMIFS(tblDaily[Admissions],tblDaily[EntryDate],DATE(2026,3,8),tblDaily[WardCode],"MAE")=0,"",SUMIFS(tblDaily[Admissions],tblDaily[EntryDate],DATE(2026,3,8),tblDaily[WardCode],"MAE")),"")</f>
        <v/>
      </c>
      <c r="C95" s="14" t="str">
        <f>IFERROR(IF(SUMIFS(tblDaily[Discharges],tblDaily[EntryDate],DATE(2026,3,8),tblDaily[WardCode],"MAE")=0,"",SUMIFS(tblDaily[Discharges],tblDaily[EntryDate],DATE(2026,3,8),tblDaily[WardCode],"MAE")),"")</f>
        <v/>
      </c>
      <c r="D95" s="14" t="str">
        <f>IFERROR(IF(SUMIFS(tblDaily[Deaths],tblDaily[EntryDate],DATE(2026,3,8),tblDaily[WardCode],"MAE")=0,"",SUMIFS(tblDaily[Deaths],tblDaily[EntryDate],DATE(2026,3,8),tblDaily[WardCode],"MAE")),"")</f>
        <v/>
      </c>
      <c r="E95" s="14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14" t="str">
        <f>IFERROR(IF(SUMIFS(tblDaily[TransfersIn],tblDaily[EntryDate],DATE(2026,3,8),tblDaily[WardCode],"MAE")=0,"",SUMIFS(tblDaily[TransfersIn],tblDaily[EntryDate],DATE(2026,3,8),tblDaily[WardCode],"MAE")),"")</f>
        <v/>
      </c>
      <c r="G95" s="14" t="str">
        <f>IFERROR(IF(SUMIFS(tblDaily[TransfersOut],tblDaily[EntryDate],DATE(2026,3,8),tblDaily[WardCode],"MAE")=0,"",SUMIFS(tblDaily[TransfersOut],tblDaily[EntryDate],DATE(2026,3,8),tblDaily[WardCode],"MAE")),"")</f>
        <v/>
      </c>
      <c r="H95" s="14" t="str">
        <f>IFERROR(IF(SUMIFS(tblDaily[Remaining],tblDaily[EntryDate],DATE(2026,3,8),tblDaily[WardCode],"MAE")=0,"",SUMIFS(tblDaily[Remaining],tblDaily[EntryDate],DATE(2026,3,8),tblDaily[WardCode],"MAE")),"")</f>
        <v/>
      </c>
      <c r="I95" s="14" t="str">
        <f>IFERROR(IF(SUMIFS(tblDaily[Admissions],tblDaily[EntryDate],DATE(2026,3,8),tblDaily[WardCode],"FAE")=0,"",SUMIFS(tblDaily[Admissions],tblDaily[EntryDate],DATE(2026,3,8),tblDaily[WardCode],"FAE")),"")</f>
        <v/>
      </c>
      <c r="J95" s="14" t="str">
        <f>IFERROR(IF(SUMIFS(tblDaily[Discharges],tblDaily[EntryDate],DATE(2026,3,8),tblDaily[WardCode],"FAE")=0,"",SUMIFS(tblDaily[Discharges],tblDaily[EntryDate],DATE(2026,3,8),tblDaily[WardCode],"FAE")),"")</f>
        <v/>
      </c>
      <c r="K95" s="14" t="str">
        <f>IFERROR(IF(SUMIFS(tblDaily[Deaths],tblDaily[EntryDate],DATE(2026,3,8),tblDaily[WardCode],"FAE")=0,"",SUMIFS(tblDaily[Deaths],tblDaily[EntryDate],DATE(2026,3,8),tblDaily[WardCode],"FAE")),"")</f>
        <v/>
      </c>
      <c r="L95" s="14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14" t="str">
        <f>IFERROR(IF(SUMIFS(tblDaily[TransfersIn],tblDaily[EntryDate],DATE(2026,3,8),tblDaily[WardCode],"FAE")=0,"",SUMIFS(tblDaily[TransfersIn],tblDaily[EntryDate],DATE(2026,3,8),tblDaily[WardCode],"FAE")),"")</f>
        <v/>
      </c>
      <c r="N95" s="14" t="str">
        <f>IFERROR(IF(SUMIFS(tblDaily[TransfersOut],tblDaily[EntryDate],DATE(2026,3,8),tblDaily[WardCode],"FAE")=0,"",SUMIFS(tblDaily[TransfersOut],tblDaily[EntryDate],DATE(2026,3,8),tblDaily[WardCode],"FAE")),"")</f>
        <v/>
      </c>
      <c r="O95" s="14" t="str">
        <f>IFERROR(IF(SUMIFS(tblDaily[Remaining],tblDaily[EntryDate],DATE(2026,3,8),tblDaily[WardCode],"FAE")=0,"",SUMIFS(tblDaily[Remaining],tblDaily[EntryDate],DATE(2026,3,8),tblDaily[WardCode],"FAE")),"")</f>
        <v/>
      </c>
      <c r="P95" s="15" t="str">
        <f t="shared" si="2"/>
        <v/>
      </c>
    </row>
    <row r="96" spans="1:16" x14ac:dyDescent="0.25">
      <c r="A96" s="14">
        <v>9</v>
      </c>
      <c r="B96" s="14" t="str">
        <f>IFERROR(IF(SUMIFS(tblDaily[Admissions],tblDaily[EntryDate],DATE(2026,3,9),tblDaily[WardCode],"MAE")=0,"",SUMIFS(tblDaily[Admissions],tblDaily[EntryDate],DATE(2026,3,9),tblDaily[WardCode],"MAE")),"")</f>
        <v/>
      </c>
      <c r="C96" s="14" t="str">
        <f>IFERROR(IF(SUMIFS(tblDaily[Discharges],tblDaily[EntryDate],DATE(2026,3,9),tblDaily[WardCode],"MAE")=0,"",SUMIFS(tblDaily[Discharges],tblDaily[EntryDate],DATE(2026,3,9),tblDaily[WardCode],"MAE")),"")</f>
        <v/>
      </c>
      <c r="D96" s="14" t="str">
        <f>IFERROR(IF(SUMIFS(tblDaily[Deaths],tblDaily[EntryDate],DATE(2026,3,9),tblDaily[WardCode],"MAE")=0,"",SUMIFS(tblDaily[Deaths],tblDaily[EntryDate],DATE(2026,3,9),tblDaily[WardCode],"MAE")),"")</f>
        <v/>
      </c>
      <c r="E96" s="14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14" t="str">
        <f>IFERROR(IF(SUMIFS(tblDaily[TransfersIn],tblDaily[EntryDate],DATE(2026,3,9),tblDaily[WardCode],"MAE")=0,"",SUMIFS(tblDaily[TransfersIn],tblDaily[EntryDate],DATE(2026,3,9),tblDaily[WardCode],"MAE")),"")</f>
        <v/>
      </c>
      <c r="G96" s="14" t="str">
        <f>IFERROR(IF(SUMIFS(tblDaily[TransfersOut],tblDaily[EntryDate],DATE(2026,3,9),tblDaily[WardCode],"MAE")=0,"",SUMIFS(tblDaily[TransfersOut],tblDaily[EntryDate],DATE(2026,3,9),tblDaily[WardCode],"MAE")),"")</f>
        <v/>
      </c>
      <c r="H96" s="14" t="str">
        <f>IFERROR(IF(SUMIFS(tblDaily[Remaining],tblDaily[EntryDate],DATE(2026,3,9),tblDaily[WardCode],"MAE")=0,"",SUMIFS(tblDaily[Remaining],tblDaily[EntryDate],DATE(2026,3,9),tblDaily[WardCode],"MAE")),"")</f>
        <v/>
      </c>
      <c r="I96" s="14" t="str">
        <f>IFERROR(IF(SUMIFS(tblDaily[Admissions],tblDaily[EntryDate],DATE(2026,3,9),tblDaily[WardCode],"FAE")=0,"",SUMIFS(tblDaily[Admissions],tblDaily[EntryDate],DATE(2026,3,9),tblDaily[WardCode],"FAE")),"")</f>
        <v/>
      </c>
      <c r="J96" s="14" t="str">
        <f>IFERROR(IF(SUMIFS(tblDaily[Discharges],tblDaily[EntryDate],DATE(2026,3,9),tblDaily[WardCode],"FAE")=0,"",SUMIFS(tblDaily[Discharges],tblDaily[EntryDate],DATE(2026,3,9),tblDaily[WardCode],"FAE")),"")</f>
        <v/>
      </c>
      <c r="K96" s="14" t="str">
        <f>IFERROR(IF(SUMIFS(tblDaily[Deaths],tblDaily[EntryDate],DATE(2026,3,9),tblDaily[WardCode],"FAE")=0,"",SUMIFS(tblDaily[Deaths],tblDaily[EntryDate],DATE(2026,3,9),tblDaily[WardCode],"FAE")),"")</f>
        <v/>
      </c>
      <c r="L96" s="14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14" t="str">
        <f>IFERROR(IF(SUMIFS(tblDaily[TransfersIn],tblDaily[EntryDate],DATE(2026,3,9),tblDaily[WardCode],"FAE")=0,"",SUMIFS(tblDaily[TransfersIn],tblDaily[EntryDate],DATE(2026,3,9),tblDaily[WardCode],"FAE")),"")</f>
        <v/>
      </c>
      <c r="N96" s="14" t="str">
        <f>IFERROR(IF(SUMIFS(tblDaily[TransfersOut],tblDaily[EntryDate],DATE(2026,3,9),tblDaily[WardCode],"FAE")=0,"",SUMIFS(tblDaily[TransfersOut],tblDaily[EntryDate],DATE(2026,3,9),tblDaily[WardCode],"FAE")),"")</f>
        <v/>
      </c>
      <c r="O96" s="14" t="str">
        <f>IFERROR(IF(SUMIFS(tblDaily[Remaining],tblDaily[EntryDate],DATE(2026,3,9),tblDaily[WardCode],"FAE")=0,"",SUMIFS(tblDaily[Remaining],tblDaily[EntryDate],DATE(2026,3,9),tblDaily[WardCode],"FAE")),"")</f>
        <v/>
      </c>
      <c r="P96" s="15" t="str">
        <f t="shared" si="2"/>
        <v/>
      </c>
    </row>
    <row r="97" spans="1:16" x14ac:dyDescent="0.25">
      <c r="A97" s="14">
        <v>10</v>
      </c>
      <c r="B97" s="14" t="str">
        <f>IFERROR(IF(SUMIFS(tblDaily[Admissions],tblDaily[EntryDate],DATE(2026,3,10),tblDaily[WardCode],"MAE")=0,"",SUMIFS(tblDaily[Admissions],tblDaily[EntryDate],DATE(2026,3,10),tblDaily[WardCode],"MAE")),"")</f>
        <v/>
      </c>
      <c r="C97" s="14" t="str">
        <f>IFERROR(IF(SUMIFS(tblDaily[Discharges],tblDaily[EntryDate],DATE(2026,3,10),tblDaily[WardCode],"MAE")=0,"",SUMIFS(tblDaily[Discharges],tblDaily[EntryDate],DATE(2026,3,10),tblDaily[WardCode],"MAE")),"")</f>
        <v/>
      </c>
      <c r="D97" s="14" t="str">
        <f>IFERROR(IF(SUMIFS(tblDaily[Deaths],tblDaily[EntryDate],DATE(2026,3,10),tblDaily[WardCode],"MAE")=0,"",SUMIFS(tblDaily[Deaths],tblDaily[EntryDate],DATE(2026,3,10),tblDaily[WardCode],"MAE")),"")</f>
        <v/>
      </c>
      <c r="E97" s="14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14" t="str">
        <f>IFERROR(IF(SUMIFS(tblDaily[TransfersIn],tblDaily[EntryDate],DATE(2026,3,10),tblDaily[WardCode],"MAE")=0,"",SUMIFS(tblDaily[TransfersIn],tblDaily[EntryDate],DATE(2026,3,10),tblDaily[WardCode],"MAE")),"")</f>
        <v/>
      </c>
      <c r="G97" s="14" t="str">
        <f>IFERROR(IF(SUMIFS(tblDaily[TransfersOut],tblDaily[EntryDate],DATE(2026,3,10),tblDaily[WardCode],"MAE")=0,"",SUMIFS(tblDaily[TransfersOut],tblDaily[EntryDate],DATE(2026,3,10),tblDaily[WardCode],"MAE")),"")</f>
        <v/>
      </c>
      <c r="H97" s="14" t="str">
        <f>IFERROR(IF(SUMIFS(tblDaily[Remaining],tblDaily[EntryDate],DATE(2026,3,10),tblDaily[WardCode],"MAE")=0,"",SUMIFS(tblDaily[Remaining],tblDaily[EntryDate],DATE(2026,3,10),tblDaily[WardCode],"MAE")),"")</f>
        <v/>
      </c>
      <c r="I97" s="14" t="str">
        <f>IFERROR(IF(SUMIFS(tblDaily[Admissions],tblDaily[EntryDate],DATE(2026,3,10),tblDaily[WardCode],"FAE")=0,"",SUMIFS(tblDaily[Admissions],tblDaily[EntryDate],DATE(2026,3,10),tblDaily[WardCode],"FAE")),"")</f>
        <v/>
      </c>
      <c r="J97" s="14" t="str">
        <f>IFERROR(IF(SUMIFS(tblDaily[Discharges],tblDaily[EntryDate],DATE(2026,3,10),tblDaily[WardCode],"FAE")=0,"",SUMIFS(tblDaily[Discharges],tblDaily[EntryDate],DATE(2026,3,10),tblDaily[WardCode],"FAE")),"")</f>
        <v/>
      </c>
      <c r="K97" s="14" t="str">
        <f>IFERROR(IF(SUMIFS(tblDaily[Deaths],tblDaily[EntryDate],DATE(2026,3,10),tblDaily[WardCode],"FAE")=0,"",SUMIFS(tblDaily[Deaths],tblDaily[EntryDate],DATE(2026,3,10),tblDaily[WardCode],"FAE")),"")</f>
        <v/>
      </c>
      <c r="L97" s="14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14" t="str">
        <f>IFERROR(IF(SUMIFS(tblDaily[TransfersIn],tblDaily[EntryDate],DATE(2026,3,10),tblDaily[WardCode],"FAE")=0,"",SUMIFS(tblDaily[TransfersIn],tblDaily[EntryDate],DATE(2026,3,10),tblDaily[WardCode],"FAE")),"")</f>
        <v/>
      </c>
      <c r="N97" s="14" t="str">
        <f>IFERROR(IF(SUMIFS(tblDaily[TransfersOut],tblDaily[EntryDate],DATE(2026,3,10),tblDaily[WardCode],"FAE")=0,"",SUMIFS(tblDaily[TransfersOut],tblDaily[EntryDate],DATE(2026,3,10),tblDaily[WardCode],"FAE")),"")</f>
        <v/>
      </c>
      <c r="O97" s="14" t="str">
        <f>IFERROR(IF(SUMIFS(tblDaily[Remaining],tblDaily[EntryDate],DATE(2026,3,10),tblDaily[WardCode],"FAE")=0,"",SUMIFS(tblDaily[Remaining],tblDaily[EntryDate],DATE(2026,3,10),tblDaily[WardCode],"FAE")),"")</f>
        <v/>
      </c>
      <c r="P97" s="15" t="str">
        <f t="shared" si="2"/>
        <v/>
      </c>
    </row>
    <row r="98" spans="1:16" x14ac:dyDescent="0.25">
      <c r="A98" s="14">
        <v>11</v>
      </c>
      <c r="B98" s="14" t="str">
        <f>IFERROR(IF(SUMIFS(tblDaily[Admissions],tblDaily[EntryDate],DATE(2026,3,11),tblDaily[WardCode],"MAE")=0,"",SUMIFS(tblDaily[Admissions],tblDaily[EntryDate],DATE(2026,3,11),tblDaily[WardCode],"MAE")),"")</f>
        <v/>
      </c>
      <c r="C98" s="14" t="str">
        <f>IFERROR(IF(SUMIFS(tblDaily[Discharges],tblDaily[EntryDate],DATE(2026,3,11),tblDaily[WardCode],"MAE")=0,"",SUMIFS(tblDaily[Discharges],tblDaily[EntryDate],DATE(2026,3,11),tblDaily[WardCode],"MAE")),"")</f>
        <v/>
      </c>
      <c r="D98" s="14" t="str">
        <f>IFERROR(IF(SUMIFS(tblDaily[Deaths],tblDaily[EntryDate],DATE(2026,3,11),tblDaily[WardCode],"MAE")=0,"",SUMIFS(tblDaily[Deaths],tblDaily[EntryDate],DATE(2026,3,11),tblDaily[WardCode],"MAE")),"")</f>
        <v/>
      </c>
      <c r="E98" s="14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14" t="str">
        <f>IFERROR(IF(SUMIFS(tblDaily[TransfersIn],tblDaily[EntryDate],DATE(2026,3,11),tblDaily[WardCode],"MAE")=0,"",SUMIFS(tblDaily[TransfersIn],tblDaily[EntryDate],DATE(2026,3,11),tblDaily[WardCode],"MAE")),"")</f>
        <v/>
      </c>
      <c r="G98" s="14" t="str">
        <f>IFERROR(IF(SUMIFS(tblDaily[TransfersOut],tblDaily[EntryDate],DATE(2026,3,11),tblDaily[WardCode],"MAE")=0,"",SUMIFS(tblDaily[TransfersOut],tblDaily[EntryDate],DATE(2026,3,11),tblDaily[WardCode],"MAE")),"")</f>
        <v/>
      </c>
      <c r="H98" s="14" t="str">
        <f>IFERROR(IF(SUMIFS(tblDaily[Remaining],tblDaily[EntryDate],DATE(2026,3,11),tblDaily[WardCode],"MAE")=0,"",SUMIFS(tblDaily[Remaining],tblDaily[EntryDate],DATE(2026,3,11),tblDaily[WardCode],"MAE")),"")</f>
        <v/>
      </c>
      <c r="I98" s="14" t="str">
        <f>IFERROR(IF(SUMIFS(tblDaily[Admissions],tblDaily[EntryDate],DATE(2026,3,11),tblDaily[WardCode],"FAE")=0,"",SUMIFS(tblDaily[Admissions],tblDaily[EntryDate],DATE(2026,3,11),tblDaily[WardCode],"FAE")),"")</f>
        <v/>
      </c>
      <c r="J98" s="14" t="str">
        <f>IFERROR(IF(SUMIFS(tblDaily[Discharges],tblDaily[EntryDate],DATE(2026,3,11),tblDaily[WardCode],"FAE")=0,"",SUMIFS(tblDaily[Discharges],tblDaily[EntryDate],DATE(2026,3,11),tblDaily[WardCode],"FAE")),"")</f>
        <v/>
      </c>
      <c r="K98" s="14" t="str">
        <f>IFERROR(IF(SUMIFS(tblDaily[Deaths],tblDaily[EntryDate],DATE(2026,3,11),tblDaily[WardCode],"FAE")=0,"",SUMIFS(tblDaily[Deaths],tblDaily[EntryDate],DATE(2026,3,11),tblDaily[WardCode],"FAE")),"")</f>
        <v/>
      </c>
      <c r="L98" s="14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14" t="str">
        <f>IFERROR(IF(SUMIFS(tblDaily[TransfersIn],tblDaily[EntryDate],DATE(2026,3,11),tblDaily[WardCode],"FAE")=0,"",SUMIFS(tblDaily[TransfersIn],tblDaily[EntryDate],DATE(2026,3,11),tblDaily[WardCode],"FAE")),"")</f>
        <v/>
      </c>
      <c r="N98" s="14" t="str">
        <f>IFERROR(IF(SUMIFS(tblDaily[TransfersOut],tblDaily[EntryDate],DATE(2026,3,11),tblDaily[WardCode],"FAE")=0,"",SUMIFS(tblDaily[TransfersOut],tblDaily[EntryDate],DATE(2026,3,11),tblDaily[WardCode],"FAE")),"")</f>
        <v/>
      </c>
      <c r="O98" s="14" t="str">
        <f>IFERROR(IF(SUMIFS(tblDaily[Remaining],tblDaily[EntryDate],DATE(2026,3,11),tblDaily[WardCode],"FAE")=0,"",SUMIFS(tblDaily[Remaining],tblDaily[EntryDate],DATE(2026,3,11),tblDaily[WardCode],"FAE")),"")</f>
        <v/>
      </c>
      <c r="P98" s="15" t="str">
        <f t="shared" si="2"/>
        <v/>
      </c>
    </row>
    <row r="99" spans="1:16" x14ac:dyDescent="0.25">
      <c r="A99" s="14">
        <v>12</v>
      </c>
      <c r="B99" s="14" t="str">
        <f>IFERROR(IF(SUMIFS(tblDaily[Admissions],tblDaily[EntryDate],DATE(2026,3,12),tblDaily[WardCode],"MAE")=0,"",SUMIFS(tblDaily[Admissions],tblDaily[EntryDate],DATE(2026,3,12),tblDaily[WardCode],"MAE")),"")</f>
        <v/>
      </c>
      <c r="C99" s="14" t="str">
        <f>IFERROR(IF(SUMIFS(tblDaily[Discharges],tblDaily[EntryDate],DATE(2026,3,12),tblDaily[WardCode],"MAE")=0,"",SUMIFS(tblDaily[Discharges],tblDaily[EntryDate],DATE(2026,3,12),tblDaily[WardCode],"MAE")),"")</f>
        <v/>
      </c>
      <c r="D99" s="14" t="str">
        <f>IFERROR(IF(SUMIFS(tblDaily[Deaths],tblDaily[EntryDate],DATE(2026,3,12),tblDaily[WardCode],"MAE")=0,"",SUMIFS(tblDaily[Deaths],tblDaily[EntryDate],DATE(2026,3,12),tblDaily[WardCode],"MAE")),"")</f>
        <v/>
      </c>
      <c r="E99" s="14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14" t="str">
        <f>IFERROR(IF(SUMIFS(tblDaily[TransfersIn],tblDaily[EntryDate],DATE(2026,3,12),tblDaily[WardCode],"MAE")=0,"",SUMIFS(tblDaily[TransfersIn],tblDaily[EntryDate],DATE(2026,3,12),tblDaily[WardCode],"MAE")),"")</f>
        <v/>
      </c>
      <c r="G99" s="14" t="str">
        <f>IFERROR(IF(SUMIFS(tblDaily[TransfersOut],tblDaily[EntryDate],DATE(2026,3,12),tblDaily[WardCode],"MAE")=0,"",SUMIFS(tblDaily[TransfersOut],tblDaily[EntryDate],DATE(2026,3,12),tblDaily[WardCode],"MAE")),"")</f>
        <v/>
      </c>
      <c r="H99" s="14" t="str">
        <f>IFERROR(IF(SUMIFS(tblDaily[Remaining],tblDaily[EntryDate],DATE(2026,3,12),tblDaily[WardCode],"MAE")=0,"",SUMIFS(tblDaily[Remaining],tblDaily[EntryDate],DATE(2026,3,12),tblDaily[WardCode],"MAE")),"")</f>
        <v/>
      </c>
      <c r="I99" s="14" t="str">
        <f>IFERROR(IF(SUMIFS(tblDaily[Admissions],tblDaily[EntryDate],DATE(2026,3,12),tblDaily[WardCode],"FAE")=0,"",SUMIFS(tblDaily[Admissions],tblDaily[EntryDate],DATE(2026,3,12),tblDaily[WardCode],"FAE")),"")</f>
        <v/>
      </c>
      <c r="J99" s="14" t="str">
        <f>IFERROR(IF(SUMIFS(tblDaily[Discharges],tblDaily[EntryDate],DATE(2026,3,12),tblDaily[WardCode],"FAE")=0,"",SUMIFS(tblDaily[Discharges],tblDaily[EntryDate],DATE(2026,3,12),tblDaily[WardCode],"FAE")),"")</f>
        <v/>
      </c>
      <c r="K99" s="14" t="str">
        <f>IFERROR(IF(SUMIFS(tblDaily[Deaths],tblDaily[EntryDate],DATE(2026,3,12),tblDaily[WardCode],"FAE")=0,"",SUMIFS(tblDaily[Deaths],tblDaily[EntryDate],DATE(2026,3,12),tblDaily[WardCode],"FAE")),"")</f>
        <v/>
      </c>
      <c r="L99" s="14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14" t="str">
        <f>IFERROR(IF(SUMIFS(tblDaily[TransfersIn],tblDaily[EntryDate],DATE(2026,3,12),tblDaily[WardCode],"FAE")=0,"",SUMIFS(tblDaily[TransfersIn],tblDaily[EntryDate],DATE(2026,3,12),tblDaily[WardCode],"FAE")),"")</f>
        <v/>
      </c>
      <c r="N99" s="14" t="str">
        <f>IFERROR(IF(SUMIFS(tblDaily[TransfersOut],tblDaily[EntryDate],DATE(2026,3,12),tblDaily[WardCode],"FAE")=0,"",SUMIFS(tblDaily[TransfersOut],tblDaily[EntryDate],DATE(2026,3,12),tblDaily[WardCode],"FAE")),"")</f>
        <v/>
      </c>
      <c r="O99" s="14" t="str">
        <f>IFERROR(IF(SUMIFS(tblDaily[Remaining],tblDaily[EntryDate],DATE(2026,3,12),tblDaily[WardCode],"FAE")=0,"",SUMIFS(tblDaily[Remaining],tblDaily[EntryDate],DATE(2026,3,12),tblDaily[WardCode],"FAE")),"")</f>
        <v/>
      </c>
      <c r="P99" s="15" t="str">
        <f t="shared" si="2"/>
        <v/>
      </c>
    </row>
    <row r="100" spans="1:16" x14ac:dyDescent="0.25">
      <c r="A100" s="14">
        <v>13</v>
      </c>
      <c r="B100" s="14" t="str">
        <f>IFERROR(IF(SUMIFS(tblDaily[Admissions],tblDaily[EntryDate],DATE(2026,3,13),tblDaily[WardCode],"MAE")=0,"",SUMIFS(tblDaily[Admissions],tblDaily[EntryDate],DATE(2026,3,13),tblDaily[WardCode],"MAE")),"")</f>
        <v/>
      </c>
      <c r="C100" s="14" t="str">
        <f>IFERROR(IF(SUMIFS(tblDaily[Discharges],tblDaily[EntryDate],DATE(2026,3,13),tblDaily[WardCode],"MAE")=0,"",SUMIFS(tblDaily[Discharges],tblDaily[EntryDate],DATE(2026,3,13),tblDaily[WardCode],"MAE")),"")</f>
        <v/>
      </c>
      <c r="D100" s="14" t="str">
        <f>IFERROR(IF(SUMIFS(tblDaily[Deaths],tblDaily[EntryDate],DATE(2026,3,13),tblDaily[WardCode],"MAE")=0,"",SUMIFS(tblDaily[Deaths],tblDaily[EntryDate],DATE(2026,3,13),tblDaily[WardCode],"MAE")),"")</f>
        <v/>
      </c>
      <c r="E100" s="14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14" t="str">
        <f>IFERROR(IF(SUMIFS(tblDaily[TransfersIn],tblDaily[EntryDate],DATE(2026,3,13),tblDaily[WardCode],"MAE")=0,"",SUMIFS(tblDaily[TransfersIn],tblDaily[EntryDate],DATE(2026,3,13),tblDaily[WardCode],"MAE")),"")</f>
        <v/>
      </c>
      <c r="G100" s="14" t="str">
        <f>IFERROR(IF(SUMIFS(tblDaily[TransfersOut],tblDaily[EntryDate],DATE(2026,3,13),tblDaily[WardCode],"MAE")=0,"",SUMIFS(tblDaily[TransfersOut],tblDaily[EntryDate],DATE(2026,3,13),tblDaily[WardCode],"MAE")),"")</f>
        <v/>
      </c>
      <c r="H100" s="14" t="str">
        <f>IFERROR(IF(SUMIFS(tblDaily[Remaining],tblDaily[EntryDate],DATE(2026,3,13),tblDaily[WardCode],"MAE")=0,"",SUMIFS(tblDaily[Remaining],tblDaily[EntryDate],DATE(2026,3,13),tblDaily[WardCode],"MAE")),"")</f>
        <v/>
      </c>
      <c r="I100" s="14" t="str">
        <f>IFERROR(IF(SUMIFS(tblDaily[Admissions],tblDaily[EntryDate],DATE(2026,3,13),tblDaily[WardCode],"FAE")=0,"",SUMIFS(tblDaily[Admissions],tblDaily[EntryDate],DATE(2026,3,13),tblDaily[WardCode],"FAE")),"")</f>
        <v/>
      </c>
      <c r="J100" s="14" t="str">
        <f>IFERROR(IF(SUMIFS(tblDaily[Discharges],tblDaily[EntryDate],DATE(2026,3,13),tblDaily[WardCode],"FAE")=0,"",SUMIFS(tblDaily[Discharges],tblDaily[EntryDate],DATE(2026,3,13),tblDaily[WardCode],"FAE")),"")</f>
        <v/>
      </c>
      <c r="K100" s="14" t="str">
        <f>IFERROR(IF(SUMIFS(tblDaily[Deaths],tblDaily[EntryDate],DATE(2026,3,13),tblDaily[WardCode],"FAE")=0,"",SUMIFS(tblDaily[Deaths],tblDaily[EntryDate],DATE(2026,3,13),tblDaily[WardCode],"FAE")),"")</f>
        <v/>
      </c>
      <c r="L100" s="14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14" t="str">
        <f>IFERROR(IF(SUMIFS(tblDaily[TransfersIn],tblDaily[EntryDate],DATE(2026,3,13),tblDaily[WardCode],"FAE")=0,"",SUMIFS(tblDaily[TransfersIn],tblDaily[EntryDate],DATE(2026,3,13),tblDaily[WardCode],"FAE")),"")</f>
        <v/>
      </c>
      <c r="N100" s="14" t="str">
        <f>IFERROR(IF(SUMIFS(tblDaily[TransfersOut],tblDaily[EntryDate],DATE(2026,3,13),tblDaily[WardCode],"FAE")=0,"",SUMIFS(tblDaily[TransfersOut],tblDaily[EntryDate],DATE(2026,3,13),tblDaily[WardCode],"FAE")),"")</f>
        <v/>
      </c>
      <c r="O100" s="14" t="str">
        <f>IFERROR(IF(SUMIFS(tblDaily[Remaining],tblDaily[EntryDate],DATE(2026,3,13),tblDaily[WardCode],"FAE")=0,"",SUMIFS(tblDaily[Remaining],tblDaily[EntryDate],DATE(2026,3,13),tblDaily[WardCode],"FAE")),"")</f>
        <v/>
      </c>
      <c r="P100" s="15" t="str">
        <f t="shared" si="2"/>
        <v/>
      </c>
    </row>
    <row r="101" spans="1:16" x14ac:dyDescent="0.25">
      <c r="A101" s="14">
        <v>14</v>
      </c>
      <c r="B101" s="14" t="str">
        <f>IFERROR(IF(SUMIFS(tblDaily[Admissions],tblDaily[EntryDate],DATE(2026,3,14),tblDaily[WardCode],"MAE")=0,"",SUMIFS(tblDaily[Admissions],tblDaily[EntryDate],DATE(2026,3,14),tblDaily[WardCode],"MAE")),"")</f>
        <v/>
      </c>
      <c r="C101" s="14" t="str">
        <f>IFERROR(IF(SUMIFS(tblDaily[Discharges],tblDaily[EntryDate],DATE(2026,3,14),tblDaily[WardCode],"MAE")=0,"",SUMIFS(tblDaily[Discharges],tblDaily[EntryDate],DATE(2026,3,14),tblDaily[WardCode],"MAE")),"")</f>
        <v/>
      </c>
      <c r="D101" s="14" t="str">
        <f>IFERROR(IF(SUMIFS(tblDaily[Deaths],tblDaily[EntryDate],DATE(2026,3,14),tblDaily[WardCode],"MAE")=0,"",SUMIFS(tblDaily[Deaths],tblDaily[EntryDate],DATE(2026,3,14),tblDaily[WardCode],"MAE")),"")</f>
        <v/>
      </c>
      <c r="E101" s="14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14" t="str">
        <f>IFERROR(IF(SUMIFS(tblDaily[TransfersIn],tblDaily[EntryDate],DATE(2026,3,14),tblDaily[WardCode],"MAE")=0,"",SUMIFS(tblDaily[TransfersIn],tblDaily[EntryDate],DATE(2026,3,14),tblDaily[WardCode],"MAE")),"")</f>
        <v/>
      </c>
      <c r="G101" s="14" t="str">
        <f>IFERROR(IF(SUMIFS(tblDaily[TransfersOut],tblDaily[EntryDate],DATE(2026,3,14),tblDaily[WardCode],"MAE")=0,"",SUMIFS(tblDaily[TransfersOut],tblDaily[EntryDate],DATE(2026,3,14),tblDaily[WardCode],"MAE")),"")</f>
        <v/>
      </c>
      <c r="H101" s="14" t="str">
        <f>IFERROR(IF(SUMIFS(tblDaily[Remaining],tblDaily[EntryDate],DATE(2026,3,14),tblDaily[WardCode],"MAE")=0,"",SUMIFS(tblDaily[Remaining],tblDaily[EntryDate],DATE(2026,3,14),tblDaily[WardCode],"MAE")),"")</f>
        <v/>
      </c>
      <c r="I101" s="14" t="str">
        <f>IFERROR(IF(SUMIFS(tblDaily[Admissions],tblDaily[EntryDate],DATE(2026,3,14),tblDaily[WardCode],"FAE")=0,"",SUMIFS(tblDaily[Admissions],tblDaily[EntryDate],DATE(2026,3,14),tblDaily[WardCode],"FAE")),"")</f>
        <v/>
      </c>
      <c r="J101" s="14" t="str">
        <f>IFERROR(IF(SUMIFS(tblDaily[Discharges],tblDaily[EntryDate],DATE(2026,3,14),tblDaily[WardCode],"FAE")=0,"",SUMIFS(tblDaily[Discharges],tblDaily[EntryDate],DATE(2026,3,14),tblDaily[WardCode],"FAE")),"")</f>
        <v/>
      </c>
      <c r="K101" s="14" t="str">
        <f>IFERROR(IF(SUMIFS(tblDaily[Deaths],tblDaily[EntryDate],DATE(2026,3,14),tblDaily[WardCode],"FAE")=0,"",SUMIFS(tblDaily[Deaths],tblDaily[EntryDate],DATE(2026,3,14),tblDaily[WardCode],"FAE")),"")</f>
        <v/>
      </c>
      <c r="L101" s="14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14" t="str">
        <f>IFERROR(IF(SUMIFS(tblDaily[TransfersIn],tblDaily[EntryDate],DATE(2026,3,14),tblDaily[WardCode],"FAE")=0,"",SUMIFS(tblDaily[TransfersIn],tblDaily[EntryDate],DATE(2026,3,14),tblDaily[WardCode],"FAE")),"")</f>
        <v/>
      </c>
      <c r="N101" s="14" t="str">
        <f>IFERROR(IF(SUMIFS(tblDaily[TransfersOut],tblDaily[EntryDate],DATE(2026,3,14),tblDaily[WardCode],"FAE")=0,"",SUMIFS(tblDaily[TransfersOut],tblDaily[EntryDate],DATE(2026,3,14),tblDaily[WardCode],"FAE")),"")</f>
        <v/>
      </c>
      <c r="O101" s="14" t="str">
        <f>IFERROR(IF(SUMIFS(tblDaily[Remaining],tblDaily[EntryDate],DATE(2026,3,14),tblDaily[WardCode],"FAE")=0,"",SUMIFS(tblDaily[Remaining],tblDaily[EntryDate],DATE(2026,3,14),tblDaily[WardCode],"FAE")),"")</f>
        <v/>
      </c>
      <c r="P101" s="15" t="str">
        <f t="shared" si="2"/>
        <v/>
      </c>
    </row>
    <row r="102" spans="1:16" x14ac:dyDescent="0.25">
      <c r="A102" s="14">
        <v>15</v>
      </c>
      <c r="B102" s="14" t="str">
        <f>IFERROR(IF(SUMIFS(tblDaily[Admissions],tblDaily[EntryDate],DATE(2026,3,15),tblDaily[WardCode],"MAE")=0,"",SUMIFS(tblDaily[Admissions],tblDaily[EntryDate],DATE(2026,3,15),tblDaily[WardCode],"MAE")),"")</f>
        <v/>
      </c>
      <c r="C102" s="14" t="str">
        <f>IFERROR(IF(SUMIFS(tblDaily[Discharges],tblDaily[EntryDate],DATE(2026,3,15),tblDaily[WardCode],"MAE")=0,"",SUMIFS(tblDaily[Discharges],tblDaily[EntryDate],DATE(2026,3,15),tblDaily[WardCode],"MAE")),"")</f>
        <v/>
      </c>
      <c r="D102" s="14" t="str">
        <f>IFERROR(IF(SUMIFS(tblDaily[Deaths],tblDaily[EntryDate],DATE(2026,3,15),tblDaily[WardCode],"MAE")=0,"",SUMIFS(tblDaily[Deaths],tblDaily[EntryDate],DATE(2026,3,15),tblDaily[WardCode],"MAE")),"")</f>
        <v/>
      </c>
      <c r="E102" s="14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14" t="str">
        <f>IFERROR(IF(SUMIFS(tblDaily[TransfersIn],tblDaily[EntryDate],DATE(2026,3,15),tblDaily[WardCode],"MAE")=0,"",SUMIFS(tblDaily[TransfersIn],tblDaily[EntryDate],DATE(2026,3,15),tblDaily[WardCode],"MAE")),"")</f>
        <v/>
      </c>
      <c r="G102" s="14" t="str">
        <f>IFERROR(IF(SUMIFS(tblDaily[TransfersOut],tblDaily[EntryDate],DATE(2026,3,15),tblDaily[WardCode],"MAE")=0,"",SUMIFS(tblDaily[TransfersOut],tblDaily[EntryDate],DATE(2026,3,15),tblDaily[WardCode],"MAE")),"")</f>
        <v/>
      </c>
      <c r="H102" s="14" t="str">
        <f>IFERROR(IF(SUMIFS(tblDaily[Remaining],tblDaily[EntryDate],DATE(2026,3,15),tblDaily[WardCode],"MAE")=0,"",SUMIFS(tblDaily[Remaining],tblDaily[EntryDate],DATE(2026,3,15),tblDaily[WardCode],"MAE")),"")</f>
        <v/>
      </c>
      <c r="I102" s="14" t="str">
        <f>IFERROR(IF(SUMIFS(tblDaily[Admissions],tblDaily[EntryDate],DATE(2026,3,15),tblDaily[WardCode],"FAE")=0,"",SUMIFS(tblDaily[Admissions],tblDaily[EntryDate],DATE(2026,3,15),tblDaily[WardCode],"FAE")),"")</f>
        <v/>
      </c>
      <c r="J102" s="14" t="str">
        <f>IFERROR(IF(SUMIFS(tblDaily[Discharges],tblDaily[EntryDate],DATE(2026,3,15),tblDaily[WardCode],"FAE")=0,"",SUMIFS(tblDaily[Discharges],tblDaily[EntryDate],DATE(2026,3,15),tblDaily[WardCode],"FAE")),"")</f>
        <v/>
      </c>
      <c r="K102" s="14" t="str">
        <f>IFERROR(IF(SUMIFS(tblDaily[Deaths],tblDaily[EntryDate],DATE(2026,3,15),tblDaily[WardCode],"FAE")=0,"",SUMIFS(tblDaily[Deaths],tblDaily[EntryDate],DATE(2026,3,15),tblDaily[WardCode],"FAE")),"")</f>
        <v/>
      </c>
      <c r="L102" s="14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14" t="str">
        <f>IFERROR(IF(SUMIFS(tblDaily[TransfersIn],tblDaily[EntryDate],DATE(2026,3,15),tblDaily[WardCode],"FAE")=0,"",SUMIFS(tblDaily[TransfersIn],tblDaily[EntryDate],DATE(2026,3,15),tblDaily[WardCode],"FAE")),"")</f>
        <v/>
      </c>
      <c r="N102" s="14" t="str">
        <f>IFERROR(IF(SUMIFS(tblDaily[TransfersOut],tblDaily[EntryDate],DATE(2026,3,15),tblDaily[WardCode],"FAE")=0,"",SUMIFS(tblDaily[TransfersOut],tblDaily[EntryDate],DATE(2026,3,15),tblDaily[WardCode],"FAE")),"")</f>
        <v/>
      </c>
      <c r="O102" s="14" t="str">
        <f>IFERROR(IF(SUMIFS(tblDaily[Remaining],tblDaily[EntryDate],DATE(2026,3,15),tblDaily[WardCode],"FAE")=0,"",SUMIFS(tblDaily[Remaining],tblDaily[EntryDate],DATE(2026,3,15),tblDaily[WardCode],"FAE")),"")</f>
        <v/>
      </c>
      <c r="P102" s="15" t="str">
        <f t="shared" si="2"/>
        <v/>
      </c>
    </row>
    <row r="103" spans="1:16" x14ac:dyDescent="0.25">
      <c r="A103" s="14">
        <v>16</v>
      </c>
      <c r="B103" s="14" t="str">
        <f>IFERROR(IF(SUMIFS(tblDaily[Admissions],tblDaily[EntryDate],DATE(2026,3,16),tblDaily[WardCode],"MAE")=0,"",SUMIFS(tblDaily[Admissions],tblDaily[EntryDate],DATE(2026,3,16),tblDaily[WardCode],"MAE")),"")</f>
        <v/>
      </c>
      <c r="C103" s="14" t="str">
        <f>IFERROR(IF(SUMIFS(tblDaily[Discharges],tblDaily[EntryDate],DATE(2026,3,16),tblDaily[WardCode],"MAE")=0,"",SUMIFS(tblDaily[Discharges],tblDaily[EntryDate],DATE(2026,3,16),tblDaily[WardCode],"MAE")),"")</f>
        <v/>
      </c>
      <c r="D103" s="14" t="str">
        <f>IFERROR(IF(SUMIFS(tblDaily[Deaths],tblDaily[EntryDate],DATE(2026,3,16),tblDaily[WardCode],"MAE")=0,"",SUMIFS(tblDaily[Deaths],tblDaily[EntryDate],DATE(2026,3,16),tblDaily[WardCode],"MAE")),"")</f>
        <v/>
      </c>
      <c r="E103" s="14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14" t="str">
        <f>IFERROR(IF(SUMIFS(tblDaily[TransfersIn],tblDaily[EntryDate],DATE(2026,3,16),tblDaily[WardCode],"MAE")=0,"",SUMIFS(tblDaily[TransfersIn],tblDaily[EntryDate],DATE(2026,3,16),tblDaily[WardCode],"MAE")),"")</f>
        <v/>
      </c>
      <c r="G103" s="14" t="str">
        <f>IFERROR(IF(SUMIFS(tblDaily[TransfersOut],tblDaily[EntryDate],DATE(2026,3,16),tblDaily[WardCode],"MAE")=0,"",SUMIFS(tblDaily[TransfersOut],tblDaily[EntryDate],DATE(2026,3,16),tblDaily[WardCode],"MAE")),"")</f>
        <v/>
      </c>
      <c r="H103" s="14" t="str">
        <f>IFERROR(IF(SUMIFS(tblDaily[Remaining],tblDaily[EntryDate],DATE(2026,3,16),tblDaily[WardCode],"MAE")=0,"",SUMIFS(tblDaily[Remaining],tblDaily[EntryDate],DATE(2026,3,16),tblDaily[WardCode],"MAE")),"")</f>
        <v/>
      </c>
      <c r="I103" s="14" t="str">
        <f>IFERROR(IF(SUMIFS(tblDaily[Admissions],tblDaily[EntryDate],DATE(2026,3,16),tblDaily[WardCode],"FAE")=0,"",SUMIFS(tblDaily[Admissions],tblDaily[EntryDate],DATE(2026,3,16),tblDaily[WardCode],"FAE")),"")</f>
        <v/>
      </c>
      <c r="J103" s="14" t="str">
        <f>IFERROR(IF(SUMIFS(tblDaily[Discharges],tblDaily[EntryDate],DATE(2026,3,16),tblDaily[WardCode],"FAE")=0,"",SUMIFS(tblDaily[Discharges],tblDaily[EntryDate],DATE(2026,3,16),tblDaily[WardCode],"FAE")),"")</f>
        <v/>
      </c>
      <c r="K103" s="14" t="str">
        <f>IFERROR(IF(SUMIFS(tblDaily[Deaths],tblDaily[EntryDate],DATE(2026,3,16),tblDaily[WardCode],"FAE")=0,"",SUMIFS(tblDaily[Deaths],tblDaily[EntryDate],DATE(2026,3,16),tblDaily[WardCode],"FAE")),"")</f>
        <v/>
      </c>
      <c r="L103" s="14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14" t="str">
        <f>IFERROR(IF(SUMIFS(tblDaily[TransfersIn],tblDaily[EntryDate],DATE(2026,3,16),tblDaily[WardCode],"FAE")=0,"",SUMIFS(tblDaily[TransfersIn],tblDaily[EntryDate],DATE(2026,3,16),tblDaily[WardCode],"FAE")),"")</f>
        <v/>
      </c>
      <c r="N103" s="14" t="str">
        <f>IFERROR(IF(SUMIFS(tblDaily[TransfersOut],tblDaily[EntryDate],DATE(2026,3,16),tblDaily[WardCode],"FAE")=0,"",SUMIFS(tblDaily[TransfersOut],tblDaily[EntryDate],DATE(2026,3,16),tblDaily[WardCode],"FAE")),"")</f>
        <v/>
      </c>
      <c r="O103" s="14" t="str">
        <f>IFERROR(IF(SUMIFS(tblDaily[Remaining],tblDaily[EntryDate],DATE(2026,3,16),tblDaily[WardCode],"FAE")=0,"",SUMIFS(tblDaily[Remaining],tblDaily[EntryDate],DATE(2026,3,16),tblDaily[WardCode],"FAE")),"")</f>
        <v/>
      </c>
      <c r="P103" s="15" t="str">
        <f t="shared" si="2"/>
        <v/>
      </c>
    </row>
    <row r="104" spans="1:16" x14ac:dyDescent="0.25">
      <c r="A104" s="14">
        <v>17</v>
      </c>
      <c r="B104" s="14" t="str">
        <f>IFERROR(IF(SUMIFS(tblDaily[Admissions],tblDaily[EntryDate],DATE(2026,3,17),tblDaily[WardCode],"MAE")=0,"",SUMIFS(tblDaily[Admissions],tblDaily[EntryDate],DATE(2026,3,17),tblDaily[WardCode],"MAE")),"")</f>
        <v/>
      </c>
      <c r="C104" s="14" t="str">
        <f>IFERROR(IF(SUMIFS(tblDaily[Discharges],tblDaily[EntryDate],DATE(2026,3,17),tblDaily[WardCode],"MAE")=0,"",SUMIFS(tblDaily[Discharges],tblDaily[EntryDate],DATE(2026,3,17),tblDaily[WardCode],"MAE")),"")</f>
        <v/>
      </c>
      <c r="D104" s="14" t="str">
        <f>IFERROR(IF(SUMIFS(tblDaily[Deaths],tblDaily[EntryDate],DATE(2026,3,17),tblDaily[WardCode],"MAE")=0,"",SUMIFS(tblDaily[Deaths],tblDaily[EntryDate],DATE(2026,3,17),tblDaily[WardCode],"MAE")),"")</f>
        <v/>
      </c>
      <c r="E104" s="14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14" t="str">
        <f>IFERROR(IF(SUMIFS(tblDaily[TransfersIn],tblDaily[EntryDate],DATE(2026,3,17),tblDaily[WardCode],"MAE")=0,"",SUMIFS(tblDaily[TransfersIn],tblDaily[EntryDate],DATE(2026,3,17),tblDaily[WardCode],"MAE")),"")</f>
        <v/>
      </c>
      <c r="G104" s="14" t="str">
        <f>IFERROR(IF(SUMIFS(tblDaily[TransfersOut],tblDaily[EntryDate],DATE(2026,3,17),tblDaily[WardCode],"MAE")=0,"",SUMIFS(tblDaily[TransfersOut],tblDaily[EntryDate],DATE(2026,3,17),tblDaily[WardCode],"MAE")),"")</f>
        <v/>
      </c>
      <c r="H104" s="14" t="str">
        <f>IFERROR(IF(SUMIFS(tblDaily[Remaining],tblDaily[EntryDate],DATE(2026,3,17),tblDaily[WardCode],"MAE")=0,"",SUMIFS(tblDaily[Remaining],tblDaily[EntryDate],DATE(2026,3,17),tblDaily[WardCode],"MAE")),"")</f>
        <v/>
      </c>
      <c r="I104" s="14" t="str">
        <f>IFERROR(IF(SUMIFS(tblDaily[Admissions],tblDaily[EntryDate],DATE(2026,3,17),tblDaily[WardCode],"FAE")=0,"",SUMIFS(tblDaily[Admissions],tblDaily[EntryDate],DATE(2026,3,17),tblDaily[WardCode],"FAE")),"")</f>
        <v/>
      </c>
      <c r="J104" s="14" t="str">
        <f>IFERROR(IF(SUMIFS(tblDaily[Discharges],tblDaily[EntryDate],DATE(2026,3,17),tblDaily[WardCode],"FAE")=0,"",SUMIFS(tblDaily[Discharges],tblDaily[EntryDate],DATE(2026,3,17),tblDaily[WardCode],"FAE")),"")</f>
        <v/>
      </c>
      <c r="K104" s="14" t="str">
        <f>IFERROR(IF(SUMIFS(tblDaily[Deaths],tblDaily[EntryDate],DATE(2026,3,17),tblDaily[WardCode],"FAE")=0,"",SUMIFS(tblDaily[Deaths],tblDaily[EntryDate],DATE(2026,3,17),tblDaily[WardCode],"FAE")),"")</f>
        <v/>
      </c>
      <c r="L104" s="14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14" t="str">
        <f>IFERROR(IF(SUMIFS(tblDaily[TransfersIn],tblDaily[EntryDate],DATE(2026,3,17),tblDaily[WardCode],"FAE")=0,"",SUMIFS(tblDaily[TransfersIn],tblDaily[EntryDate],DATE(2026,3,17),tblDaily[WardCode],"FAE")),"")</f>
        <v/>
      </c>
      <c r="N104" s="14" t="str">
        <f>IFERROR(IF(SUMIFS(tblDaily[TransfersOut],tblDaily[EntryDate],DATE(2026,3,17),tblDaily[WardCode],"FAE")=0,"",SUMIFS(tblDaily[TransfersOut],tblDaily[EntryDate],DATE(2026,3,17),tblDaily[WardCode],"FAE")),"")</f>
        <v/>
      </c>
      <c r="O104" s="14" t="str">
        <f>IFERROR(IF(SUMIFS(tblDaily[Remaining],tblDaily[EntryDate],DATE(2026,3,17),tblDaily[WardCode],"FAE")=0,"",SUMIFS(tblDaily[Remaining],tblDaily[EntryDate],DATE(2026,3,17),tblDaily[WardCode],"FAE")),"")</f>
        <v/>
      </c>
      <c r="P104" s="15" t="str">
        <f t="shared" si="2"/>
        <v/>
      </c>
    </row>
    <row r="105" spans="1:16" x14ac:dyDescent="0.25">
      <c r="A105" s="14">
        <v>18</v>
      </c>
      <c r="B105" s="14" t="str">
        <f>IFERROR(IF(SUMIFS(tblDaily[Admissions],tblDaily[EntryDate],DATE(2026,3,18),tblDaily[WardCode],"MAE")=0,"",SUMIFS(tblDaily[Admissions],tblDaily[EntryDate],DATE(2026,3,18),tblDaily[WardCode],"MAE")),"")</f>
        <v/>
      </c>
      <c r="C105" s="14" t="str">
        <f>IFERROR(IF(SUMIFS(tblDaily[Discharges],tblDaily[EntryDate],DATE(2026,3,18),tblDaily[WardCode],"MAE")=0,"",SUMIFS(tblDaily[Discharges],tblDaily[EntryDate],DATE(2026,3,18),tblDaily[WardCode],"MAE")),"")</f>
        <v/>
      </c>
      <c r="D105" s="14" t="str">
        <f>IFERROR(IF(SUMIFS(tblDaily[Deaths],tblDaily[EntryDate],DATE(2026,3,18),tblDaily[WardCode],"MAE")=0,"",SUMIFS(tblDaily[Deaths],tblDaily[EntryDate],DATE(2026,3,18),tblDaily[WardCode],"MAE")),"")</f>
        <v/>
      </c>
      <c r="E105" s="14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14" t="str">
        <f>IFERROR(IF(SUMIFS(tblDaily[TransfersIn],tblDaily[EntryDate],DATE(2026,3,18),tblDaily[WardCode],"MAE")=0,"",SUMIFS(tblDaily[TransfersIn],tblDaily[EntryDate],DATE(2026,3,18),tblDaily[WardCode],"MAE")),"")</f>
        <v/>
      </c>
      <c r="G105" s="14" t="str">
        <f>IFERROR(IF(SUMIFS(tblDaily[TransfersOut],tblDaily[EntryDate],DATE(2026,3,18),tblDaily[WardCode],"MAE")=0,"",SUMIFS(tblDaily[TransfersOut],tblDaily[EntryDate],DATE(2026,3,18),tblDaily[WardCode],"MAE")),"")</f>
        <v/>
      </c>
      <c r="H105" s="14" t="str">
        <f>IFERROR(IF(SUMIFS(tblDaily[Remaining],tblDaily[EntryDate],DATE(2026,3,18),tblDaily[WardCode],"MAE")=0,"",SUMIFS(tblDaily[Remaining],tblDaily[EntryDate],DATE(2026,3,18),tblDaily[WardCode],"MAE")),"")</f>
        <v/>
      </c>
      <c r="I105" s="14" t="str">
        <f>IFERROR(IF(SUMIFS(tblDaily[Admissions],tblDaily[EntryDate],DATE(2026,3,18),tblDaily[WardCode],"FAE")=0,"",SUMIFS(tblDaily[Admissions],tblDaily[EntryDate],DATE(2026,3,18),tblDaily[WardCode],"FAE")),"")</f>
        <v/>
      </c>
      <c r="J105" s="14" t="str">
        <f>IFERROR(IF(SUMIFS(tblDaily[Discharges],tblDaily[EntryDate],DATE(2026,3,18),tblDaily[WardCode],"FAE")=0,"",SUMIFS(tblDaily[Discharges],tblDaily[EntryDate],DATE(2026,3,18),tblDaily[WardCode],"FAE")),"")</f>
        <v/>
      </c>
      <c r="K105" s="14" t="str">
        <f>IFERROR(IF(SUMIFS(tblDaily[Deaths],tblDaily[EntryDate],DATE(2026,3,18),tblDaily[WardCode],"FAE")=0,"",SUMIFS(tblDaily[Deaths],tblDaily[EntryDate],DATE(2026,3,18),tblDaily[WardCode],"FAE")),"")</f>
        <v/>
      </c>
      <c r="L105" s="14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14" t="str">
        <f>IFERROR(IF(SUMIFS(tblDaily[TransfersIn],tblDaily[EntryDate],DATE(2026,3,18),tblDaily[WardCode],"FAE")=0,"",SUMIFS(tblDaily[TransfersIn],tblDaily[EntryDate],DATE(2026,3,18),tblDaily[WardCode],"FAE")),"")</f>
        <v/>
      </c>
      <c r="N105" s="14" t="str">
        <f>IFERROR(IF(SUMIFS(tblDaily[TransfersOut],tblDaily[EntryDate],DATE(2026,3,18),tblDaily[WardCode],"FAE")=0,"",SUMIFS(tblDaily[TransfersOut],tblDaily[EntryDate],DATE(2026,3,18),tblDaily[WardCode],"FAE")),"")</f>
        <v/>
      </c>
      <c r="O105" s="14" t="str">
        <f>IFERROR(IF(SUMIFS(tblDaily[Remaining],tblDaily[EntryDate],DATE(2026,3,18),tblDaily[WardCode],"FAE")=0,"",SUMIFS(tblDaily[Remaining],tblDaily[EntryDate],DATE(2026,3,18),tblDaily[WardCode],"FAE")),"")</f>
        <v/>
      </c>
      <c r="P105" s="15" t="str">
        <f t="shared" si="2"/>
        <v/>
      </c>
    </row>
    <row r="106" spans="1:16" x14ac:dyDescent="0.25">
      <c r="A106" s="14">
        <v>19</v>
      </c>
      <c r="B106" s="14" t="str">
        <f>IFERROR(IF(SUMIFS(tblDaily[Admissions],tblDaily[EntryDate],DATE(2026,3,19),tblDaily[WardCode],"MAE")=0,"",SUMIFS(tblDaily[Admissions],tblDaily[EntryDate],DATE(2026,3,19),tblDaily[WardCode],"MAE")),"")</f>
        <v/>
      </c>
      <c r="C106" s="14" t="str">
        <f>IFERROR(IF(SUMIFS(tblDaily[Discharges],tblDaily[EntryDate],DATE(2026,3,19),tblDaily[WardCode],"MAE")=0,"",SUMIFS(tblDaily[Discharges],tblDaily[EntryDate],DATE(2026,3,19),tblDaily[WardCode],"MAE")),"")</f>
        <v/>
      </c>
      <c r="D106" s="14" t="str">
        <f>IFERROR(IF(SUMIFS(tblDaily[Deaths],tblDaily[EntryDate],DATE(2026,3,19),tblDaily[WardCode],"MAE")=0,"",SUMIFS(tblDaily[Deaths],tblDaily[EntryDate],DATE(2026,3,19),tblDaily[WardCode],"MAE")),"")</f>
        <v/>
      </c>
      <c r="E106" s="14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14" t="str">
        <f>IFERROR(IF(SUMIFS(tblDaily[TransfersIn],tblDaily[EntryDate],DATE(2026,3,19),tblDaily[WardCode],"MAE")=0,"",SUMIFS(tblDaily[TransfersIn],tblDaily[EntryDate],DATE(2026,3,19),tblDaily[WardCode],"MAE")),"")</f>
        <v/>
      </c>
      <c r="G106" s="14" t="str">
        <f>IFERROR(IF(SUMIFS(tblDaily[TransfersOut],tblDaily[EntryDate],DATE(2026,3,19),tblDaily[WardCode],"MAE")=0,"",SUMIFS(tblDaily[TransfersOut],tblDaily[EntryDate],DATE(2026,3,19),tblDaily[WardCode],"MAE")),"")</f>
        <v/>
      </c>
      <c r="H106" s="14" t="str">
        <f>IFERROR(IF(SUMIFS(tblDaily[Remaining],tblDaily[EntryDate],DATE(2026,3,19),tblDaily[WardCode],"MAE")=0,"",SUMIFS(tblDaily[Remaining],tblDaily[EntryDate],DATE(2026,3,19),tblDaily[WardCode],"MAE")),"")</f>
        <v/>
      </c>
      <c r="I106" s="14" t="str">
        <f>IFERROR(IF(SUMIFS(tblDaily[Admissions],tblDaily[EntryDate],DATE(2026,3,19),tblDaily[WardCode],"FAE")=0,"",SUMIFS(tblDaily[Admissions],tblDaily[EntryDate],DATE(2026,3,19),tblDaily[WardCode],"FAE")),"")</f>
        <v/>
      </c>
      <c r="J106" s="14" t="str">
        <f>IFERROR(IF(SUMIFS(tblDaily[Discharges],tblDaily[EntryDate],DATE(2026,3,19),tblDaily[WardCode],"FAE")=0,"",SUMIFS(tblDaily[Discharges],tblDaily[EntryDate],DATE(2026,3,19),tblDaily[WardCode],"FAE")),"")</f>
        <v/>
      </c>
      <c r="K106" s="14" t="str">
        <f>IFERROR(IF(SUMIFS(tblDaily[Deaths],tblDaily[EntryDate],DATE(2026,3,19),tblDaily[WardCode],"FAE")=0,"",SUMIFS(tblDaily[Deaths],tblDaily[EntryDate],DATE(2026,3,19),tblDaily[WardCode],"FAE")),"")</f>
        <v/>
      </c>
      <c r="L106" s="14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14" t="str">
        <f>IFERROR(IF(SUMIFS(tblDaily[TransfersIn],tblDaily[EntryDate],DATE(2026,3,19),tblDaily[WardCode],"FAE")=0,"",SUMIFS(tblDaily[TransfersIn],tblDaily[EntryDate],DATE(2026,3,19),tblDaily[WardCode],"FAE")),"")</f>
        <v/>
      </c>
      <c r="N106" s="14" t="str">
        <f>IFERROR(IF(SUMIFS(tblDaily[TransfersOut],tblDaily[EntryDate],DATE(2026,3,19),tblDaily[WardCode],"FAE")=0,"",SUMIFS(tblDaily[TransfersOut],tblDaily[EntryDate],DATE(2026,3,19),tblDaily[WardCode],"FAE")),"")</f>
        <v/>
      </c>
      <c r="O106" s="14" t="str">
        <f>IFERROR(IF(SUMIFS(tblDaily[Remaining],tblDaily[EntryDate],DATE(2026,3,19),tblDaily[WardCode],"FAE")=0,"",SUMIFS(tblDaily[Remaining],tblDaily[EntryDate],DATE(2026,3,19),tblDaily[WardCode],"FAE")),"")</f>
        <v/>
      </c>
      <c r="P106" s="15" t="str">
        <f t="shared" si="2"/>
        <v/>
      </c>
    </row>
    <row r="107" spans="1:16" x14ac:dyDescent="0.25">
      <c r="A107" s="14">
        <v>20</v>
      </c>
      <c r="B107" s="14" t="str">
        <f>IFERROR(IF(SUMIFS(tblDaily[Admissions],tblDaily[EntryDate],DATE(2026,3,20),tblDaily[WardCode],"MAE")=0,"",SUMIFS(tblDaily[Admissions],tblDaily[EntryDate],DATE(2026,3,20),tblDaily[WardCode],"MAE")),"")</f>
        <v/>
      </c>
      <c r="C107" s="14" t="str">
        <f>IFERROR(IF(SUMIFS(tblDaily[Discharges],tblDaily[EntryDate],DATE(2026,3,20),tblDaily[WardCode],"MAE")=0,"",SUMIFS(tblDaily[Discharges],tblDaily[EntryDate],DATE(2026,3,20),tblDaily[WardCode],"MAE")),"")</f>
        <v/>
      </c>
      <c r="D107" s="14" t="str">
        <f>IFERROR(IF(SUMIFS(tblDaily[Deaths],tblDaily[EntryDate],DATE(2026,3,20),tblDaily[WardCode],"MAE")=0,"",SUMIFS(tblDaily[Deaths],tblDaily[EntryDate],DATE(2026,3,20),tblDaily[WardCode],"MAE")),"")</f>
        <v/>
      </c>
      <c r="E107" s="14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14" t="str">
        <f>IFERROR(IF(SUMIFS(tblDaily[TransfersIn],tblDaily[EntryDate],DATE(2026,3,20),tblDaily[WardCode],"MAE")=0,"",SUMIFS(tblDaily[TransfersIn],tblDaily[EntryDate],DATE(2026,3,20),tblDaily[WardCode],"MAE")),"")</f>
        <v/>
      </c>
      <c r="G107" s="14" t="str">
        <f>IFERROR(IF(SUMIFS(tblDaily[TransfersOut],tblDaily[EntryDate],DATE(2026,3,20),tblDaily[WardCode],"MAE")=0,"",SUMIFS(tblDaily[TransfersOut],tblDaily[EntryDate],DATE(2026,3,20),tblDaily[WardCode],"MAE")),"")</f>
        <v/>
      </c>
      <c r="H107" s="14" t="str">
        <f>IFERROR(IF(SUMIFS(tblDaily[Remaining],tblDaily[EntryDate],DATE(2026,3,20),tblDaily[WardCode],"MAE")=0,"",SUMIFS(tblDaily[Remaining],tblDaily[EntryDate],DATE(2026,3,20),tblDaily[WardCode],"MAE")),"")</f>
        <v/>
      </c>
      <c r="I107" s="14" t="str">
        <f>IFERROR(IF(SUMIFS(tblDaily[Admissions],tblDaily[EntryDate],DATE(2026,3,20),tblDaily[WardCode],"FAE")=0,"",SUMIFS(tblDaily[Admissions],tblDaily[EntryDate],DATE(2026,3,20),tblDaily[WardCode],"FAE")),"")</f>
        <v/>
      </c>
      <c r="J107" s="14" t="str">
        <f>IFERROR(IF(SUMIFS(tblDaily[Discharges],tblDaily[EntryDate],DATE(2026,3,20),tblDaily[WardCode],"FAE")=0,"",SUMIFS(tblDaily[Discharges],tblDaily[EntryDate],DATE(2026,3,20),tblDaily[WardCode],"FAE")),"")</f>
        <v/>
      </c>
      <c r="K107" s="14" t="str">
        <f>IFERROR(IF(SUMIFS(tblDaily[Deaths],tblDaily[EntryDate],DATE(2026,3,20),tblDaily[WardCode],"FAE")=0,"",SUMIFS(tblDaily[Deaths],tblDaily[EntryDate],DATE(2026,3,20),tblDaily[WardCode],"FAE")),"")</f>
        <v/>
      </c>
      <c r="L107" s="14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14" t="str">
        <f>IFERROR(IF(SUMIFS(tblDaily[TransfersIn],tblDaily[EntryDate],DATE(2026,3,20),tblDaily[WardCode],"FAE")=0,"",SUMIFS(tblDaily[TransfersIn],tblDaily[EntryDate],DATE(2026,3,20),tblDaily[WardCode],"FAE")),"")</f>
        <v/>
      </c>
      <c r="N107" s="14" t="str">
        <f>IFERROR(IF(SUMIFS(tblDaily[TransfersOut],tblDaily[EntryDate],DATE(2026,3,20),tblDaily[WardCode],"FAE")=0,"",SUMIFS(tblDaily[TransfersOut],tblDaily[EntryDate],DATE(2026,3,20),tblDaily[WardCode],"FAE")),"")</f>
        <v/>
      </c>
      <c r="O107" s="14" t="str">
        <f>IFERROR(IF(SUMIFS(tblDaily[Remaining],tblDaily[EntryDate],DATE(2026,3,20),tblDaily[WardCode],"FAE")=0,"",SUMIFS(tblDaily[Remaining],tblDaily[EntryDate],DATE(2026,3,20),tblDaily[WardCode],"FAE")),"")</f>
        <v/>
      </c>
      <c r="P107" s="15" t="str">
        <f t="shared" si="2"/>
        <v/>
      </c>
    </row>
    <row r="108" spans="1:16" x14ac:dyDescent="0.25">
      <c r="A108" s="14">
        <v>21</v>
      </c>
      <c r="B108" s="14" t="str">
        <f>IFERROR(IF(SUMIFS(tblDaily[Admissions],tblDaily[EntryDate],DATE(2026,3,21),tblDaily[WardCode],"MAE")=0,"",SUMIFS(tblDaily[Admissions],tblDaily[EntryDate],DATE(2026,3,21),tblDaily[WardCode],"MAE")),"")</f>
        <v/>
      </c>
      <c r="C108" s="14" t="str">
        <f>IFERROR(IF(SUMIFS(tblDaily[Discharges],tblDaily[EntryDate],DATE(2026,3,21),tblDaily[WardCode],"MAE")=0,"",SUMIFS(tblDaily[Discharges],tblDaily[EntryDate],DATE(2026,3,21),tblDaily[WardCode],"MAE")),"")</f>
        <v/>
      </c>
      <c r="D108" s="14" t="str">
        <f>IFERROR(IF(SUMIFS(tblDaily[Deaths],tblDaily[EntryDate],DATE(2026,3,21),tblDaily[WardCode],"MAE")=0,"",SUMIFS(tblDaily[Deaths],tblDaily[EntryDate],DATE(2026,3,21),tblDaily[WardCode],"MAE")),"")</f>
        <v/>
      </c>
      <c r="E108" s="14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14" t="str">
        <f>IFERROR(IF(SUMIFS(tblDaily[TransfersIn],tblDaily[EntryDate],DATE(2026,3,21),tblDaily[WardCode],"MAE")=0,"",SUMIFS(tblDaily[TransfersIn],tblDaily[EntryDate],DATE(2026,3,21),tblDaily[WardCode],"MAE")),"")</f>
        <v/>
      </c>
      <c r="G108" s="14" t="str">
        <f>IFERROR(IF(SUMIFS(tblDaily[TransfersOut],tblDaily[EntryDate],DATE(2026,3,21),tblDaily[WardCode],"MAE")=0,"",SUMIFS(tblDaily[TransfersOut],tblDaily[EntryDate],DATE(2026,3,21),tblDaily[WardCode],"MAE")),"")</f>
        <v/>
      </c>
      <c r="H108" s="14" t="str">
        <f>IFERROR(IF(SUMIFS(tblDaily[Remaining],tblDaily[EntryDate],DATE(2026,3,21),tblDaily[WardCode],"MAE")=0,"",SUMIFS(tblDaily[Remaining],tblDaily[EntryDate],DATE(2026,3,21),tblDaily[WardCode],"MAE")),"")</f>
        <v/>
      </c>
      <c r="I108" s="14" t="str">
        <f>IFERROR(IF(SUMIFS(tblDaily[Admissions],tblDaily[EntryDate],DATE(2026,3,21),tblDaily[WardCode],"FAE")=0,"",SUMIFS(tblDaily[Admissions],tblDaily[EntryDate],DATE(2026,3,21),tblDaily[WardCode],"FAE")),"")</f>
        <v/>
      </c>
      <c r="J108" s="14" t="str">
        <f>IFERROR(IF(SUMIFS(tblDaily[Discharges],tblDaily[EntryDate],DATE(2026,3,21),tblDaily[WardCode],"FAE")=0,"",SUMIFS(tblDaily[Discharges],tblDaily[EntryDate],DATE(2026,3,21),tblDaily[WardCode],"FAE")),"")</f>
        <v/>
      </c>
      <c r="K108" s="14" t="str">
        <f>IFERROR(IF(SUMIFS(tblDaily[Deaths],tblDaily[EntryDate],DATE(2026,3,21),tblDaily[WardCode],"FAE")=0,"",SUMIFS(tblDaily[Deaths],tblDaily[EntryDate],DATE(2026,3,21),tblDaily[WardCode],"FAE")),"")</f>
        <v/>
      </c>
      <c r="L108" s="14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14" t="str">
        <f>IFERROR(IF(SUMIFS(tblDaily[TransfersIn],tblDaily[EntryDate],DATE(2026,3,21),tblDaily[WardCode],"FAE")=0,"",SUMIFS(tblDaily[TransfersIn],tblDaily[EntryDate],DATE(2026,3,21),tblDaily[WardCode],"FAE")),"")</f>
        <v/>
      </c>
      <c r="N108" s="14" t="str">
        <f>IFERROR(IF(SUMIFS(tblDaily[TransfersOut],tblDaily[EntryDate],DATE(2026,3,21),tblDaily[WardCode],"FAE")=0,"",SUMIFS(tblDaily[TransfersOut],tblDaily[EntryDate],DATE(2026,3,21),tblDaily[WardCode],"FAE")),"")</f>
        <v/>
      </c>
      <c r="O108" s="14" t="str">
        <f>IFERROR(IF(SUMIFS(tblDaily[Remaining],tblDaily[EntryDate],DATE(2026,3,21),tblDaily[WardCode],"FAE")=0,"",SUMIFS(tblDaily[Remaining],tblDaily[EntryDate],DATE(2026,3,21),tblDaily[WardCode],"FAE")),"")</f>
        <v/>
      </c>
      <c r="P108" s="15" t="str">
        <f t="shared" si="2"/>
        <v/>
      </c>
    </row>
    <row r="109" spans="1:16" x14ac:dyDescent="0.25">
      <c r="A109" s="14">
        <v>22</v>
      </c>
      <c r="B109" s="14" t="str">
        <f>IFERROR(IF(SUMIFS(tblDaily[Admissions],tblDaily[EntryDate],DATE(2026,3,22),tblDaily[WardCode],"MAE")=0,"",SUMIFS(tblDaily[Admissions],tblDaily[EntryDate],DATE(2026,3,22),tblDaily[WardCode],"MAE")),"")</f>
        <v/>
      </c>
      <c r="C109" s="14" t="str">
        <f>IFERROR(IF(SUMIFS(tblDaily[Discharges],tblDaily[EntryDate],DATE(2026,3,22),tblDaily[WardCode],"MAE")=0,"",SUMIFS(tblDaily[Discharges],tblDaily[EntryDate],DATE(2026,3,22),tblDaily[WardCode],"MAE")),"")</f>
        <v/>
      </c>
      <c r="D109" s="14" t="str">
        <f>IFERROR(IF(SUMIFS(tblDaily[Deaths],tblDaily[EntryDate],DATE(2026,3,22),tblDaily[WardCode],"MAE")=0,"",SUMIFS(tblDaily[Deaths],tblDaily[EntryDate],DATE(2026,3,22),tblDaily[WardCode],"MAE")),"")</f>
        <v/>
      </c>
      <c r="E109" s="14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14" t="str">
        <f>IFERROR(IF(SUMIFS(tblDaily[TransfersIn],tblDaily[EntryDate],DATE(2026,3,22),tblDaily[WardCode],"MAE")=0,"",SUMIFS(tblDaily[TransfersIn],tblDaily[EntryDate],DATE(2026,3,22),tblDaily[WardCode],"MAE")),"")</f>
        <v/>
      </c>
      <c r="G109" s="14" t="str">
        <f>IFERROR(IF(SUMIFS(tblDaily[TransfersOut],tblDaily[EntryDate],DATE(2026,3,22),tblDaily[WardCode],"MAE")=0,"",SUMIFS(tblDaily[TransfersOut],tblDaily[EntryDate],DATE(2026,3,22),tblDaily[WardCode],"MAE")),"")</f>
        <v/>
      </c>
      <c r="H109" s="14" t="str">
        <f>IFERROR(IF(SUMIFS(tblDaily[Remaining],tblDaily[EntryDate],DATE(2026,3,22),tblDaily[WardCode],"MAE")=0,"",SUMIFS(tblDaily[Remaining],tblDaily[EntryDate],DATE(2026,3,22),tblDaily[WardCode],"MAE")),"")</f>
        <v/>
      </c>
      <c r="I109" s="14" t="str">
        <f>IFERROR(IF(SUMIFS(tblDaily[Admissions],tblDaily[EntryDate],DATE(2026,3,22),tblDaily[WardCode],"FAE")=0,"",SUMIFS(tblDaily[Admissions],tblDaily[EntryDate],DATE(2026,3,22),tblDaily[WardCode],"FAE")),"")</f>
        <v/>
      </c>
      <c r="J109" s="14" t="str">
        <f>IFERROR(IF(SUMIFS(tblDaily[Discharges],tblDaily[EntryDate],DATE(2026,3,22),tblDaily[WardCode],"FAE")=0,"",SUMIFS(tblDaily[Discharges],tblDaily[EntryDate],DATE(2026,3,22),tblDaily[WardCode],"FAE")),"")</f>
        <v/>
      </c>
      <c r="K109" s="14" t="str">
        <f>IFERROR(IF(SUMIFS(tblDaily[Deaths],tblDaily[EntryDate],DATE(2026,3,22),tblDaily[WardCode],"FAE")=0,"",SUMIFS(tblDaily[Deaths],tblDaily[EntryDate],DATE(2026,3,22),tblDaily[WardCode],"FAE")),"")</f>
        <v/>
      </c>
      <c r="L109" s="14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14" t="str">
        <f>IFERROR(IF(SUMIFS(tblDaily[TransfersIn],tblDaily[EntryDate],DATE(2026,3,22),tblDaily[WardCode],"FAE")=0,"",SUMIFS(tblDaily[TransfersIn],tblDaily[EntryDate],DATE(2026,3,22),tblDaily[WardCode],"FAE")),"")</f>
        <v/>
      </c>
      <c r="N109" s="14" t="str">
        <f>IFERROR(IF(SUMIFS(tblDaily[TransfersOut],tblDaily[EntryDate],DATE(2026,3,22),tblDaily[WardCode],"FAE")=0,"",SUMIFS(tblDaily[TransfersOut],tblDaily[EntryDate],DATE(2026,3,22),tblDaily[WardCode],"FAE")),"")</f>
        <v/>
      </c>
      <c r="O109" s="14" t="str">
        <f>IFERROR(IF(SUMIFS(tblDaily[Remaining],tblDaily[EntryDate],DATE(2026,3,22),tblDaily[WardCode],"FAE")=0,"",SUMIFS(tblDaily[Remaining],tblDaily[EntryDate],DATE(2026,3,22),tblDaily[WardCode],"FAE")),"")</f>
        <v/>
      </c>
      <c r="P109" s="15" t="str">
        <f t="shared" si="2"/>
        <v/>
      </c>
    </row>
    <row r="110" spans="1:16" x14ac:dyDescent="0.25">
      <c r="A110" s="14">
        <v>23</v>
      </c>
      <c r="B110" s="14" t="str">
        <f>IFERROR(IF(SUMIFS(tblDaily[Admissions],tblDaily[EntryDate],DATE(2026,3,23),tblDaily[WardCode],"MAE")=0,"",SUMIFS(tblDaily[Admissions],tblDaily[EntryDate],DATE(2026,3,23),tblDaily[WardCode],"MAE")),"")</f>
        <v/>
      </c>
      <c r="C110" s="14" t="str">
        <f>IFERROR(IF(SUMIFS(tblDaily[Discharges],tblDaily[EntryDate],DATE(2026,3,23),tblDaily[WardCode],"MAE")=0,"",SUMIFS(tblDaily[Discharges],tblDaily[EntryDate],DATE(2026,3,23),tblDaily[WardCode],"MAE")),"")</f>
        <v/>
      </c>
      <c r="D110" s="14" t="str">
        <f>IFERROR(IF(SUMIFS(tblDaily[Deaths],tblDaily[EntryDate],DATE(2026,3,23),tblDaily[WardCode],"MAE")=0,"",SUMIFS(tblDaily[Deaths],tblDaily[EntryDate],DATE(2026,3,23),tblDaily[WardCode],"MAE")),"")</f>
        <v/>
      </c>
      <c r="E110" s="14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14" t="str">
        <f>IFERROR(IF(SUMIFS(tblDaily[TransfersIn],tblDaily[EntryDate],DATE(2026,3,23),tblDaily[WardCode],"MAE")=0,"",SUMIFS(tblDaily[TransfersIn],tblDaily[EntryDate],DATE(2026,3,23),tblDaily[WardCode],"MAE")),"")</f>
        <v/>
      </c>
      <c r="G110" s="14" t="str">
        <f>IFERROR(IF(SUMIFS(tblDaily[TransfersOut],tblDaily[EntryDate],DATE(2026,3,23),tblDaily[WardCode],"MAE")=0,"",SUMIFS(tblDaily[TransfersOut],tblDaily[EntryDate],DATE(2026,3,23),tblDaily[WardCode],"MAE")),"")</f>
        <v/>
      </c>
      <c r="H110" s="14" t="str">
        <f>IFERROR(IF(SUMIFS(tblDaily[Remaining],tblDaily[EntryDate],DATE(2026,3,23),tblDaily[WardCode],"MAE")=0,"",SUMIFS(tblDaily[Remaining],tblDaily[EntryDate],DATE(2026,3,23),tblDaily[WardCode],"MAE")),"")</f>
        <v/>
      </c>
      <c r="I110" s="14" t="str">
        <f>IFERROR(IF(SUMIFS(tblDaily[Admissions],tblDaily[EntryDate],DATE(2026,3,23),tblDaily[WardCode],"FAE")=0,"",SUMIFS(tblDaily[Admissions],tblDaily[EntryDate],DATE(2026,3,23),tblDaily[WardCode],"FAE")),"")</f>
        <v/>
      </c>
      <c r="J110" s="14" t="str">
        <f>IFERROR(IF(SUMIFS(tblDaily[Discharges],tblDaily[EntryDate],DATE(2026,3,23),tblDaily[WardCode],"FAE")=0,"",SUMIFS(tblDaily[Discharges],tblDaily[EntryDate],DATE(2026,3,23),tblDaily[WardCode],"FAE")),"")</f>
        <v/>
      </c>
      <c r="K110" s="14" t="str">
        <f>IFERROR(IF(SUMIFS(tblDaily[Deaths],tblDaily[EntryDate],DATE(2026,3,23),tblDaily[WardCode],"FAE")=0,"",SUMIFS(tblDaily[Deaths],tblDaily[EntryDate],DATE(2026,3,23),tblDaily[WardCode],"FAE")),"")</f>
        <v/>
      </c>
      <c r="L110" s="14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14" t="str">
        <f>IFERROR(IF(SUMIFS(tblDaily[TransfersIn],tblDaily[EntryDate],DATE(2026,3,23),tblDaily[WardCode],"FAE")=0,"",SUMIFS(tblDaily[TransfersIn],tblDaily[EntryDate],DATE(2026,3,23),tblDaily[WardCode],"FAE")),"")</f>
        <v/>
      </c>
      <c r="N110" s="14" t="str">
        <f>IFERROR(IF(SUMIFS(tblDaily[TransfersOut],tblDaily[EntryDate],DATE(2026,3,23),tblDaily[WardCode],"FAE")=0,"",SUMIFS(tblDaily[TransfersOut],tblDaily[EntryDate],DATE(2026,3,23),tblDaily[WardCode],"FAE")),"")</f>
        <v/>
      </c>
      <c r="O110" s="14" t="str">
        <f>IFERROR(IF(SUMIFS(tblDaily[Remaining],tblDaily[EntryDate],DATE(2026,3,23),tblDaily[WardCode],"FAE")=0,"",SUMIFS(tblDaily[Remaining],tblDaily[EntryDate],DATE(2026,3,23),tblDaily[WardCode],"FAE")),"")</f>
        <v/>
      </c>
      <c r="P110" s="15" t="str">
        <f t="shared" si="2"/>
        <v/>
      </c>
    </row>
    <row r="111" spans="1:16" x14ac:dyDescent="0.25">
      <c r="A111" s="14">
        <v>24</v>
      </c>
      <c r="B111" s="14" t="str">
        <f>IFERROR(IF(SUMIFS(tblDaily[Admissions],tblDaily[EntryDate],DATE(2026,3,24),tblDaily[WardCode],"MAE")=0,"",SUMIFS(tblDaily[Admissions],tblDaily[EntryDate],DATE(2026,3,24),tblDaily[WardCode],"MAE")),"")</f>
        <v/>
      </c>
      <c r="C111" s="14" t="str">
        <f>IFERROR(IF(SUMIFS(tblDaily[Discharges],tblDaily[EntryDate],DATE(2026,3,24),tblDaily[WardCode],"MAE")=0,"",SUMIFS(tblDaily[Discharges],tblDaily[EntryDate],DATE(2026,3,24),tblDaily[WardCode],"MAE")),"")</f>
        <v/>
      </c>
      <c r="D111" s="14" t="str">
        <f>IFERROR(IF(SUMIFS(tblDaily[Deaths],tblDaily[EntryDate],DATE(2026,3,24),tblDaily[WardCode],"MAE")=0,"",SUMIFS(tblDaily[Deaths],tblDaily[EntryDate],DATE(2026,3,24),tblDaily[WardCode],"MAE")),"")</f>
        <v/>
      </c>
      <c r="E111" s="14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14" t="str">
        <f>IFERROR(IF(SUMIFS(tblDaily[TransfersIn],tblDaily[EntryDate],DATE(2026,3,24),tblDaily[WardCode],"MAE")=0,"",SUMIFS(tblDaily[TransfersIn],tblDaily[EntryDate],DATE(2026,3,24),tblDaily[WardCode],"MAE")),"")</f>
        <v/>
      </c>
      <c r="G111" s="14" t="str">
        <f>IFERROR(IF(SUMIFS(tblDaily[TransfersOut],tblDaily[EntryDate],DATE(2026,3,24),tblDaily[WardCode],"MAE")=0,"",SUMIFS(tblDaily[TransfersOut],tblDaily[EntryDate],DATE(2026,3,24),tblDaily[WardCode],"MAE")),"")</f>
        <v/>
      </c>
      <c r="H111" s="14" t="str">
        <f>IFERROR(IF(SUMIFS(tblDaily[Remaining],tblDaily[EntryDate],DATE(2026,3,24),tblDaily[WardCode],"MAE")=0,"",SUMIFS(tblDaily[Remaining],tblDaily[EntryDate],DATE(2026,3,24),tblDaily[WardCode],"MAE")),"")</f>
        <v/>
      </c>
      <c r="I111" s="14" t="str">
        <f>IFERROR(IF(SUMIFS(tblDaily[Admissions],tblDaily[EntryDate],DATE(2026,3,24),tblDaily[WardCode],"FAE")=0,"",SUMIFS(tblDaily[Admissions],tblDaily[EntryDate],DATE(2026,3,24),tblDaily[WardCode],"FAE")),"")</f>
        <v/>
      </c>
      <c r="J111" s="14" t="str">
        <f>IFERROR(IF(SUMIFS(tblDaily[Discharges],tblDaily[EntryDate],DATE(2026,3,24),tblDaily[WardCode],"FAE")=0,"",SUMIFS(tblDaily[Discharges],tblDaily[EntryDate],DATE(2026,3,24),tblDaily[WardCode],"FAE")),"")</f>
        <v/>
      </c>
      <c r="K111" s="14" t="str">
        <f>IFERROR(IF(SUMIFS(tblDaily[Deaths],tblDaily[EntryDate],DATE(2026,3,24),tblDaily[WardCode],"FAE")=0,"",SUMIFS(tblDaily[Deaths],tblDaily[EntryDate],DATE(2026,3,24),tblDaily[WardCode],"FAE")),"")</f>
        <v/>
      </c>
      <c r="L111" s="14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14" t="str">
        <f>IFERROR(IF(SUMIFS(tblDaily[TransfersIn],tblDaily[EntryDate],DATE(2026,3,24),tblDaily[WardCode],"FAE")=0,"",SUMIFS(tblDaily[TransfersIn],tblDaily[EntryDate],DATE(2026,3,24),tblDaily[WardCode],"FAE")),"")</f>
        <v/>
      </c>
      <c r="N111" s="14" t="str">
        <f>IFERROR(IF(SUMIFS(tblDaily[TransfersOut],tblDaily[EntryDate],DATE(2026,3,24),tblDaily[WardCode],"FAE")=0,"",SUMIFS(tblDaily[TransfersOut],tblDaily[EntryDate],DATE(2026,3,24),tblDaily[WardCode],"FAE")),"")</f>
        <v/>
      </c>
      <c r="O111" s="14" t="str">
        <f>IFERROR(IF(SUMIFS(tblDaily[Remaining],tblDaily[EntryDate],DATE(2026,3,24),tblDaily[WardCode],"FAE")=0,"",SUMIFS(tblDaily[Remaining],tblDaily[EntryDate],DATE(2026,3,24),tblDaily[WardCode],"FAE")),"")</f>
        <v/>
      </c>
      <c r="P111" s="15" t="str">
        <f t="shared" si="2"/>
        <v/>
      </c>
    </row>
    <row r="112" spans="1:16" x14ac:dyDescent="0.25">
      <c r="A112" s="14">
        <v>25</v>
      </c>
      <c r="B112" s="14" t="str">
        <f>IFERROR(IF(SUMIFS(tblDaily[Admissions],tblDaily[EntryDate],DATE(2026,3,25),tblDaily[WardCode],"MAE")=0,"",SUMIFS(tblDaily[Admissions],tblDaily[EntryDate],DATE(2026,3,25),tblDaily[WardCode],"MAE")),"")</f>
        <v/>
      </c>
      <c r="C112" s="14" t="str">
        <f>IFERROR(IF(SUMIFS(tblDaily[Discharges],tblDaily[EntryDate],DATE(2026,3,25),tblDaily[WardCode],"MAE")=0,"",SUMIFS(tblDaily[Discharges],tblDaily[EntryDate],DATE(2026,3,25),tblDaily[WardCode],"MAE")),"")</f>
        <v/>
      </c>
      <c r="D112" s="14" t="str">
        <f>IFERROR(IF(SUMIFS(tblDaily[Deaths],tblDaily[EntryDate],DATE(2026,3,25),tblDaily[WardCode],"MAE")=0,"",SUMIFS(tblDaily[Deaths],tblDaily[EntryDate],DATE(2026,3,25),tblDaily[WardCode],"MAE")),"")</f>
        <v/>
      </c>
      <c r="E112" s="14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14" t="str">
        <f>IFERROR(IF(SUMIFS(tblDaily[TransfersIn],tblDaily[EntryDate],DATE(2026,3,25),tblDaily[WardCode],"MAE")=0,"",SUMIFS(tblDaily[TransfersIn],tblDaily[EntryDate],DATE(2026,3,25),tblDaily[WardCode],"MAE")),"")</f>
        <v/>
      </c>
      <c r="G112" s="14" t="str">
        <f>IFERROR(IF(SUMIFS(tblDaily[TransfersOut],tblDaily[EntryDate],DATE(2026,3,25),tblDaily[WardCode],"MAE")=0,"",SUMIFS(tblDaily[TransfersOut],tblDaily[EntryDate],DATE(2026,3,25),tblDaily[WardCode],"MAE")),"")</f>
        <v/>
      </c>
      <c r="H112" s="14" t="str">
        <f>IFERROR(IF(SUMIFS(tblDaily[Remaining],tblDaily[EntryDate],DATE(2026,3,25),tblDaily[WardCode],"MAE")=0,"",SUMIFS(tblDaily[Remaining],tblDaily[EntryDate],DATE(2026,3,25),tblDaily[WardCode],"MAE")),"")</f>
        <v/>
      </c>
      <c r="I112" s="14" t="str">
        <f>IFERROR(IF(SUMIFS(tblDaily[Admissions],tblDaily[EntryDate],DATE(2026,3,25),tblDaily[WardCode],"FAE")=0,"",SUMIFS(tblDaily[Admissions],tblDaily[EntryDate],DATE(2026,3,25),tblDaily[WardCode],"FAE")),"")</f>
        <v/>
      </c>
      <c r="J112" s="14" t="str">
        <f>IFERROR(IF(SUMIFS(tblDaily[Discharges],tblDaily[EntryDate],DATE(2026,3,25),tblDaily[WardCode],"FAE")=0,"",SUMIFS(tblDaily[Discharges],tblDaily[EntryDate],DATE(2026,3,25),tblDaily[WardCode],"FAE")),"")</f>
        <v/>
      </c>
      <c r="K112" s="14" t="str">
        <f>IFERROR(IF(SUMIFS(tblDaily[Deaths],tblDaily[EntryDate],DATE(2026,3,25),tblDaily[WardCode],"FAE")=0,"",SUMIFS(tblDaily[Deaths],tblDaily[EntryDate],DATE(2026,3,25),tblDaily[WardCode],"FAE")),"")</f>
        <v/>
      </c>
      <c r="L112" s="14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14" t="str">
        <f>IFERROR(IF(SUMIFS(tblDaily[TransfersIn],tblDaily[EntryDate],DATE(2026,3,25),tblDaily[WardCode],"FAE")=0,"",SUMIFS(tblDaily[TransfersIn],tblDaily[EntryDate],DATE(2026,3,25),tblDaily[WardCode],"FAE")),"")</f>
        <v/>
      </c>
      <c r="N112" s="14" t="str">
        <f>IFERROR(IF(SUMIFS(tblDaily[TransfersOut],tblDaily[EntryDate],DATE(2026,3,25),tblDaily[WardCode],"FAE")=0,"",SUMIFS(tblDaily[TransfersOut],tblDaily[EntryDate],DATE(2026,3,25),tblDaily[WardCode],"FAE")),"")</f>
        <v/>
      </c>
      <c r="O112" s="14" t="str">
        <f>IFERROR(IF(SUMIFS(tblDaily[Remaining],tblDaily[EntryDate],DATE(2026,3,25),tblDaily[WardCode],"FAE")=0,"",SUMIFS(tblDaily[Remaining],tblDaily[EntryDate],DATE(2026,3,25),tblDaily[WardCode],"FAE")),"")</f>
        <v/>
      </c>
      <c r="P112" s="15" t="str">
        <f t="shared" si="2"/>
        <v/>
      </c>
    </row>
    <row r="113" spans="1:16" x14ac:dyDescent="0.25">
      <c r="A113" s="14">
        <v>26</v>
      </c>
      <c r="B113" s="14" t="str">
        <f>IFERROR(IF(SUMIFS(tblDaily[Admissions],tblDaily[EntryDate],DATE(2026,3,26),tblDaily[WardCode],"MAE")=0,"",SUMIFS(tblDaily[Admissions],tblDaily[EntryDate],DATE(2026,3,26),tblDaily[WardCode],"MAE")),"")</f>
        <v/>
      </c>
      <c r="C113" s="14" t="str">
        <f>IFERROR(IF(SUMIFS(tblDaily[Discharges],tblDaily[EntryDate],DATE(2026,3,26),tblDaily[WardCode],"MAE")=0,"",SUMIFS(tblDaily[Discharges],tblDaily[EntryDate],DATE(2026,3,26),tblDaily[WardCode],"MAE")),"")</f>
        <v/>
      </c>
      <c r="D113" s="14" t="str">
        <f>IFERROR(IF(SUMIFS(tblDaily[Deaths],tblDaily[EntryDate],DATE(2026,3,26),tblDaily[WardCode],"MAE")=0,"",SUMIFS(tblDaily[Deaths],tblDaily[EntryDate],DATE(2026,3,26),tblDaily[WardCode],"MAE")),"")</f>
        <v/>
      </c>
      <c r="E113" s="14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14" t="str">
        <f>IFERROR(IF(SUMIFS(tblDaily[TransfersIn],tblDaily[EntryDate],DATE(2026,3,26),tblDaily[WardCode],"MAE")=0,"",SUMIFS(tblDaily[TransfersIn],tblDaily[EntryDate],DATE(2026,3,26),tblDaily[WardCode],"MAE")),"")</f>
        <v/>
      </c>
      <c r="G113" s="14" t="str">
        <f>IFERROR(IF(SUMIFS(tblDaily[TransfersOut],tblDaily[EntryDate],DATE(2026,3,26),tblDaily[WardCode],"MAE")=0,"",SUMIFS(tblDaily[TransfersOut],tblDaily[EntryDate],DATE(2026,3,26),tblDaily[WardCode],"MAE")),"")</f>
        <v/>
      </c>
      <c r="H113" s="14" t="str">
        <f>IFERROR(IF(SUMIFS(tblDaily[Remaining],tblDaily[EntryDate],DATE(2026,3,26),tblDaily[WardCode],"MAE")=0,"",SUMIFS(tblDaily[Remaining],tblDaily[EntryDate],DATE(2026,3,26),tblDaily[WardCode],"MAE")),"")</f>
        <v/>
      </c>
      <c r="I113" s="14" t="str">
        <f>IFERROR(IF(SUMIFS(tblDaily[Admissions],tblDaily[EntryDate],DATE(2026,3,26),tblDaily[WardCode],"FAE")=0,"",SUMIFS(tblDaily[Admissions],tblDaily[EntryDate],DATE(2026,3,26),tblDaily[WardCode],"FAE")),"")</f>
        <v/>
      </c>
      <c r="J113" s="14" t="str">
        <f>IFERROR(IF(SUMIFS(tblDaily[Discharges],tblDaily[EntryDate],DATE(2026,3,26),tblDaily[WardCode],"FAE")=0,"",SUMIFS(tblDaily[Discharges],tblDaily[EntryDate],DATE(2026,3,26),tblDaily[WardCode],"FAE")),"")</f>
        <v/>
      </c>
      <c r="K113" s="14" t="str">
        <f>IFERROR(IF(SUMIFS(tblDaily[Deaths],tblDaily[EntryDate],DATE(2026,3,26),tblDaily[WardCode],"FAE")=0,"",SUMIFS(tblDaily[Deaths],tblDaily[EntryDate],DATE(2026,3,26),tblDaily[WardCode],"FAE")),"")</f>
        <v/>
      </c>
      <c r="L113" s="14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14" t="str">
        <f>IFERROR(IF(SUMIFS(tblDaily[TransfersIn],tblDaily[EntryDate],DATE(2026,3,26),tblDaily[WardCode],"FAE")=0,"",SUMIFS(tblDaily[TransfersIn],tblDaily[EntryDate],DATE(2026,3,26),tblDaily[WardCode],"FAE")),"")</f>
        <v/>
      </c>
      <c r="N113" s="14" t="str">
        <f>IFERROR(IF(SUMIFS(tblDaily[TransfersOut],tblDaily[EntryDate],DATE(2026,3,26),tblDaily[WardCode],"FAE")=0,"",SUMIFS(tblDaily[TransfersOut],tblDaily[EntryDate],DATE(2026,3,26),tblDaily[WardCode],"FAE")),"")</f>
        <v/>
      </c>
      <c r="O113" s="14" t="str">
        <f>IFERROR(IF(SUMIFS(tblDaily[Remaining],tblDaily[EntryDate],DATE(2026,3,26),tblDaily[WardCode],"FAE")=0,"",SUMIFS(tblDaily[Remaining],tblDaily[EntryDate],DATE(2026,3,26),tblDaily[WardCode],"FAE")),"")</f>
        <v/>
      </c>
      <c r="P113" s="15" t="str">
        <f t="shared" si="2"/>
        <v/>
      </c>
    </row>
    <row r="114" spans="1:16" x14ac:dyDescent="0.25">
      <c r="A114" s="14">
        <v>27</v>
      </c>
      <c r="B114" s="14" t="str">
        <f>IFERROR(IF(SUMIFS(tblDaily[Admissions],tblDaily[EntryDate],DATE(2026,3,27),tblDaily[WardCode],"MAE")=0,"",SUMIFS(tblDaily[Admissions],tblDaily[EntryDate],DATE(2026,3,27),tblDaily[WardCode],"MAE")),"")</f>
        <v/>
      </c>
      <c r="C114" s="14" t="str">
        <f>IFERROR(IF(SUMIFS(tblDaily[Discharges],tblDaily[EntryDate],DATE(2026,3,27),tblDaily[WardCode],"MAE")=0,"",SUMIFS(tblDaily[Discharges],tblDaily[EntryDate],DATE(2026,3,27),tblDaily[WardCode],"MAE")),"")</f>
        <v/>
      </c>
      <c r="D114" s="14" t="str">
        <f>IFERROR(IF(SUMIFS(tblDaily[Deaths],tblDaily[EntryDate],DATE(2026,3,27),tblDaily[WardCode],"MAE")=0,"",SUMIFS(tblDaily[Deaths],tblDaily[EntryDate],DATE(2026,3,27),tblDaily[WardCode],"MAE")),"")</f>
        <v/>
      </c>
      <c r="E114" s="14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14" t="str">
        <f>IFERROR(IF(SUMIFS(tblDaily[TransfersIn],tblDaily[EntryDate],DATE(2026,3,27),tblDaily[WardCode],"MAE")=0,"",SUMIFS(tblDaily[TransfersIn],tblDaily[EntryDate],DATE(2026,3,27),tblDaily[WardCode],"MAE")),"")</f>
        <v/>
      </c>
      <c r="G114" s="14" t="str">
        <f>IFERROR(IF(SUMIFS(tblDaily[TransfersOut],tblDaily[EntryDate],DATE(2026,3,27),tblDaily[WardCode],"MAE")=0,"",SUMIFS(tblDaily[TransfersOut],tblDaily[EntryDate],DATE(2026,3,27),tblDaily[WardCode],"MAE")),"")</f>
        <v/>
      </c>
      <c r="H114" s="14" t="str">
        <f>IFERROR(IF(SUMIFS(tblDaily[Remaining],tblDaily[EntryDate],DATE(2026,3,27),tblDaily[WardCode],"MAE")=0,"",SUMIFS(tblDaily[Remaining],tblDaily[EntryDate],DATE(2026,3,27),tblDaily[WardCode],"MAE")),"")</f>
        <v/>
      </c>
      <c r="I114" s="14" t="str">
        <f>IFERROR(IF(SUMIFS(tblDaily[Admissions],tblDaily[EntryDate],DATE(2026,3,27),tblDaily[WardCode],"FAE")=0,"",SUMIFS(tblDaily[Admissions],tblDaily[EntryDate],DATE(2026,3,27),tblDaily[WardCode],"FAE")),"")</f>
        <v/>
      </c>
      <c r="J114" s="14" t="str">
        <f>IFERROR(IF(SUMIFS(tblDaily[Discharges],tblDaily[EntryDate],DATE(2026,3,27),tblDaily[WardCode],"FAE")=0,"",SUMIFS(tblDaily[Discharges],tblDaily[EntryDate],DATE(2026,3,27),tblDaily[WardCode],"FAE")),"")</f>
        <v/>
      </c>
      <c r="K114" s="14" t="str">
        <f>IFERROR(IF(SUMIFS(tblDaily[Deaths],tblDaily[EntryDate],DATE(2026,3,27),tblDaily[WardCode],"FAE")=0,"",SUMIFS(tblDaily[Deaths],tblDaily[EntryDate],DATE(2026,3,27),tblDaily[WardCode],"FAE")),"")</f>
        <v/>
      </c>
      <c r="L114" s="14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14" t="str">
        <f>IFERROR(IF(SUMIFS(tblDaily[TransfersIn],tblDaily[EntryDate],DATE(2026,3,27),tblDaily[WardCode],"FAE")=0,"",SUMIFS(tblDaily[TransfersIn],tblDaily[EntryDate],DATE(2026,3,27),tblDaily[WardCode],"FAE")),"")</f>
        <v/>
      </c>
      <c r="N114" s="14" t="str">
        <f>IFERROR(IF(SUMIFS(tblDaily[TransfersOut],tblDaily[EntryDate],DATE(2026,3,27),tblDaily[WardCode],"FAE")=0,"",SUMIFS(tblDaily[TransfersOut],tblDaily[EntryDate],DATE(2026,3,27),tblDaily[WardCode],"FAE")),"")</f>
        <v/>
      </c>
      <c r="O114" s="14" t="str">
        <f>IFERROR(IF(SUMIFS(tblDaily[Remaining],tblDaily[EntryDate],DATE(2026,3,27),tblDaily[WardCode],"FAE")=0,"",SUMIFS(tblDaily[Remaining],tblDaily[EntryDate],DATE(2026,3,27),tblDaily[WardCode],"FAE")),"")</f>
        <v/>
      </c>
      <c r="P114" s="15" t="str">
        <f t="shared" si="2"/>
        <v/>
      </c>
    </row>
    <row r="115" spans="1:16" x14ac:dyDescent="0.25">
      <c r="A115" s="14">
        <v>28</v>
      </c>
      <c r="B115" s="14" t="str">
        <f>IFERROR(IF(SUMIFS(tblDaily[Admissions],tblDaily[EntryDate],DATE(2026,3,28),tblDaily[WardCode],"MAE")=0,"",SUMIFS(tblDaily[Admissions],tblDaily[EntryDate],DATE(2026,3,28),tblDaily[WardCode],"MAE")),"")</f>
        <v/>
      </c>
      <c r="C115" s="14" t="str">
        <f>IFERROR(IF(SUMIFS(tblDaily[Discharges],tblDaily[EntryDate],DATE(2026,3,28),tblDaily[WardCode],"MAE")=0,"",SUMIFS(tblDaily[Discharges],tblDaily[EntryDate],DATE(2026,3,28),tblDaily[WardCode],"MAE")),"")</f>
        <v/>
      </c>
      <c r="D115" s="14" t="str">
        <f>IFERROR(IF(SUMIFS(tblDaily[Deaths],tblDaily[EntryDate],DATE(2026,3,28),tblDaily[WardCode],"MAE")=0,"",SUMIFS(tblDaily[Deaths],tblDaily[EntryDate],DATE(2026,3,28),tblDaily[WardCode],"MAE")),"")</f>
        <v/>
      </c>
      <c r="E115" s="14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14" t="str">
        <f>IFERROR(IF(SUMIFS(tblDaily[TransfersIn],tblDaily[EntryDate],DATE(2026,3,28),tblDaily[WardCode],"MAE")=0,"",SUMIFS(tblDaily[TransfersIn],tblDaily[EntryDate],DATE(2026,3,28),tblDaily[WardCode],"MAE")),"")</f>
        <v/>
      </c>
      <c r="G115" s="14" t="str">
        <f>IFERROR(IF(SUMIFS(tblDaily[TransfersOut],tblDaily[EntryDate],DATE(2026,3,28),tblDaily[WardCode],"MAE")=0,"",SUMIFS(tblDaily[TransfersOut],tblDaily[EntryDate],DATE(2026,3,28),tblDaily[WardCode],"MAE")),"")</f>
        <v/>
      </c>
      <c r="H115" s="14" t="str">
        <f>IFERROR(IF(SUMIFS(tblDaily[Remaining],tblDaily[EntryDate],DATE(2026,3,28),tblDaily[WardCode],"MAE")=0,"",SUMIFS(tblDaily[Remaining],tblDaily[EntryDate],DATE(2026,3,28),tblDaily[WardCode],"MAE")),"")</f>
        <v/>
      </c>
      <c r="I115" s="14" t="str">
        <f>IFERROR(IF(SUMIFS(tblDaily[Admissions],tblDaily[EntryDate],DATE(2026,3,28),tblDaily[WardCode],"FAE")=0,"",SUMIFS(tblDaily[Admissions],tblDaily[EntryDate],DATE(2026,3,28),tblDaily[WardCode],"FAE")),"")</f>
        <v/>
      </c>
      <c r="J115" s="14" t="str">
        <f>IFERROR(IF(SUMIFS(tblDaily[Discharges],tblDaily[EntryDate],DATE(2026,3,28),tblDaily[WardCode],"FAE")=0,"",SUMIFS(tblDaily[Discharges],tblDaily[EntryDate],DATE(2026,3,28),tblDaily[WardCode],"FAE")),"")</f>
        <v/>
      </c>
      <c r="K115" s="14" t="str">
        <f>IFERROR(IF(SUMIFS(tblDaily[Deaths],tblDaily[EntryDate],DATE(2026,3,28),tblDaily[WardCode],"FAE")=0,"",SUMIFS(tblDaily[Deaths],tblDaily[EntryDate],DATE(2026,3,28),tblDaily[WardCode],"FAE")),"")</f>
        <v/>
      </c>
      <c r="L115" s="14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14" t="str">
        <f>IFERROR(IF(SUMIFS(tblDaily[TransfersIn],tblDaily[EntryDate],DATE(2026,3,28),tblDaily[WardCode],"FAE")=0,"",SUMIFS(tblDaily[TransfersIn],tblDaily[EntryDate],DATE(2026,3,28),tblDaily[WardCode],"FAE")),"")</f>
        <v/>
      </c>
      <c r="N115" s="14" t="str">
        <f>IFERROR(IF(SUMIFS(tblDaily[TransfersOut],tblDaily[EntryDate],DATE(2026,3,28),tblDaily[WardCode],"FAE")=0,"",SUMIFS(tblDaily[TransfersOut],tblDaily[EntryDate],DATE(2026,3,28),tblDaily[WardCode],"FAE")),"")</f>
        <v/>
      </c>
      <c r="O115" s="14" t="str">
        <f>IFERROR(IF(SUMIFS(tblDaily[Remaining],tblDaily[EntryDate],DATE(2026,3,28),tblDaily[WardCode],"FAE")=0,"",SUMIFS(tblDaily[Remaining],tblDaily[EntryDate],DATE(2026,3,28),tblDaily[WardCode],"FAE")),"")</f>
        <v/>
      </c>
      <c r="P115" s="15" t="str">
        <f t="shared" si="2"/>
        <v/>
      </c>
    </row>
    <row r="116" spans="1:16" x14ac:dyDescent="0.25">
      <c r="A116" s="14">
        <v>29</v>
      </c>
      <c r="B116" s="14" t="str">
        <f>IFERROR(IF(SUMIFS(tblDaily[Admissions],tblDaily[EntryDate],DATE(2026,3,29),tblDaily[WardCode],"MAE")=0,"",SUMIFS(tblDaily[Admissions],tblDaily[EntryDate],DATE(2026,3,29),tblDaily[WardCode],"MAE")),"")</f>
        <v/>
      </c>
      <c r="C116" s="14" t="str">
        <f>IFERROR(IF(SUMIFS(tblDaily[Discharges],tblDaily[EntryDate],DATE(2026,3,29),tblDaily[WardCode],"MAE")=0,"",SUMIFS(tblDaily[Discharges],tblDaily[EntryDate],DATE(2026,3,29),tblDaily[WardCode],"MAE")),"")</f>
        <v/>
      </c>
      <c r="D116" s="14" t="str">
        <f>IFERROR(IF(SUMIFS(tblDaily[Deaths],tblDaily[EntryDate],DATE(2026,3,29),tblDaily[WardCode],"MAE")=0,"",SUMIFS(tblDaily[Deaths],tblDaily[EntryDate],DATE(2026,3,29),tblDaily[WardCode],"MAE")),"")</f>
        <v/>
      </c>
      <c r="E116" s="14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14" t="str">
        <f>IFERROR(IF(SUMIFS(tblDaily[TransfersIn],tblDaily[EntryDate],DATE(2026,3,29),tblDaily[WardCode],"MAE")=0,"",SUMIFS(tblDaily[TransfersIn],tblDaily[EntryDate],DATE(2026,3,29),tblDaily[WardCode],"MAE")),"")</f>
        <v/>
      </c>
      <c r="G116" s="14" t="str">
        <f>IFERROR(IF(SUMIFS(tblDaily[TransfersOut],tblDaily[EntryDate],DATE(2026,3,29),tblDaily[WardCode],"MAE")=0,"",SUMIFS(tblDaily[TransfersOut],tblDaily[EntryDate],DATE(2026,3,29),tblDaily[WardCode],"MAE")),"")</f>
        <v/>
      </c>
      <c r="H116" s="14" t="str">
        <f>IFERROR(IF(SUMIFS(tblDaily[Remaining],tblDaily[EntryDate],DATE(2026,3,29),tblDaily[WardCode],"MAE")=0,"",SUMIFS(tblDaily[Remaining],tblDaily[EntryDate],DATE(2026,3,29),tblDaily[WardCode],"MAE")),"")</f>
        <v/>
      </c>
      <c r="I116" s="14" t="str">
        <f>IFERROR(IF(SUMIFS(tblDaily[Admissions],tblDaily[EntryDate],DATE(2026,3,29),tblDaily[WardCode],"FAE")=0,"",SUMIFS(tblDaily[Admissions],tblDaily[EntryDate],DATE(2026,3,29),tblDaily[WardCode],"FAE")),"")</f>
        <v/>
      </c>
      <c r="J116" s="14" t="str">
        <f>IFERROR(IF(SUMIFS(tblDaily[Discharges],tblDaily[EntryDate],DATE(2026,3,29),tblDaily[WardCode],"FAE")=0,"",SUMIFS(tblDaily[Discharges],tblDaily[EntryDate],DATE(2026,3,29),tblDaily[WardCode],"FAE")),"")</f>
        <v/>
      </c>
      <c r="K116" s="14" t="str">
        <f>IFERROR(IF(SUMIFS(tblDaily[Deaths],tblDaily[EntryDate],DATE(2026,3,29),tblDaily[WardCode],"FAE")=0,"",SUMIFS(tblDaily[Deaths],tblDaily[EntryDate],DATE(2026,3,29),tblDaily[WardCode],"FAE")),"")</f>
        <v/>
      </c>
      <c r="L116" s="14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14" t="str">
        <f>IFERROR(IF(SUMIFS(tblDaily[TransfersIn],tblDaily[EntryDate],DATE(2026,3,29),tblDaily[WardCode],"FAE")=0,"",SUMIFS(tblDaily[TransfersIn],tblDaily[EntryDate],DATE(2026,3,29),tblDaily[WardCode],"FAE")),"")</f>
        <v/>
      </c>
      <c r="N116" s="14" t="str">
        <f>IFERROR(IF(SUMIFS(tblDaily[TransfersOut],tblDaily[EntryDate],DATE(2026,3,29),tblDaily[WardCode],"FAE")=0,"",SUMIFS(tblDaily[TransfersOut],tblDaily[EntryDate],DATE(2026,3,29),tblDaily[WardCode],"FAE")),"")</f>
        <v/>
      </c>
      <c r="O116" s="14" t="str">
        <f>IFERROR(IF(SUMIFS(tblDaily[Remaining],tblDaily[EntryDate],DATE(2026,3,29),tblDaily[WardCode],"FAE")=0,"",SUMIFS(tblDaily[Remaining],tblDaily[EntryDate],DATE(2026,3,29),tblDaily[WardCode],"FAE")),"")</f>
        <v/>
      </c>
      <c r="P116" s="15" t="str">
        <f t="shared" si="2"/>
        <v/>
      </c>
    </row>
    <row r="117" spans="1:16" x14ac:dyDescent="0.25">
      <c r="A117" s="14">
        <v>30</v>
      </c>
      <c r="B117" s="14" t="str">
        <f>IFERROR(IF(SUMIFS(tblDaily[Admissions],tblDaily[EntryDate],DATE(2026,3,30),tblDaily[WardCode],"MAE")=0,"",SUMIFS(tblDaily[Admissions],tblDaily[EntryDate],DATE(2026,3,30),tblDaily[WardCode],"MAE")),"")</f>
        <v/>
      </c>
      <c r="C117" s="14" t="str">
        <f>IFERROR(IF(SUMIFS(tblDaily[Discharges],tblDaily[EntryDate],DATE(2026,3,30),tblDaily[WardCode],"MAE")=0,"",SUMIFS(tblDaily[Discharges],tblDaily[EntryDate],DATE(2026,3,30),tblDaily[WardCode],"MAE")),"")</f>
        <v/>
      </c>
      <c r="D117" s="14" t="str">
        <f>IFERROR(IF(SUMIFS(tblDaily[Deaths],tblDaily[EntryDate],DATE(2026,3,30),tblDaily[WardCode],"MAE")=0,"",SUMIFS(tblDaily[Deaths],tblDaily[EntryDate],DATE(2026,3,30),tblDaily[WardCode],"MAE")),"")</f>
        <v/>
      </c>
      <c r="E117" s="14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14" t="str">
        <f>IFERROR(IF(SUMIFS(tblDaily[TransfersIn],tblDaily[EntryDate],DATE(2026,3,30),tblDaily[WardCode],"MAE")=0,"",SUMIFS(tblDaily[TransfersIn],tblDaily[EntryDate],DATE(2026,3,30),tblDaily[WardCode],"MAE")),"")</f>
        <v/>
      </c>
      <c r="G117" s="14" t="str">
        <f>IFERROR(IF(SUMIFS(tblDaily[TransfersOut],tblDaily[EntryDate],DATE(2026,3,30),tblDaily[WardCode],"MAE")=0,"",SUMIFS(tblDaily[TransfersOut],tblDaily[EntryDate],DATE(2026,3,30),tblDaily[WardCode],"MAE")),"")</f>
        <v/>
      </c>
      <c r="H117" s="14" t="str">
        <f>IFERROR(IF(SUMIFS(tblDaily[Remaining],tblDaily[EntryDate],DATE(2026,3,30),tblDaily[WardCode],"MAE")=0,"",SUMIFS(tblDaily[Remaining],tblDaily[EntryDate],DATE(2026,3,30),tblDaily[WardCode],"MAE")),"")</f>
        <v/>
      </c>
      <c r="I117" s="14" t="str">
        <f>IFERROR(IF(SUMIFS(tblDaily[Admissions],tblDaily[EntryDate],DATE(2026,3,30),tblDaily[WardCode],"FAE")=0,"",SUMIFS(tblDaily[Admissions],tblDaily[EntryDate],DATE(2026,3,30),tblDaily[WardCode],"FAE")),"")</f>
        <v/>
      </c>
      <c r="J117" s="14" t="str">
        <f>IFERROR(IF(SUMIFS(tblDaily[Discharges],tblDaily[EntryDate],DATE(2026,3,30),tblDaily[WardCode],"FAE")=0,"",SUMIFS(tblDaily[Discharges],tblDaily[EntryDate],DATE(2026,3,30),tblDaily[WardCode],"FAE")),"")</f>
        <v/>
      </c>
      <c r="K117" s="14" t="str">
        <f>IFERROR(IF(SUMIFS(tblDaily[Deaths],tblDaily[EntryDate],DATE(2026,3,30),tblDaily[WardCode],"FAE")=0,"",SUMIFS(tblDaily[Deaths],tblDaily[EntryDate],DATE(2026,3,30),tblDaily[WardCode],"FAE")),"")</f>
        <v/>
      </c>
      <c r="L117" s="14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14" t="str">
        <f>IFERROR(IF(SUMIFS(tblDaily[TransfersIn],tblDaily[EntryDate],DATE(2026,3,30),tblDaily[WardCode],"FAE")=0,"",SUMIFS(tblDaily[TransfersIn],tblDaily[EntryDate],DATE(2026,3,30),tblDaily[WardCode],"FAE")),"")</f>
        <v/>
      </c>
      <c r="N117" s="14" t="str">
        <f>IFERROR(IF(SUMIFS(tblDaily[TransfersOut],tblDaily[EntryDate],DATE(2026,3,30),tblDaily[WardCode],"FAE")=0,"",SUMIFS(tblDaily[TransfersOut],tblDaily[EntryDate],DATE(2026,3,30),tblDaily[WardCode],"FAE")),"")</f>
        <v/>
      </c>
      <c r="O117" s="14" t="str">
        <f>IFERROR(IF(SUMIFS(tblDaily[Remaining],tblDaily[EntryDate],DATE(2026,3,30),tblDaily[WardCode],"FAE")=0,"",SUMIFS(tblDaily[Remaining],tblDaily[EntryDate],DATE(2026,3,30),tblDaily[WardCode],"FAE")),"")</f>
        <v/>
      </c>
      <c r="P117" s="15" t="str">
        <f t="shared" si="2"/>
        <v/>
      </c>
    </row>
    <row r="118" spans="1:16" x14ac:dyDescent="0.25">
      <c r="A118" s="14">
        <v>31</v>
      </c>
      <c r="B118" s="14" t="str">
        <f>IFERROR(IF(SUMIFS(tblDaily[Admissions],tblDaily[EntryDate],DATE(2026,3,31),tblDaily[WardCode],"MAE")=0,"",SUMIFS(tblDaily[Admissions],tblDaily[EntryDate],DATE(2026,3,31),tblDaily[WardCode],"MAE")),"")</f>
        <v/>
      </c>
      <c r="C118" s="14" t="str">
        <f>IFERROR(IF(SUMIFS(tblDaily[Discharges],tblDaily[EntryDate],DATE(2026,3,31),tblDaily[WardCode],"MAE")=0,"",SUMIFS(tblDaily[Discharges],tblDaily[EntryDate],DATE(2026,3,31),tblDaily[WardCode],"MAE")),"")</f>
        <v/>
      </c>
      <c r="D118" s="14" t="str">
        <f>IFERROR(IF(SUMIFS(tblDaily[Deaths],tblDaily[EntryDate],DATE(2026,3,31),tblDaily[WardCode],"MAE")=0,"",SUMIFS(tblDaily[Deaths],tblDaily[EntryDate],DATE(2026,3,31),tblDaily[WardCode],"MAE")),"")</f>
        <v/>
      </c>
      <c r="E118" s="14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14" t="str">
        <f>IFERROR(IF(SUMIFS(tblDaily[TransfersIn],tblDaily[EntryDate],DATE(2026,3,31),tblDaily[WardCode],"MAE")=0,"",SUMIFS(tblDaily[TransfersIn],tblDaily[EntryDate],DATE(2026,3,31),tblDaily[WardCode],"MAE")),"")</f>
        <v/>
      </c>
      <c r="G118" s="14" t="str">
        <f>IFERROR(IF(SUMIFS(tblDaily[TransfersOut],tblDaily[EntryDate],DATE(2026,3,31),tblDaily[WardCode],"MAE")=0,"",SUMIFS(tblDaily[TransfersOut],tblDaily[EntryDate],DATE(2026,3,31),tblDaily[WardCode],"MAE")),"")</f>
        <v/>
      </c>
      <c r="H118" s="14" t="str">
        <f>IFERROR(IF(SUMIFS(tblDaily[Remaining],tblDaily[EntryDate],DATE(2026,3,31),tblDaily[WardCode],"MAE")=0,"",SUMIFS(tblDaily[Remaining],tblDaily[EntryDate],DATE(2026,3,31),tblDaily[WardCode],"MAE")),"")</f>
        <v/>
      </c>
      <c r="I118" s="14" t="str">
        <f>IFERROR(IF(SUMIFS(tblDaily[Admissions],tblDaily[EntryDate],DATE(2026,3,31),tblDaily[WardCode],"FAE")=0,"",SUMIFS(tblDaily[Admissions],tblDaily[EntryDate],DATE(2026,3,31),tblDaily[WardCode],"FAE")),"")</f>
        <v/>
      </c>
      <c r="J118" s="14" t="str">
        <f>IFERROR(IF(SUMIFS(tblDaily[Discharges],tblDaily[EntryDate],DATE(2026,3,31),tblDaily[WardCode],"FAE")=0,"",SUMIFS(tblDaily[Discharges],tblDaily[EntryDate],DATE(2026,3,31),tblDaily[WardCode],"FAE")),"")</f>
        <v/>
      </c>
      <c r="K118" s="14" t="str">
        <f>IFERROR(IF(SUMIFS(tblDaily[Deaths],tblDaily[EntryDate],DATE(2026,3,31),tblDaily[WardCode],"FAE")=0,"",SUMIFS(tblDaily[Deaths],tblDaily[EntryDate],DATE(2026,3,31),tblDaily[WardCode],"FAE")),"")</f>
        <v/>
      </c>
      <c r="L118" s="14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14" t="str">
        <f>IFERROR(IF(SUMIFS(tblDaily[TransfersIn],tblDaily[EntryDate],DATE(2026,3,31),tblDaily[WardCode],"FAE")=0,"",SUMIFS(tblDaily[TransfersIn],tblDaily[EntryDate],DATE(2026,3,31),tblDaily[WardCode],"FAE")),"")</f>
        <v/>
      </c>
      <c r="N118" s="14" t="str">
        <f>IFERROR(IF(SUMIFS(tblDaily[TransfersOut],tblDaily[EntryDate],DATE(2026,3,31),tblDaily[WardCode],"FAE")=0,"",SUMIFS(tblDaily[TransfersOut],tblDaily[EntryDate],DATE(2026,3,31),tblDaily[WardCode],"FAE")),"")</f>
        <v/>
      </c>
      <c r="O118" s="14" t="str">
        <f>IFERROR(IF(SUMIFS(tblDaily[Remaining],tblDaily[EntryDate],DATE(2026,3,31),tblDaily[WardCode],"FAE")=0,"",SUMIFS(tblDaily[Remaining],tblDaily[EntryDate],DATE(2026,3,31),tblDaily[WardCode],"FAE")),"")</f>
        <v/>
      </c>
      <c r="P118" s="15" t="str">
        <f t="shared" si="2"/>
        <v/>
      </c>
    </row>
    <row r="119" spans="1:16" x14ac:dyDescent="0.25">
      <c r="A119" s="9" t="s">
        <v>112</v>
      </c>
      <c r="B119" s="9">
        <f>SUMIFS(tblDaily[Admissions],tblDaily[Month],3,tblDaily[WardCode],"MAE") - SUMIFS(tblDaily[DeathsUnder24Hrs],tblDaily[Month],3,tblDaily[WardCode],"MAE")</f>
        <v>0</v>
      </c>
      <c r="C119" s="9">
        <f>SUMIFS(tblDaily[Discharges],tblDaily[Month],3,tblDaily[WardCode],"MAE")</f>
        <v>0</v>
      </c>
      <c r="D119" s="9">
        <f>SUMIFS(tblDaily[Deaths],tblDaily[Month],3,tblDaily[WardCode],"MAE")</f>
        <v>0</v>
      </c>
      <c r="E119" s="9">
        <f>SUMIFS(tblDaily[DeathsUnder24Hrs],tblDaily[Month],3,tblDaily[WardCode],"MAE")</f>
        <v>0</v>
      </c>
      <c r="F119" s="9">
        <f>SUMIFS(tblDaily[TransfersIn],tblDaily[Month],3,tblDaily[WardCode],"MAE")</f>
        <v>0</v>
      </c>
      <c r="G119" s="9">
        <f>SUMIFS(tblDaily[TransfersOut],tblDaily[Month],3,tblDaily[WardCode],"MAE")</f>
        <v>0</v>
      </c>
      <c r="H119" s="9">
        <f>SUMIFS(tblDaily[Remaining],tblDaily[Month],3,tblDaily[WardCode],"MAE")</f>
        <v>0</v>
      </c>
      <c r="I119" s="9">
        <f>SUMIFS(tblDaily[Admissions],tblDaily[Month],3,tblDaily[WardCode],"FAE") - SUMIFS(tblDaily[DeathsUnder24Hrs],tblDaily[Month],3,tblDaily[WardCode],"FAE")</f>
        <v>0</v>
      </c>
      <c r="J119" s="9">
        <f>SUMIFS(tblDaily[Discharges],tblDaily[Month],3,tblDaily[WardCode],"FAE")</f>
        <v>0</v>
      </c>
      <c r="K119" s="9">
        <f>SUMIFS(tblDaily[Deaths],tblDaily[Month],3,tblDaily[WardCode],"FAE")</f>
        <v>0</v>
      </c>
      <c r="L119" s="9">
        <f>SUMIFS(tblDaily[DeathsUnder24Hrs],tblDaily[Month],3,tblDaily[WardCode],"FAE")</f>
        <v>0</v>
      </c>
      <c r="M119" s="9">
        <f>SUMIFS(tblDaily[TransfersIn],tblDaily[Month],3,tblDaily[WardCode],"FAE")</f>
        <v>0</v>
      </c>
      <c r="N119" s="9">
        <f>SUMIFS(tblDaily[TransfersOut],tblDaily[Month],3,tblDaily[WardCode],"FAE")</f>
        <v>0</v>
      </c>
      <c r="O119" s="9">
        <f>SUMIFS(tblDaily[Remaining],tblDaily[Month],3,tblDaily[WardCode],"FAE")</f>
        <v>0</v>
      </c>
      <c r="P119" s="9">
        <f>H119 + O119</f>
        <v>0</v>
      </c>
    </row>
    <row r="121" spans="1:16" ht="18.75" x14ac:dyDescent="0.25">
      <c r="A121" s="39" t="s">
        <v>0</v>
      </c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</row>
    <row r="122" spans="1:16" ht="15.75" x14ac:dyDescent="0.25">
      <c r="A122" s="35" t="s">
        <v>101</v>
      </c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6" x14ac:dyDescent="0.25">
      <c r="A123" s="1" t="s">
        <v>4</v>
      </c>
      <c r="B123" s="2" t="s">
        <v>2</v>
      </c>
      <c r="E123" s="1" t="s">
        <v>102</v>
      </c>
      <c r="F123" s="1" t="s">
        <v>121</v>
      </c>
      <c r="M123" s="1" t="s">
        <v>104</v>
      </c>
      <c r="N123" s="1" t="s">
        <v>63</v>
      </c>
    </row>
    <row r="124" spans="1:16" x14ac:dyDescent="0.25">
      <c r="A124" s="1" t="s">
        <v>105</v>
      </c>
      <c r="B124" s="11">
        <f>IFERROR(SUMIFS(tblDaily[Remaining],tblDaily[EntryDate],DATE(2026,3,31),tblDaily[WardCode],"MAE"),0)</f>
        <v>0</v>
      </c>
      <c r="I124" s="11">
        <f>IFERROR(SUMIFS(tblDaily[Remaining],tblDaily[EntryDate],DATE(2026,3,31),tblDaily[WardCode],"FAE"),0)</f>
        <v>0</v>
      </c>
    </row>
    <row r="125" spans="1:16" x14ac:dyDescent="0.25">
      <c r="A125" s="1" t="s">
        <v>106</v>
      </c>
      <c r="B125" s="11">
        <f>IFERROR(INDEX(tblWardConfig[BedComplement],MATCH("MAE",tblWardConfig[WardCode],0)),0)</f>
        <v>10</v>
      </c>
      <c r="I125" s="11">
        <f>IFERROR(INDEX(tblWardConfig[BedComplement],MATCH("FAE",tblWardConfig[WardCode],0)),0)</f>
        <v>10</v>
      </c>
      <c r="O125" s="12">
        <f>B125+I125</f>
        <v>20</v>
      </c>
    </row>
    <row r="126" spans="1:16" x14ac:dyDescent="0.25">
      <c r="A126" s="3" t="s">
        <v>122</v>
      </c>
      <c r="B126" s="38" t="s">
        <v>119</v>
      </c>
      <c r="C126" s="29"/>
      <c r="D126" s="29"/>
      <c r="E126" s="29"/>
      <c r="F126" s="29"/>
      <c r="G126" s="29"/>
      <c r="H126" s="29"/>
      <c r="I126" s="40" t="s">
        <v>120</v>
      </c>
      <c r="J126" s="29"/>
      <c r="K126" s="29"/>
      <c r="L126" s="29"/>
      <c r="M126" s="29"/>
      <c r="N126" s="29"/>
      <c r="O126" s="29"/>
      <c r="P126" s="13" t="s">
        <v>112</v>
      </c>
    </row>
    <row r="127" spans="1:16" x14ac:dyDescent="0.25">
      <c r="A127" s="3" t="s">
        <v>122</v>
      </c>
      <c r="B127" s="3" t="s">
        <v>123</v>
      </c>
      <c r="C127" s="3" t="s">
        <v>124</v>
      </c>
      <c r="D127" s="3" t="s">
        <v>125</v>
      </c>
      <c r="E127" s="3" t="s">
        <v>126</v>
      </c>
      <c r="F127" s="3" t="s">
        <v>127</v>
      </c>
      <c r="G127" s="3" t="s">
        <v>128</v>
      </c>
      <c r="H127" s="3" t="s">
        <v>129</v>
      </c>
      <c r="I127" s="3" t="s">
        <v>123</v>
      </c>
      <c r="J127" s="3" t="s">
        <v>124</v>
      </c>
      <c r="K127" s="3" t="s">
        <v>125</v>
      </c>
      <c r="L127" s="3" t="s">
        <v>126</v>
      </c>
      <c r="M127" s="3" t="s">
        <v>127</v>
      </c>
      <c r="N127" s="3" t="s">
        <v>128</v>
      </c>
      <c r="O127" s="3" t="s">
        <v>129</v>
      </c>
      <c r="P127" s="3" t="s">
        <v>130</v>
      </c>
    </row>
    <row r="128" spans="1:16" x14ac:dyDescent="0.25">
      <c r="A128" s="14">
        <v>1</v>
      </c>
      <c r="B128" s="14" t="str">
        <f>IFERROR(IF(SUMIFS(tblDaily[Admissions],tblDaily[EntryDate],DATE(2026,4,1),tblDaily[WardCode],"MAE")=0,"",SUMIFS(tblDaily[Admissions],tblDaily[EntryDate],DATE(2026,4,1),tblDaily[WardCode],"MAE")),"")</f>
        <v/>
      </c>
      <c r="C128" s="14" t="str">
        <f>IFERROR(IF(SUMIFS(tblDaily[Discharges],tblDaily[EntryDate],DATE(2026,4,1),tblDaily[WardCode],"MAE")=0,"",SUMIFS(tblDaily[Discharges],tblDaily[EntryDate],DATE(2026,4,1),tblDaily[WardCode],"MAE")),"")</f>
        <v/>
      </c>
      <c r="D128" s="14" t="str">
        <f>IFERROR(IF(SUMIFS(tblDaily[Deaths],tblDaily[EntryDate],DATE(2026,4,1),tblDaily[WardCode],"MAE")=0,"",SUMIFS(tblDaily[Deaths],tblDaily[EntryDate],DATE(2026,4,1),tblDaily[WardCode],"MAE")),"")</f>
        <v/>
      </c>
      <c r="E128" s="14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14" t="str">
        <f>IFERROR(IF(SUMIFS(tblDaily[TransfersIn],tblDaily[EntryDate],DATE(2026,4,1),tblDaily[WardCode],"MAE")=0,"",SUMIFS(tblDaily[TransfersIn],tblDaily[EntryDate],DATE(2026,4,1),tblDaily[WardCode],"MAE")),"")</f>
        <v/>
      </c>
      <c r="G128" s="14" t="str">
        <f>IFERROR(IF(SUMIFS(tblDaily[TransfersOut],tblDaily[EntryDate],DATE(2026,4,1),tblDaily[WardCode],"MAE")=0,"",SUMIFS(tblDaily[TransfersOut],tblDaily[EntryDate],DATE(2026,4,1),tblDaily[WardCode],"MAE")),"")</f>
        <v/>
      </c>
      <c r="H128" s="14" t="str">
        <f>IFERROR(IF(SUMIFS(tblDaily[Remaining],tblDaily[EntryDate],DATE(2026,4,1),tblDaily[WardCode],"MAE")=0,"",SUMIFS(tblDaily[Remaining],tblDaily[EntryDate],DATE(2026,4,1),tblDaily[WardCode],"MAE")),"")</f>
        <v/>
      </c>
      <c r="I128" s="14" t="str">
        <f>IFERROR(IF(SUMIFS(tblDaily[Admissions],tblDaily[EntryDate],DATE(2026,4,1),tblDaily[WardCode],"FAE")=0,"",SUMIFS(tblDaily[Admissions],tblDaily[EntryDate],DATE(2026,4,1),tblDaily[WardCode],"FAE")),"")</f>
        <v/>
      </c>
      <c r="J128" s="14" t="str">
        <f>IFERROR(IF(SUMIFS(tblDaily[Discharges],tblDaily[EntryDate],DATE(2026,4,1),tblDaily[WardCode],"FAE")=0,"",SUMIFS(tblDaily[Discharges],tblDaily[EntryDate],DATE(2026,4,1),tblDaily[WardCode],"FAE")),"")</f>
        <v/>
      </c>
      <c r="K128" s="14" t="str">
        <f>IFERROR(IF(SUMIFS(tblDaily[Deaths],tblDaily[EntryDate],DATE(2026,4,1),tblDaily[WardCode],"FAE")=0,"",SUMIFS(tblDaily[Deaths],tblDaily[EntryDate],DATE(2026,4,1),tblDaily[WardCode],"FAE")),"")</f>
        <v/>
      </c>
      <c r="L128" s="14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14" t="str">
        <f>IFERROR(IF(SUMIFS(tblDaily[TransfersIn],tblDaily[EntryDate],DATE(2026,4,1),tblDaily[WardCode],"FAE")=0,"",SUMIFS(tblDaily[TransfersIn],tblDaily[EntryDate],DATE(2026,4,1),tblDaily[WardCode],"FAE")),"")</f>
        <v/>
      </c>
      <c r="N128" s="14" t="str">
        <f>IFERROR(IF(SUMIFS(tblDaily[TransfersOut],tblDaily[EntryDate],DATE(2026,4,1),tblDaily[WardCode],"FAE")=0,"",SUMIFS(tblDaily[TransfersOut],tblDaily[EntryDate],DATE(2026,4,1),tblDaily[WardCode],"FAE")),"")</f>
        <v/>
      </c>
      <c r="O128" s="14" t="str">
        <f>IFERROR(IF(SUMIFS(tblDaily[Remaining],tblDaily[EntryDate],DATE(2026,4,1),tblDaily[WardCode],"FAE")=0,"",SUMIFS(tblDaily[Remaining],tblDaily[EntryDate],DATE(2026,4,1),tblDaily[WardCode],"FAE")),"")</f>
        <v/>
      </c>
      <c r="P128" s="15" t="str">
        <f t="shared" ref="P128:P157" si="3">IF(AND(H128="", O128=""), "", N(H128) + N(O128))</f>
        <v/>
      </c>
    </row>
    <row r="129" spans="1:16" x14ac:dyDescent="0.25">
      <c r="A129" s="14">
        <v>2</v>
      </c>
      <c r="B129" s="14" t="str">
        <f>IFERROR(IF(SUMIFS(tblDaily[Admissions],tblDaily[EntryDate],DATE(2026,4,2),tblDaily[WardCode],"MAE")=0,"",SUMIFS(tblDaily[Admissions],tblDaily[EntryDate],DATE(2026,4,2),tblDaily[WardCode],"MAE")),"")</f>
        <v/>
      </c>
      <c r="C129" s="14" t="str">
        <f>IFERROR(IF(SUMIFS(tblDaily[Discharges],tblDaily[EntryDate],DATE(2026,4,2),tblDaily[WardCode],"MAE")=0,"",SUMIFS(tblDaily[Discharges],tblDaily[EntryDate],DATE(2026,4,2),tblDaily[WardCode],"MAE")),"")</f>
        <v/>
      </c>
      <c r="D129" s="14" t="str">
        <f>IFERROR(IF(SUMIFS(tblDaily[Deaths],tblDaily[EntryDate],DATE(2026,4,2),tblDaily[WardCode],"MAE")=0,"",SUMIFS(tblDaily[Deaths],tblDaily[EntryDate],DATE(2026,4,2),tblDaily[WardCode],"MAE")),"")</f>
        <v/>
      </c>
      <c r="E129" s="14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14" t="str">
        <f>IFERROR(IF(SUMIFS(tblDaily[TransfersIn],tblDaily[EntryDate],DATE(2026,4,2),tblDaily[WardCode],"MAE")=0,"",SUMIFS(tblDaily[TransfersIn],tblDaily[EntryDate],DATE(2026,4,2),tblDaily[WardCode],"MAE")),"")</f>
        <v/>
      </c>
      <c r="G129" s="14" t="str">
        <f>IFERROR(IF(SUMIFS(tblDaily[TransfersOut],tblDaily[EntryDate],DATE(2026,4,2),tblDaily[WardCode],"MAE")=0,"",SUMIFS(tblDaily[TransfersOut],tblDaily[EntryDate],DATE(2026,4,2),tblDaily[WardCode],"MAE")),"")</f>
        <v/>
      </c>
      <c r="H129" s="14" t="str">
        <f>IFERROR(IF(SUMIFS(tblDaily[Remaining],tblDaily[EntryDate],DATE(2026,4,2),tblDaily[WardCode],"MAE")=0,"",SUMIFS(tblDaily[Remaining],tblDaily[EntryDate],DATE(2026,4,2),tblDaily[WardCode],"MAE")),"")</f>
        <v/>
      </c>
      <c r="I129" s="14" t="str">
        <f>IFERROR(IF(SUMIFS(tblDaily[Admissions],tblDaily[EntryDate],DATE(2026,4,2),tblDaily[WardCode],"FAE")=0,"",SUMIFS(tblDaily[Admissions],tblDaily[EntryDate],DATE(2026,4,2),tblDaily[WardCode],"FAE")),"")</f>
        <v/>
      </c>
      <c r="J129" s="14" t="str">
        <f>IFERROR(IF(SUMIFS(tblDaily[Discharges],tblDaily[EntryDate],DATE(2026,4,2),tblDaily[WardCode],"FAE")=0,"",SUMIFS(tblDaily[Discharges],tblDaily[EntryDate],DATE(2026,4,2),tblDaily[WardCode],"FAE")),"")</f>
        <v/>
      </c>
      <c r="K129" s="14" t="str">
        <f>IFERROR(IF(SUMIFS(tblDaily[Deaths],tblDaily[EntryDate],DATE(2026,4,2),tblDaily[WardCode],"FAE")=0,"",SUMIFS(tblDaily[Deaths],tblDaily[EntryDate],DATE(2026,4,2),tblDaily[WardCode],"FAE")),"")</f>
        <v/>
      </c>
      <c r="L129" s="14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14" t="str">
        <f>IFERROR(IF(SUMIFS(tblDaily[TransfersIn],tblDaily[EntryDate],DATE(2026,4,2),tblDaily[WardCode],"FAE")=0,"",SUMIFS(tblDaily[TransfersIn],tblDaily[EntryDate],DATE(2026,4,2),tblDaily[WardCode],"FAE")),"")</f>
        <v/>
      </c>
      <c r="N129" s="14" t="str">
        <f>IFERROR(IF(SUMIFS(tblDaily[TransfersOut],tblDaily[EntryDate],DATE(2026,4,2),tblDaily[WardCode],"FAE")=0,"",SUMIFS(tblDaily[TransfersOut],tblDaily[EntryDate],DATE(2026,4,2),tblDaily[WardCode],"FAE")),"")</f>
        <v/>
      </c>
      <c r="O129" s="14" t="str">
        <f>IFERROR(IF(SUMIFS(tblDaily[Remaining],tblDaily[EntryDate],DATE(2026,4,2),tblDaily[WardCode],"FAE")=0,"",SUMIFS(tblDaily[Remaining],tblDaily[EntryDate],DATE(2026,4,2),tblDaily[WardCode],"FAE")),"")</f>
        <v/>
      </c>
      <c r="P129" s="15" t="str">
        <f t="shared" si="3"/>
        <v/>
      </c>
    </row>
    <row r="130" spans="1:16" x14ac:dyDescent="0.25">
      <c r="A130" s="14">
        <v>3</v>
      </c>
      <c r="B130" s="14" t="str">
        <f>IFERROR(IF(SUMIFS(tblDaily[Admissions],tblDaily[EntryDate],DATE(2026,4,3),tblDaily[WardCode],"MAE")=0,"",SUMIFS(tblDaily[Admissions],tblDaily[EntryDate],DATE(2026,4,3),tblDaily[WardCode],"MAE")),"")</f>
        <v/>
      </c>
      <c r="C130" s="14" t="str">
        <f>IFERROR(IF(SUMIFS(tblDaily[Discharges],tblDaily[EntryDate],DATE(2026,4,3),tblDaily[WardCode],"MAE")=0,"",SUMIFS(tblDaily[Discharges],tblDaily[EntryDate],DATE(2026,4,3),tblDaily[WardCode],"MAE")),"")</f>
        <v/>
      </c>
      <c r="D130" s="14" t="str">
        <f>IFERROR(IF(SUMIFS(tblDaily[Deaths],tblDaily[EntryDate],DATE(2026,4,3),tblDaily[WardCode],"MAE")=0,"",SUMIFS(tblDaily[Deaths],tblDaily[EntryDate],DATE(2026,4,3),tblDaily[WardCode],"MAE")),"")</f>
        <v/>
      </c>
      <c r="E130" s="14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14" t="str">
        <f>IFERROR(IF(SUMIFS(tblDaily[TransfersIn],tblDaily[EntryDate],DATE(2026,4,3),tblDaily[WardCode],"MAE")=0,"",SUMIFS(tblDaily[TransfersIn],tblDaily[EntryDate],DATE(2026,4,3),tblDaily[WardCode],"MAE")),"")</f>
        <v/>
      </c>
      <c r="G130" s="14" t="str">
        <f>IFERROR(IF(SUMIFS(tblDaily[TransfersOut],tblDaily[EntryDate],DATE(2026,4,3),tblDaily[WardCode],"MAE")=0,"",SUMIFS(tblDaily[TransfersOut],tblDaily[EntryDate],DATE(2026,4,3),tblDaily[WardCode],"MAE")),"")</f>
        <v/>
      </c>
      <c r="H130" s="14" t="str">
        <f>IFERROR(IF(SUMIFS(tblDaily[Remaining],tblDaily[EntryDate],DATE(2026,4,3),tblDaily[WardCode],"MAE")=0,"",SUMIFS(tblDaily[Remaining],tblDaily[EntryDate],DATE(2026,4,3),tblDaily[WardCode],"MAE")),"")</f>
        <v/>
      </c>
      <c r="I130" s="14" t="str">
        <f>IFERROR(IF(SUMIFS(tblDaily[Admissions],tblDaily[EntryDate],DATE(2026,4,3),tblDaily[WardCode],"FAE")=0,"",SUMIFS(tblDaily[Admissions],tblDaily[EntryDate],DATE(2026,4,3),tblDaily[WardCode],"FAE")),"")</f>
        <v/>
      </c>
      <c r="J130" s="14" t="str">
        <f>IFERROR(IF(SUMIFS(tblDaily[Discharges],tblDaily[EntryDate],DATE(2026,4,3),tblDaily[WardCode],"FAE")=0,"",SUMIFS(tblDaily[Discharges],tblDaily[EntryDate],DATE(2026,4,3),tblDaily[WardCode],"FAE")),"")</f>
        <v/>
      </c>
      <c r="K130" s="14" t="str">
        <f>IFERROR(IF(SUMIFS(tblDaily[Deaths],tblDaily[EntryDate],DATE(2026,4,3),tblDaily[WardCode],"FAE")=0,"",SUMIFS(tblDaily[Deaths],tblDaily[EntryDate],DATE(2026,4,3),tblDaily[WardCode],"FAE")),"")</f>
        <v/>
      </c>
      <c r="L130" s="14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14" t="str">
        <f>IFERROR(IF(SUMIFS(tblDaily[TransfersIn],tblDaily[EntryDate],DATE(2026,4,3),tblDaily[WardCode],"FAE")=0,"",SUMIFS(tblDaily[TransfersIn],tblDaily[EntryDate],DATE(2026,4,3),tblDaily[WardCode],"FAE")),"")</f>
        <v/>
      </c>
      <c r="N130" s="14" t="str">
        <f>IFERROR(IF(SUMIFS(tblDaily[TransfersOut],tblDaily[EntryDate],DATE(2026,4,3),tblDaily[WardCode],"FAE")=0,"",SUMIFS(tblDaily[TransfersOut],tblDaily[EntryDate],DATE(2026,4,3),tblDaily[WardCode],"FAE")),"")</f>
        <v/>
      </c>
      <c r="O130" s="14" t="str">
        <f>IFERROR(IF(SUMIFS(tblDaily[Remaining],tblDaily[EntryDate],DATE(2026,4,3),tblDaily[WardCode],"FAE")=0,"",SUMIFS(tblDaily[Remaining],tblDaily[EntryDate],DATE(2026,4,3),tblDaily[WardCode],"FAE")),"")</f>
        <v/>
      </c>
      <c r="P130" s="15" t="str">
        <f t="shared" si="3"/>
        <v/>
      </c>
    </row>
    <row r="131" spans="1:16" x14ac:dyDescent="0.25">
      <c r="A131" s="14">
        <v>4</v>
      </c>
      <c r="B131" s="14" t="str">
        <f>IFERROR(IF(SUMIFS(tblDaily[Admissions],tblDaily[EntryDate],DATE(2026,4,4),tblDaily[WardCode],"MAE")=0,"",SUMIFS(tblDaily[Admissions],tblDaily[EntryDate],DATE(2026,4,4),tblDaily[WardCode],"MAE")),"")</f>
        <v/>
      </c>
      <c r="C131" s="14" t="str">
        <f>IFERROR(IF(SUMIFS(tblDaily[Discharges],tblDaily[EntryDate],DATE(2026,4,4),tblDaily[WardCode],"MAE")=0,"",SUMIFS(tblDaily[Discharges],tblDaily[EntryDate],DATE(2026,4,4),tblDaily[WardCode],"MAE")),"")</f>
        <v/>
      </c>
      <c r="D131" s="14" t="str">
        <f>IFERROR(IF(SUMIFS(tblDaily[Deaths],tblDaily[EntryDate],DATE(2026,4,4),tblDaily[WardCode],"MAE")=0,"",SUMIFS(tblDaily[Deaths],tblDaily[EntryDate],DATE(2026,4,4),tblDaily[WardCode],"MAE")),"")</f>
        <v/>
      </c>
      <c r="E131" s="14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14" t="str">
        <f>IFERROR(IF(SUMIFS(tblDaily[TransfersIn],tblDaily[EntryDate],DATE(2026,4,4),tblDaily[WardCode],"MAE")=0,"",SUMIFS(tblDaily[TransfersIn],tblDaily[EntryDate],DATE(2026,4,4),tblDaily[WardCode],"MAE")),"")</f>
        <v/>
      </c>
      <c r="G131" s="14" t="str">
        <f>IFERROR(IF(SUMIFS(tblDaily[TransfersOut],tblDaily[EntryDate],DATE(2026,4,4),tblDaily[WardCode],"MAE")=0,"",SUMIFS(tblDaily[TransfersOut],tblDaily[EntryDate],DATE(2026,4,4),tblDaily[WardCode],"MAE")),"")</f>
        <v/>
      </c>
      <c r="H131" s="14" t="str">
        <f>IFERROR(IF(SUMIFS(tblDaily[Remaining],tblDaily[EntryDate],DATE(2026,4,4),tblDaily[WardCode],"MAE")=0,"",SUMIFS(tblDaily[Remaining],tblDaily[EntryDate],DATE(2026,4,4),tblDaily[WardCode],"MAE")),"")</f>
        <v/>
      </c>
      <c r="I131" s="14" t="str">
        <f>IFERROR(IF(SUMIFS(tblDaily[Admissions],tblDaily[EntryDate],DATE(2026,4,4),tblDaily[WardCode],"FAE")=0,"",SUMIFS(tblDaily[Admissions],tblDaily[EntryDate],DATE(2026,4,4),tblDaily[WardCode],"FAE")),"")</f>
        <v/>
      </c>
      <c r="J131" s="14" t="str">
        <f>IFERROR(IF(SUMIFS(tblDaily[Discharges],tblDaily[EntryDate],DATE(2026,4,4),tblDaily[WardCode],"FAE")=0,"",SUMIFS(tblDaily[Discharges],tblDaily[EntryDate],DATE(2026,4,4),tblDaily[WardCode],"FAE")),"")</f>
        <v/>
      </c>
      <c r="K131" s="14" t="str">
        <f>IFERROR(IF(SUMIFS(tblDaily[Deaths],tblDaily[EntryDate],DATE(2026,4,4),tblDaily[WardCode],"FAE")=0,"",SUMIFS(tblDaily[Deaths],tblDaily[EntryDate],DATE(2026,4,4),tblDaily[WardCode],"FAE")),"")</f>
        <v/>
      </c>
      <c r="L131" s="14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14" t="str">
        <f>IFERROR(IF(SUMIFS(tblDaily[TransfersIn],tblDaily[EntryDate],DATE(2026,4,4),tblDaily[WardCode],"FAE")=0,"",SUMIFS(tblDaily[TransfersIn],tblDaily[EntryDate],DATE(2026,4,4),tblDaily[WardCode],"FAE")),"")</f>
        <v/>
      </c>
      <c r="N131" s="14" t="str">
        <f>IFERROR(IF(SUMIFS(tblDaily[TransfersOut],tblDaily[EntryDate],DATE(2026,4,4),tblDaily[WardCode],"FAE")=0,"",SUMIFS(tblDaily[TransfersOut],tblDaily[EntryDate],DATE(2026,4,4),tblDaily[WardCode],"FAE")),"")</f>
        <v/>
      </c>
      <c r="O131" s="14" t="str">
        <f>IFERROR(IF(SUMIFS(tblDaily[Remaining],tblDaily[EntryDate],DATE(2026,4,4),tblDaily[WardCode],"FAE")=0,"",SUMIFS(tblDaily[Remaining],tblDaily[EntryDate],DATE(2026,4,4),tblDaily[WardCode],"FAE")),"")</f>
        <v/>
      </c>
      <c r="P131" s="15" t="str">
        <f t="shared" si="3"/>
        <v/>
      </c>
    </row>
    <row r="132" spans="1:16" x14ac:dyDescent="0.25">
      <c r="A132" s="14">
        <v>5</v>
      </c>
      <c r="B132" s="14" t="str">
        <f>IFERROR(IF(SUMIFS(tblDaily[Admissions],tblDaily[EntryDate],DATE(2026,4,5),tblDaily[WardCode],"MAE")=0,"",SUMIFS(tblDaily[Admissions],tblDaily[EntryDate],DATE(2026,4,5),tblDaily[WardCode],"MAE")),"")</f>
        <v/>
      </c>
      <c r="C132" s="14" t="str">
        <f>IFERROR(IF(SUMIFS(tblDaily[Discharges],tblDaily[EntryDate],DATE(2026,4,5),tblDaily[WardCode],"MAE")=0,"",SUMIFS(tblDaily[Discharges],tblDaily[EntryDate],DATE(2026,4,5),tblDaily[WardCode],"MAE")),"")</f>
        <v/>
      </c>
      <c r="D132" s="14" t="str">
        <f>IFERROR(IF(SUMIFS(tblDaily[Deaths],tblDaily[EntryDate],DATE(2026,4,5),tblDaily[WardCode],"MAE")=0,"",SUMIFS(tblDaily[Deaths],tblDaily[EntryDate],DATE(2026,4,5),tblDaily[WardCode],"MAE")),"")</f>
        <v/>
      </c>
      <c r="E132" s="14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14" t="str">
        <f>IFERROR(IF(SUMIFS(tblDaily[TransfersIn],tblDaily[EntryDate],DATE(2026,4,5),tblDaily[WardCode],"MAE")=0,"",SUMIFS(tblDaily[TransfersIn],tblDaily[EntryDate],DATE(2026,4,5),tblDaily[WardCode],"MAE")),"")</f>
        <v/>
      </c>
      <c r="G132" s="14" t="str">
        <f>IFERROR(IF(SUMIFS(tblDaily[TransfersOut],tblDaily[EntryDate],DATE(2026,4,5),tblDaily[WardCode],"MAE")=0,"",SUMIFS(tblDaily[TransfersOut],tblDaily[EntryDate],DATE(2026,4,5),tblDaily[WardCode],"MAE")),"")</f>
        <v/>
      </c>
      <c r="H132" s="14" t="str">
        <f>IFERROR(IF(SUMIFS(tblDaily[Remaining],tblDaily[EntryDate],DATE(2026,4,5),tblDaily[WardCode],"MAE")=0,"",SUMIFS(tblDaily[Remaining],tblDaily[EntryDate],DATE(2026,4,5),tblDaily[WardCode],"MAE")),"")</f>
        <v/>
      </c>
      <c r="I132" s="14" t="str">
        <f>IFERROR(IF(SUMIFS(tblDaily[Admissions],tblDaily[EntryDate],DATE(2026,4,5),tblDaily[WardCode],"FAE")=0,"",SUMIFS(tblDaily[Admissions],tblDaily[EntryDate],DATE(2026,4,5),tblDaily[WardCode],"FAE")),"")</f>
        <v/>
      </c>
      <c r="J132" s="14" t="str">
        <f>IFERROR(IF(SUMIFS(tblDaily[Discharges],tblDaily[EntryDate],DATE(2026,4,5),tblDaily[WardCode],"FAE")=0,"",SUMIFS(tblDaily[Discharges],tblDaily[EntryDate],DATE(2026,4,5),tblDaily[WardCode],"FAE")),"")</f>
        <v/>
      </c>
      <c r="K132" s="14" t="str">
        <f>IFERROR(IF(SUMIFS(tblDaily[Deaths],tblDaily[EntryDate],DATE(2026,4,5),tblDaily[WardCode],"FAE")=0,"",SUMIFS(tblDaily[Deaths],tblDaily[EntryDate],DATE(2026,4,5),tblDaily[WardCode],"FAE")),"")</f>
        <v/>
      </c>
      <c r="L132" s="14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14" t="str">
        <f>IFERROR(IF(SUMIFS(tblDaily[TransfersIn],tblDaily[EntryDate],DATE(2026,4,5),tblDaily[WardCode],"FAE")=0,"",SUMIFS(tblDaily[TransfersIn],tblDaily[EntryDate],DATE(2026,4,5),tblDaily[WardCode],"FAE")),"")</f>
        <v/>
      </c>
      <c r="N132" s="14" t="str">
        <f>IFERROR(IF(SUMIFS(tblDaily[TransfersOut],tblDaily[EntryDate],DATE(2026,4,5),tblDaily[WardCode],"FAE")=0,"",SUMIFS(tblDaily[TransfersOut],tblDaily[EntryDate],DATE(2026,4,5),tblDaily[WardCode],"FAE")),"")</f>
        <v/>
      </c>
      <c r="O132" s="14" t="str">
        <f>IFERROR(IF(SUMIFS(tblDaily[Remaining],tblDaily[EntryDate],DATE(2026,4,5),tblDaily[WardCode],"FAE")=0,"",SUMIFS(tblDaily[Remaining],tblDaily[EntryDate],DATE(2026,4,5),tblDaily[WardCode],"FAE")),"")</f>
        <v/>
      </c>
      <c r="P132" s="15" t="str">
        <f t="shared" si="3"/>
        <v/>
      </c>
    </row>
    <row r="133" spans="1:16" x14ac:dyDescent="0.25">
      <c r="A133" s="14">
        <v>6</v>
      </c>
      <c r="B133" s="14" t="str">
        <f>IFERROR(IF(SUMIFS(tblDaily[Admissions],tblDaily[EntryDate],DATE(2026,4,6),tblDaily[WardCode],"MAE")=0,"",SUMIFS(tblDaily[Admissions],tblDaily[EntryDate],DATE(2026,4,6),tblDaily[WardCode],"MAE")),"")</f>
        <v/>
      </c>
      <c r="C133" s="14" t="str">
        <f>IFERROR(IF(SUMIFS(tblDaily[Discharges],tblDaily[EntryDate],DATE(2026,4,6),tblDaily[WardCode],"MAE")=0,"",SUMIFS(tblDaily[Discharges],tblDaily[EntryDate],DATE(2026,4,6),tblDaily[WardCode],"MAE")),"")</f>
        <v/>
      </c>
      <c r="D133" s="14" t="str">
        <f>IFERROR(IF(SUMIFS(tblDaily[Deaths],tblDaily[EntryDate],DATE(2026,4,6),tblDaily[WardCode],"MAE")=0,"",SUMIFS(tblDaily[Deaths],tblDaily[EntryDate],DATE(2026,4,6),tblDaily[WardCode],"MAE")),"")</f>
        <v/>
      </c>
      <c r="E133" s="14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14" t="str">
        <f>IFERROR(IF(SUMIFS(tblDaily[TransfersIn],tblDaily[EntryDate],DATE(2026,4,6),tblDaily[WardCode],"MAE")=0,"",SUMIFS(tblDaily[TransfersIn],tblDaily[EntryDate],DATE(2026,4,6),tblDaily[WardCode],"MAE")),"")</f>
        <v/>
      </c>
      <c r="G133" s="14" t="str">
        <f>IFERROR(IF(SUMIFS(tblDaily[TransfersOut],tblDaily[EntryDate],DATE(2026,4,6),tblDaily[WardCode],"MAE")=0,"",SUMIFS(tblDaily[TransfersOut],tblDaily[EntryDate],DATE(2026,4,6),tblDaily[WardCode],"MAE")),"")</f>
        <v/>
      </c>
      <c r="H133" s="14" t="str">
        <f>IFERROR(IF(SUMIFS(tblDaily[Remaining],tblDaily[EntryDate],DATE(2026,4,6),tblDaily[WardCode],"MAE")=0,"",SUMIFS(tblDaily[Remaining],tblDaily[EntryDate],DATE(2026,4,6),tblDaily[WardCode],"MAE")),"")</f>
        <v/>
      </c>
      <c r="I133" s="14" t="str">
        <f>IFERROR(IF(SUMIFS(tblDaily[Admissions],tblDaily[EntryDate],DATE(2026,4,6),tblDaily[WardCode],"FAE")=0,"",SUMIFS(tblDaily[Admissions],tblDaily[EntryDate],DATE(2026,4,6),tblDaily[WardCode],"FAE")),"")</f>
        <v/>
      </c>
      <c r="J133" s="14" t="str">
        <f>IFERROR(IF(SUMIFS(tblDaily[Discharges],tblDaily[EntryDate],DATE(2026,4,6),tblDaily[WardCode],"FAE")=0,"",SUMIFS(tblDaily[Discharges],tblDaily[EntryDate],DATE(2026,4,6),tblDaily[WardCode],"FAE")),"")</f>
        <v/>
      </c>
      <c r="K133" s="14" t="str">
        <f>IFERROR(IF(SUMIFS(tblDaily[Deaths],tblDaily[EntryDate],DATE(2026,4,6),tblDaily[WardCode],"FAE")=0,"",SUMIFS(tblDaily[Deaths],tblDaily[EntryDate],DATE(2026,4,6),tblDaily[WardCode],"FAE")),"")</f>
        <v/>
      </c>
      <c r="L133" s="14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14" t="str">
        <f>IFERROR(IF(SUMIFS(tblDaily[TransfersIn],tblDaily[EntryDate],DATE(2026,4,6),tblDaily[WardCode],"FAE")=0,"",SUMIFS(tblDaily[TransfersIn],tblDaily[EntryDate],DATE(2026,4,6),tblDaily[WardCode],"FAE")),"")</f>
        <v/>
      </c>
      <c r="N133" s="14" t="str">
        <f>IFERROR(IF(SUMIFS(tblDaily[TransfersOut],tblDaily[EntryDate],DATE(2026,4,6),tblDaily[WardCode],"FAE")=0,"",SUMIFS(tblDaily[TransfersOut],tblDaily[EntryDate],DATE(2026,4,6),tblDaily[WardCode],"FAE")),"")</f>
        <v/>
      </c>
      <c r="O133" s="14" t="str">
        <f>IFERROR(IF(SUMIFS(tblDaily[Remaining],tblDaily[EntryDate],DATE(2026,4,6),tblDaily[WardCode],"FAE")=0,"",SUMIFS(tblDaily[Remaining],tblDaily[EntryDate],DATE(2026,4,6),tblDaily[WardCode],"FAE")),"")</f>
        <v/>
      </c>
      <c r="P133" s="15" t="str">
        <f t="shared" si="3"/>
        <v/>
      </c>
    </row>
    <row r="134" spans="1:16" x14ac:dyDescent="0.25">
      <c r="A134" s="14">
        <v>7</v>
      </c>
      <c r="B134" s="14" t="str">
        <f>IFERROR(IF(SUMIFS(tblDaily[Admissions],tblDaily[EntryDate],DATE(2026,4,7),tblDaily[WardCode],"MAE")=0,"",SUMIFS(tblDaily[Admissions],tblDaily[EntryDate],DATE(2026,4,7),tblDaily[WardCode],"MAE")),"")</f>
        <v/>
      </c>
      <c r="C134" s="14" t="str">
        <f>IFERROR(IF(SUMIFS(tblDaily[Discharges],tblDaily[EntryDate],DATE(2026,4,7),tblDaily[WardCode],"MAE")=0,"",SUMIFS(tblDaily[Discharges],tblDaily[EntryDate],DATE(2026,4,7),tblDaily[WardCode],"MAE")),"")</f>
        <v/>
      </c>
      <c r="D134" s="14" t="str">
        <f>IFERROR(IF(SUMIFS(tblDaily[Deaths],tblDaily[EntryDate],DATE(2026,4,7),tblDaily[WardCode],"MAE")=0,"",SUMIFS(tblDaily[Deaths],tblDaily[EntryDate],DATE(2026,4,7),tblDaily[WardCode],"MAE")),"")</f>
        <v/>
      </c>
      <c r="E134" s="14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14" t="str">
        <f>IFERROR(IF(SUMIFS(tblDaily[TransfersIn],tblDaily[EntryDate],DATE(2026,4,7),tblDaily[WardCode],"MAE")=0,"",SUMIFS(tblDaily[TransfersIn],tblDaily[EntryDate],DATE(2026,4,7),tblDaily[WardCode],"MAE")),"")</f>
        <v/>
      </c>
      <c r="G134" s="14" t="str">
        <f>IFERROR(IF(SUMIFS(tblDaily[TransfersOut],tblDaily[EntryDate],DATE(2026,4,7),tblDaily[WardCode],"MAE")=0,"",SUMIFS(tblDaily[TransfersOut],tblDaily[EntryDate],DATE(2026,4,7),tblDaily[WardCode],"MAE")),"")</f>
        <v/>
      </c>
      <c r="H134" s="14" t="str">
        <f>IFERROR(IF(SUMIFS(tblDaily[Remaining],tblDaily[EntryDate],DATE(2026,4,7),tblDaily[WardCode],"MAE")=0,"",SUMIFS(tblDaily[Remaining],tblDaily[EntryDate],DATE(2026,4,7),tblDaily[WardCode],"MAE")),"")</f>
        <v/>
      </c>
      <c r="I134" s="14" t="str">
        <f>IFERROR(IF(SUMIFS(tblDaily[Admissions],tblDaily[EntryDate],DATE(2026,4,7),tblDaily[WardCode],"FAE")=0,"",SUMIFS(tblDaily[Admissions],tblDaily[EntryDate],DATE(2026,4,7),tblDaily[WardCode],"FAE")),"")</f>
        <v/>
      </c>
      <c r="J134" s="14" t="str">
        <f>IFERROR(IF(SUMIFS(tblDaily[Discharges],tblDaily[EntryDate],DATE(2026,4,7),tblDaily[WardCode],"FAE")=0,"",SUMIFS(tblDaily[Discharges],tblDaily[EntryDate],DATE(2026,4,7),tblDaily[WardCode],"FAE")),"")</f>
        <v/>
      </c>
      <c r="K134" s="14" t="str">
        <f>IFERROR(IF(SUMIFS(tblDaily[Deaths],tblDaily[EntryDate],DATE(2026,4,7),tblDaily[WardCode],"FAE")=0,"",SUMIFS(tblDaily[Deaths],tblDaily[EntryDate],DATE(2026,4,7),tblDaily[WardCode],"FAE")),"")</f>
        <v/>
      </c>
      <c r="L134" s="14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14" t="str">
        <f>IFERROR(IF(SUMIFS(tblDaily[TransfersIn],tblDaily[EntryDate],DATE(2026,4,7),tblDaily[WardCode],"FAE")=0,"",SUMIFS(tblDaily[TransfersIn],tblDaily[EntryDate],DATE(2026,4,7),tblDaily[WardCode],"FAE")),"")</f>
        <v/>
      </c>
      <c r="N134" s="14" t="str">
        <f>IFERROR(IF(SUMIFS(tblDaily[TransfersOut],tblDaily[EntryDate],DATE(2026,4,7),tblDaily[WardCode],"FAE")=0,"",SUMIFS(tblDaily[TransfersOut],tblDaily[EntryDate],DATE(2026,4,7),tblDaily[WardCode],"FAE")),"")</f>
        <v/>
      </c>
      <c r="O134" s="14" t="str">
        <f>IFERROR(IF(SUMIFS(tblDaily[Remaining],tblDaily[EntryDate],DATE(2026,4,7),tblDaily[WardCode],"FAE")=0,"",SUMIFS(tblDaily[Remaining],tblDaily[EntryDate],DATE(2026,4,7),tblDaily[WardCode],"FAE")),"")</f>
        <v/>
      </c>
      <c r="P134" s="15" t="str">
        <f t="shared" si="3"/>
        <v/>
      </c>
    </row>
    <row r="135" spans="1:16" x14ac:dyDescent="0.25">
      <c r="A135" s="14">
        <v>8</v>
      </c>
      <c r="B135" s="14" t="str">
        <f>IFERROR(IF(SUMIFS(tblDaily[Admissions],tblDaily[EntryDate],DATE(2026,4,8),tblDaily[WardCode],"MAE")=0,"",SUMIFS(tblDaily[Admissions],tblDaily[EntryDate],DATE(2026,4,8),tblDaily[WardCode],"MAE")),"")</f>
        <v/>
      </c>
      <c r="C135" s="14" t="str">
        <f>IFERROR(IF(SUMIFS(tblDaily[Discharges],tblDaily[EntryDate],DATE(2026,4,8),tblDaily[WardCode],"MAE")=0,"",SUMIFS(tblDaily[Discharges],tblDaily[EntryDate],DATE(2026,4,8),tblDaily[WardCode],"MAE")),"")</f>
        <v/>
      </c>
      <c r="D135" s="14" t="str">
        <f>IFERROR(IF(SUMIFS(tblDaily[Deaths],tblDaily[EntryDate],DATE(2026,4,8),tblDaily[WardCode],"MAE")=0,"",SUMIFS(tblDaily[Deaths],tblDaily[EntryDate],DATE(2026,4,8),tblDaily[WardCode],"MAE")),"")</f>
        <v/>
      </c>
      <c r="E135" s="14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14" t="str">
        <f>IFERROR(IF(SUMIFS(tblDaily[TransfersIn],tblDaily[EntryDate],DATE(2026,4,8),tblDaily[WardCode],"MAE")=0,"",SUMIFS(tblDaily[TransfersIn],tblDaily[EntryDate],DATE(2026,4,8),tblDaily[WardCode],"MAE")),"")</f>
        <v/>
      </c>
      <c r="G135" s="14" t="str">
        <f>IFERROR(IF(SUMIFS(tblDaily[TransfersOut],tblDaily[EntryDate],DATE(2026,4,8),tblDaily[WardCode],"MAE")=0,"",SUMIFS(tblDaily[TransfersOut],tblDaily[EntryDate],DATE(2026,4,8),tblDaily[WardCode],"MAE")),"")</f>
        <v/>
      </c>
      <c r="H135" s="14" t="str">
        <f>IFERROR(IF(SUMIFS(tblDaily[Remaining],tblDaily[EntryDate],DATE(2026,4,8),tblDaily[WardCode],"MAE")=0,"",SUMIFS(tblDaily[Remaining],tblDaily[EntryDate],DATE(2026,4,8),tblDaily[WardCode],"MAE")),"")</f>
        <v/>
      </c>
      <c r="I135" s="14" t="str">
        <f>IFERROR(IF(SUMIFS(tblDaily[Admissions],tblDaily[EntryDate],DATE(2026,4,8),tblDaily[WardCode],"FAE")=0,"",SUMIFS(tblDaily[Admissions],tblDaily[EntryDate],DATE(2026,4,8),tblDaily[WardCode],"FAE")),"")</f>
        <v/>
      </c>
      <c r="J135" s="14" t="str">
        <f>IFERROR(IF(SUMIFS(tblDaily[Discharges],tblDaily[EntryDate],DATE(2026,4,8),tblDaily[WardCode],"FAE")=0,"",SUMIFS(tblDaily[Discharges],tblDaily[EntryDate],DATE(2026,4,8),tblDaily[WardCode],"FAE")),"")</f>
        <v/>
      </c>
      <c r="K135" s="14" t="str">
        <f>IFERROR(IF(SUMIFS(tblDaily[Deaths],tblDaily[EntryDate],DATE(2026,4,8),tblDaily[WardCode],"FAE")=0,"",SUMIFS(tblDaily[Deaths],tblDaily[EntryDate],DATE(2026,4,8),tblDaily[WardCode],"FAE")),"")</f>
        <v/>
      </c>
      <c r="L135" s="14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14" t="str">
        <f>IFERROR(IF(SUMIFS(tblDaily[TransfersIn],tblDaily[EntryDate],DATE(2026,4,8),tblDaily[WardCode],"FAE")=0,"",SUMIFS(tblDaily[TransfersIn],tblDaily[EntryDate],DATE(2026,4,8),tblDaily[WardCode],"FAE")),"")</f>
        <v/>
      </c>
      <c r="N135" s="14" t="str">
        <f>IFERROR(IF(SUMIFS(tblDaily[TransfersOut],tblDaily[EntryDate],DATE(2026,4,8),tblDaily[WardCode],"FAE")=0,"",SUMIFS(tblDaily[TransfersOut],tblDaily[EntryDate],DATE(2026,4,8),tblDaily[WardCode],"FAE")),"")</f>
        <v/>
      </c>
      <c r="O135" s="14" t="str">
        <f>IFERROR(IF(SUMIFS(tblDaily[Remaining],tblDaily[EntryDate],DATE(2026,4,8),tblDaily[WardCode],"FAE")=0,"",SUMIFS(tblDaily[Remaining],tblDaily[EntryDate],DATE(2026,4,8),tblDaily[WardCode],"FAE")),"")</f>
        <v/>
      </c>
      <c r="P135" s="15" t="str">
        <f t="shared" si="3"/>
        <v/>
      </c>
    </row>
    <row r="136" spans="1:16" x14ac:dyDescent="0.25">
      <c r="A136" s="14">
        <v>9</v>
      </c>
      <c r="B136" s="14" t="str">
        <f>IFERROR(IF(SUMIFS(tblDaily[Admissions],tblDaily[EntryDate],DATE(2026,4,9),tblDaily[WardCode],"MAE")=0,"",SUMIFS(tblDaily[Admissions],tblDaily[EntryDate],DATE(2026,4,9),tblDaily[WardCode],"MAE")),"")</f>
        <v/>
      </c>
      <c r="C136" s="14" t="str">
        <f>IFERROR(IF(SUMIFS(tblDaily[Discharges],tblDaily[EntryDate],DATE(2026,4,9),tblDaily[WardCode],"MAE")=0,"",SUMIFS(tblDaily[Discharges],tblDaily[EntryDate],DATE(2026,4,9),tblDaily[WardCode],"MAE")),"")</f>
        <v/>
      </c>
      <c r="D136" s="14" t="str">
        <f>IFERROR(IF(SUMIFS(tblDaily[Deaths],tblDaily[EntryDate],DATE(2026,4,9),tblDaily[WardCode],"MAE")=0,"",SUMIFS(tblDaily[Deaths],tblDaily[EntryDate],DATE(2026,4,9),tblDaily[WardCode],"MAE")),"")</f>
        <v/>
      </c>
      <c r="E136" s="14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14" t="str">
        <f>IFERROR(IF(SUMIFS(tblDaily[TransfersIn],tblDaily[EntryDate],DATE(2026,4,9),tblDaily[WardCode],"MAE")=0,"",SUMIFS(tblDaily[TransfersIn],tblDaily[EntryDate],DATE(2026,4,9),tblDaily[WardCode],"MAE")),"")</f>
        <v/>
      </c>
      <c r="G136" s="14" t="str">
        <f>IFERROR(IF(SUMIFS(tblDaily[TransfersOut],tblDaily[EntryDate],DATE(2026,4,9),tblDaily[WardCode],"MAE")=0,"",SUMIFS(tblDaily[TransfersOut],tblDaily[EntryDate],DATE(2026,4,9),tblDaily[WardCode],"MAE")),"")</f>
        <v/>
      </c>
      <c r="H136" s="14" t="str">
        <f>IFERROR(IF(SUMIFS(tblDaily[Remaining],tblDaily[EntryDate],DATE(2026,4,9),tblDaily[WardCode],"MAE")=0,"",SUMIFS(tblDaily[Remaining],tblDaily[EntryDate],DATE(2026,4,9),tblDaily[WardCode],"MAE")),"")</f>
        <v/>
      </c>
      <c r="I136" s="14" t="str">
        <f>IFERROR(IF(SUMIFS(tblDaily[Admissions],tblDaily[EntryDate],DATE(2026,4,9),tblDaily[WardCode],"FAE")=0,"",SUMIFS(tblDaily[Admissions],tblDaily[EntryDate],DATE(2026,4,9),tblDaily[WardCode],"FAE")),"")</f>
        <v/>
      </c>
      <c r="J136" s="14" t="str">
        <f>IFERROR(IF(SUMIFS(tblDaily[Discharges],tblDaily[EntryDate],DATE(2026,4,9),tblDaily[WardCode],"FAE")=0,"",SUMIFS(tblDaily[Discharges],tblDaily[EntryDate],DATE(2026,4,9),tblDaily[WardCode],"FAE")),"")</f>
        <v/>
      </c>
      <c r="K136" s="14" t="str">
        <f>IFERROR(IF(SUMIFS(tblDaily[Deaths],tblDaily[EntryDate],DATE(2026,4,9),tblDaily[WardCode],"FAE")=0,"",SUMIFS(tblDaily[Deaths],tblDaily[EntryDate],DATE(2026,4,9),tblDaily[WardCode],"FAE")),"")</f>
        <v/>
      </c>
      <c r="L136" s="14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14" t="str">
        <f>IFERROR(IF(SUMIFS(tblDaily[TransfersIn],tblDaily[EntryDate],DATE(2026,4,9),tblDaily[WardCode],"FAE")=0,"",SUMIFS(tblDaily[TransfersIn],tblDaily[EntryDate],DATE(2026,4,9),tblDaily[WardCode],"FAE")),"")</f>
        <v/>
      </c>
      <c r="N136" s="14" t="str">
        <f>IFERROR(IF(SUMIFS(tblDaily[TransfersOut],tblDaily[EntryDate],DATE(2026,4,9),tblDaily[WardCode],"FAE")=0,"",SUMIFS(tblDaily[TransfersOut],tblDaily[EntryDate],DATE(2026,4,9),tblDaily[WardCode],"FAE")),"")</f>
        <v/>
      </c>
      <c r="O136" s="14" t="str">
        <f>IFERROR(IF(SUMIFS(tblDaily[Remaining],tblDaily[EntryDate],DATE(2026,4,9),tblDaily[WardCode],"FAE")=0,"",SUMIFS(tblDaily[Remaining],tblDaily[EntryDate],DATE(2026,4,9),tblDaily[WardCode],"FAE")),"")</f>
        <v/>
      </c>
      <c r="P136" s="15" t="str">
        <f t="shared" si="3"/>
        <v/>
      </c>
    </row>
    <row r="137" spans="1:16" x14ac:dyDescent="0.25">
      <c r="A137" s="14">
        <v>10</v>
      </c>
      <c r="B137" s="14" t="str">
        <f>IFERROR(IF(SUMIFS(tblDaily[Admissions],tblDaily[EntryDate],DATE(2026,4,10),tblDaily[WardCode],"MAE")=0,"",SUMIFS(tblDaily[Admissions],tblDaily[EntryDate],DATE(2026,4,10),tblDaily[WardCode],"MAE")),"")</f>
        <v/>
      </c>
      <c r="C137" s="14" t="str">
        <f>IFERROR(IF(SUMIFS(tblDaily[Discharges],tblDaily[EntryDate],DATE(2026,4,10),tblDaily[WardCode],"MAE")=0,"",SUMIFS(tblDaily[Discharges],tblDaily[EntryDate],DATE(2026,4,10),tblDaily[WardCode],"MAE")),"")</f>
        <v/>
      </c>
      <c r="D137" s="14" t="str">
        <f>IFERROR(IF(SUMIFS(tblDaily[Deaths],tblDaily[EntryDate],DATE(2026,4,10),tblDaily[WardCode],"MAE")=0,"",SUMIFS(tblDaily[Deaths],tblDaily[EntryDate],DATE(2026,4,10),tblDaily[WardCode],"MAE")),"")</f>
        <v/>
      </c>
      <c r="E137" s="14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14" t="str">
        <f>IFERROR(IF(SUMIFS(tblDaily[TransfersIn],tblDaily[EntryDate],DATE(2026,4,10),tblDaily[WardCode],"MAE")=0,"",SUMIFS(tblDaily[TransfersIn],tblDaily[EntryDate],DATE(2026,4,10),tblDaily[WardCode],"MAE")),"")</f>
        <v/>
      </c>
      <c r="G137" s="14" t="str">
        <f>IFERROR(IF(SUMIFS(tblDaily[TransfersOut],tblDaily[EntryDate],DATE(2026,4,10),tblDaily[WardCode],"MAE")=0,"",SUMIFS(tblDaily[TransfersOut],tblDaily[EntryDate],DATE(2026,4,10),tblDaily[WardCode],"MAE")),"")</f>
        <v/>
      </c>
      <c r="H137" s="14" t="str">
        <f>IFERROR(IF(SUMIFS(tblDaily[Remaining],tblDaily[EntryDate],DATE(2026,4,10),tblDaily[WardCode],"MAE")=0,"",SUMIFS(tblDaily[Remaining],tblDaily[EntryDate],DATE(2026,4,10),tblDaily[WardCode],"MAE")),"")</f>
        <v/>
      </c>
      <c r="I137" s="14" t="str">
        <f>IFERROR(IF(SUMIFS(tblDaily[Admissions],tblDaily[EntryDate],DATE(2026,4,10),tblDaily[WardCode],"FAE")=0,"",SUMIFS(tblDaily[Admissions],tblDaily[EntryDate],DATE(2026,4,10),tblDaily[WardCode],"FAE")),"")</f>
        <v/>
      </c>
      <c r="J137" s="14" t="str">
        <f>IFERROR(IF(SUMIFS(tblDaily[Discharges],tblDaily[EntryDate],DATE(2026,4,10),tblDaily[WardCode],"FAE")=0,"",SUMIFS(tblDaily[Discharges],tblDaily[EntryDate],DATE(2026,4,10),tblDaily[WardCode],"FAE")),"")</f>
        <v/>
      </c>
      <c r="K137" s="14" t="str">
        <f>IFERROR(IF(SUMIFS(tblDaily[Deaths],tblDaily[EntryDate],DATE(2026,4,10),tblDaily[WardCode],"FAE")=0,"",SUMIFS(tblDaily[Deaths],tblDaily[EntryDate],DATE(2026,4,10),tblDaily[WardCode],"FAE")),"")</f>
        <v/>
      </c>
      <c r="L137" s="14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14" t="str">
        <f>IFERROR(IF(SUMIFS(tblDaily[TransfersIn],tblDaily[EntryDate],DATE(2026,4,10),tblDaily[WardCode],"FAE")=0,"",SUMIFS(tblDaily[TransfersIn],tblDaily[EntryDate],DATE(2026,4,10),tblDaily[WardCode],"FAE")),"")</f>
        <v/>
      </c>
      <c r="N137" s="14" t="str">
        <f>IFERROR(IF(SUMIFS(tblDaily[TransfersOut],tblDaily[EntryDate],DATE(2026,4,10),tblDaily[WardCode],"FAE")=0,"",SUMIFS(tblDaily[TransfersOut],tblDaily[EntryDate],DATE(2026,4,10),tblDaily[WardCode],"FAE")),"")</f>
        <v/>
      </c>
      <c r="O137" s="14" t="str">
        <f>IFERROR(IF(SUMIFS(tblDaily[Remaining],tblDaily[EntryDate],DATE(2026,4,10),tblDaily[WardCode],"FAE")=0,"",SUMIFS(tblDaily[Remaining],tblDaily[EntryDate],DATE(2026,4,10),tblDaily[WardCode],"FAE")),"")</f>
        <v/>
      </c>
      <c r="P137" s="15" t="str">
        <f t="shared" si="3"/>
        <v/>
      </c>
    </row>
    <row r="138" spans="1:16" x14ac:dyDescent="0.25">
      <c r="A138" s="14">
        <v>11</v>
      </c>
      <c r="B138" s="14" t="str">
        <f>IFERROR(IF(SUMIFS(tblDaily[Admissions],tblDaily[EntryDate],DATE(2026,4,11),tblDaily[WardCode],"MAE")=0,"",SUMIFS(tblDaily[Admissions],tblDaily[EntryDate],DATE(2026,4,11),tblDaily[WardCode],"MAE")),"")</f>
        <v/>
      </c>
      <c r="C138" s="14" t="str">
        <f>IFERROR(IF(SUMIFS(tblDaily[Discharges],tblDaily[EntryDate],DATE(2026,4,11),tblDaily[WardCode],"MAE")=0,"",SUMIFS(tblDaily[Discharges],tblDaily[EntryDate],DATE(2026,4,11),tblDaily[WardCode],"MAE")),"")</f>
        <v/>
      </c>
      <c r="D138" s="14" t="str">
        <f>IFERROR(IF(SUMIFS(tblDaily[Deaths],tblDaily[EntryDate],DATE(2026,4,11),tblDaily[WardCode],"MAE")=0,"",SUMIFS(tblDaily[Deaths],tblDaily[EntryDate],DATE(2026,4,11),tblDaily[WardCode],"MAE")),"")</f>
        <v/>
      </c>
      <c r="E138" s="14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14" t="str">
        <f>IFERROR(IF(SUMIFS(tblDaily[TransfersIn],tblDaily[EntryDate],DATE(2026,4,11),tblDaily[WardCode],"MAE")=0,"",SUMIFS(tblDaily[TransfersIn],tblDaily[EntryDate],DATE(2026,4,11),tblDaily[WardCode],"MAE")),"")</f>
        <v/>
      </c>
      <c r="G138" s="14" t="str">
        <f>IFERROR(IF(SUMIFS(tblDaily[TransfersOut],tblDaily[EntryDate],DATE(2026,4,11),tblDaily[WardCode],"MAE")=0,"",SUMIFS(tblDaily[TransfersOut],tblDaily[EntryDate],DATE(2026,4,11),tblDaily[WardCode],"MAE")),"")</f>
        <v/>
      </c>
      <c r="H138" s="14" t="str">
        <f>IFERROR(IF(SUMIFS(tblDaily[Remaining],tblDaily[EntryDate],DATE(2026,4,11),tblDaily[WardCode],"MAE")=0,"",SUMIFS(tblDaily[Remaining],tblDaily[EntryDate],DATE(2026,4,11),tblDaily[WardCode],"MAE")),"")</f>
        <v/>
      </c>
      <c r="I138" s="14" t="str">
        <f>IFERROR(IF(SUMIFS(tblDaily[Admissions],tblDaily[EntryDate],DATE(2026,4,11),tblDaily[WardCode],"FAE")=0,"",SUMIFS(tblDaily[Admissions],tblDaily[EntryDate],DATE(2026,4,11),tblDaily[WardCode],"FAE")),"")</f>
        <v/>
      </c>
      <c r="J138" s="14" t="str">
        <f>IFERROR(IF(SUMIFS(tblDaily[Discharges],tblDaily[EntryDate],DATE(2026,4,11),tblDaily[WardCode],"FAE")=0,"",SUMIFS(tblDaily[Discharges],tblDaily[EntryDate],DATE(2026,4,11),tblDaily[WardCode],"FAE")),"")</f>
        <v/>
      </c>
      <c r="K138" s="14" t="str">
        <f>IFERROR(IF(SUMIFS(tblDaily[Deaths],tblDaily[EntryDate],DATE(2026,4,11),tblDaily[WardCode],"FAE")=0,"",SUMIFS(tblDaily[Deaths],tblDaily[EntryDate],DATE(2026,4,11),tblDaily[WardCode],"FAE")),"")</f>
        <v/>
      </c>
      <c r="L138" s="14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14" t="str">
        <f>IFERROR(IF(SUMIFS(tblDaily[TransfersIn],tblDaily[EntryDate],DATE(2026,4,11),tblDaily[WardCode],"FAE")=0,"",SUMIFS(tblDaily[TransfersIn],tblDaily[EntryDate],DATE(2026,4,11),tblDaily[WardCode],"FAE")),"")</f>
        <v/>
      </c>
      <c r="N138" s="14" t="str">
        <f>IFERROR(IF(SUMIFS(tblDaily[TransfersOut],tblDaily[EntryDate],DATE(2026,4,11),tblDaily[WardCode],"FAE")=0,"",SUMIFS(tblDaily[TransfersOut],tblDaily[EntryDate],DATE(2026,4,11),tblDaily[WardCode],"FAE")),"")</f>
        <v/>
      </c>
      <c r="O138" s="14" t="str">
        <f>IFERROR(IF(SUMIFS(tblDaily[Remaining],tblDaily[EntryDate],DATE(2026,4,11),tblDaily[WardCode],"FAE")=0,"",SUMIFS(tblDaily[Remaining],tblDaily[EntryDate],DATE(2026,4,11),tblDaily[WardCode],"FAE")),"")</f>
        <v/>
      </c>
      <c r="P138" s="15" t="str">
        <f t="shared" si="3"/>
        <v/>
      </c>
    </row>
    <row r="139" spans="1:16" x14ac:dyDescent="0.25">
      <c r="A139" s="14">
        <v>12</v>
      </c>
      <c r="B139" s="14" t="str">
        <f>IFERROR(IF(SUMIFS(tblDaily[Admissions],tblDaily[EntryDate],DATE(2026,4,12),tblDaily[WardCode],"MAE")=0,"",SUMIFS(tblDaily[Admissions],tblDaily[EntryDate],DATE(2026,4,12),tblDaily[WardCode],"MAE")),"")</f>
        <v/>
      </c>
      <c r="C139" s="14" t="str">
        <f>IFERROR(IF(SUMIFS(tblDaily[Discharges],tblDaily[EntryDate],DATE(2026,4,12),tblDaily[WardCode],"MAE")=0,"",SUMIFS(tblDaily[Discharges],tblDaily[EntryDate],DATE(2026,4,12),tblDaily[WardCode],"MAE")),"")</f>
        <v/>
      </c>
      <c r="D139" s="14" t="str">
        <f>IFERROR(IF(SUMIFS(tblDaily[Deaths],tblDaily[EntryDate],DATE(2026,4,12),tblDaily[WardCode],"MAE")=0,"",SUMIFS(tblDaily[Deaths],tblDaily[EntryDate],DATE(2026,4,12),tblDaily[WardCode],"MAE")),"")</f>
        <v/>
      </c>
      <c r="E139" s="14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14" t="str">
        <f>IFERROR(IF(SUMIFS(tblDaily[TransfersIn],tblDaily[EntryDate],DATE(2026,4,12),tblDaily[WardCode],"MAE")=0,"",SUMIFS(tblDaily[TransfersIn],tblDaily[EntryDate],DATE(2026,4,12),tblDaily[WardCode],"MAE")),"")</f>
        <v/>
      </c>
      <c r="G139" s="14" t="str">
        <f>IFERROR(IF(SUMIFS(tblDaily[TransfersOut],tblDaily[EntryDate],DATE(2026,4,12),tblDaily[WardCode],"MAE")=0,"",SUMIFS(tblDaily[TransfersOut],tblDaily[EntryDate],DATE(2026,4,12),tblDaily[WardCode],"MAE")),"")</f>
        <v/>
      </c>
      <c r="H139" s="14" t="str">
        <f>IFERROR(IF(SUMIFS(tblDaily[Remaining],tblDaily[EntryDate],DATE(2026,4,12),tblDaily[WardCode],"MAE")=0,"",SUMIFS(tblDaily[Remaining],tblDaily[EntryDate],DATE(2026,4,12),tblDaily[WardCode],"MAE")),"")</f>
        <v/>
      </c>
      <c r="I139" s="14" t="str">
        <f>IFERROR(IF(SUMIFS(tblDaily[Admissions],tblDaily[EntryDate],DATE(2026,4,12),tblDaily[WardCode],"FAE")=0,"",SUMIFS(tblDaily[Admissions],tblDaily[EntryDate],DATE(2026,4,12),tblDaily[WardCode],"FAE")),"")</f>
        <v/>
      </c>
      <c r="J139" s="14" t="str">
        <f>IFERROR(IF(SUMIFS(tblDaily[Discharges],tblDaily[EntryDate],DATE(2026,4,12),tblDaily[WardCode],"FAE")=0,"",SUMIFS(tblDaily[Discharges],tblDaily[EntryDate],DATE(2026,4,12),tblDaily[WardCode],"FAE")),"")</f>
        <v/>
      </c>
      <c r="K139" s="14" t="str">
        <f>IFERROR(IF(SUMIFS(tblDaily[Deaths],tblDaily[EntryDate],DATE(2026,4,12),tblDaily[WardCode],"FAE")=0,"",SUMIFS(tblDaily[Deaths],tblDaily[EntryDate],DATE(2026,4,12),tblDaily[WardCode],"FAE")),"")</f>
        <v/>
      </c>
      <c r="L139" s="14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14" t="str">
        <f>IFERROR(IF(SUMIFS(tblDaily[TransfersIn],tblDaily[EntryDate],DATE(2026,4,12),tblDaily[WardCode],"FAE")=0,"",SUMIFS(tblDaily[TransfersIn],tblDaily[EntryDate],DATE(2026,4,12),tblDaily[WardCode],"FAE")),"")</f>
        <v/>
      </c>
      <c r="N139" s="14" t="str">
        <f>IFERROR(IF(SUMIFS(tblDaily[TransfersOut],tblDaily[EntryDate],DATE(2026,4,12),tblDaily[WardCode],"FAE")=0,"",SUMIFS(tblDaily[TransfersOut],tblDaily[EntryDate],DATE(2026,4,12),tblDaily[WardCode],"FAE")),"")</f>
        <v/>
      </c>
      <c r="O139" s="14" t="str">
        <f>IFERROR(IF(SUMIFS(tblDaily[Remaining],tblDaily[EntryDate],DATE(2026,4,12),tblDaily[WardCode],"FAE")=0,"",SUMIFS(tblDaily[Remaining],tblDaily[EntryDate],DATE(2026,4,12),tblDaily[WardCode],"FAE")),"")</f>
        <v/>
      </c>
      <c r="P139" s="15" t="str">
        <f t="shared" si="3"/>
        <v/>
      </c>
    </row>
    <row r="140" spans="1:16" x14ac:dyDescent="0.25">
      <c r="A140" s="14">
        <v>13</v>
      </c>
      <c r="B140" s="14" t="str">
        <f>IFERROR(IF(SUMIFS(tblDaily[Admissions],tblDaily[EntryDate],DATE(2026,4,13),tblDaily[WardCode],"MAE")=0,"",SUMIFS(tblDaily[Admissions],tblDaily[EntryDate],DATE(2026,4,13),tblDaily[WardCode],"MAE")),"")</f>
        <v/>
      </c>
      <c r="C140" s="14" t="str">
        <f>IFERROR(IF(SUMIFS(tblDaily[Discharges],tblDaily[EntryDate],DATE(2026,4,13),tblDaily[WardCode],"MAE")=0,"",SUMIFS(tblDaily[Discharges],tblDaily[EntryDate],DATE(2026,4,13),tblDaily[WardCode],"MAE")),"")</f>
        <v/>
      </c>
      <c r="D140" s="14" t="str">
        <f>IFERROR(IF(SUMIFS(tblDaily[Deaths],tblDaily[EntryDate],DATE(2026,4,13),tblDaily[WardCode],"MAE")=0,"",SUMIFS(tblDaily[Deaths],tblDaily[EntryDate],DATE(2026,4,13),tblDaily[WardCode],"MAE")),"")</f>
        <v/>
      </c>
      <c r="E140" s="14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14" t="str">
        <f>IFERROR(IF(SUMIFS(tblDaily[TransfersIn],tblDaily[EntryDate],DATE(2026,4,13),tblDaily[WardCode],"MAE")=0,"",SUMIFS(tblDaily[TransfersIn],tblDaily[EntryDate],DATE(2026,4,13),tblDaily[WardCode],"MAE")),"")</f>
        <v/>
      </c>
      <c r="G140" s="14" t="str">
        <f>IFERROR(IF(SUMIFS(tblDaily[TransfersOut],tblDaily[EntryDate],DATE(2026,4,13),tblDaily[WardCode],"MAE")=0,"",SUMIFS(tblDaily[TransfersOut],tblDaily[EntryDate],DATE(2026,4,13),tblDaily[WardCode],"MAE")),"")</f>
        <v/>
      </c>
      <c r="H140" s="14" t="str">
        <f>IFERROR(IF(SUMIFS(tblDaily[Remaining],tblDaily[EntryDate],DATE(2026,4,13),tblDaily[WardCode],"MAE")=0,"",SUMIFS(tblDaily[Remaining],tblDaily[EntryDate],DATE(2026,4,13),tblDaily[WardCode],"MAE")),"")</f>
        <v/>
      </c>
      <c r="I140" s="14" t="str">
        <f>IFERROR(IF(SUMIFS(tblDaily[Admissions],tblDaily[EntryDate],DATE(2026,4,13),tblDaily[WardCode],"FAE")=0,"",SUMIFS(tblDaily[Admissions],tblDaily[EntryDate],DATE(2026,4,13),tblDaily[WardCode],"FAE")),"")</f>
        <v/>
      </c>
      <c r="J140" s="14" t="str">
        <f>IFERROR(IF(SUMIFS(tblDaily[Discharges],tblDaily[EntryDate],DATE(2026,4,13),tblDaily[WardCode],"FAE")=0,"",SUMIFS(tblDaily[Discharges],tblDaily[EntryDate],DATE(2026,4,13),tblDaily[WardCode],"FAE")),"")</f>
        <v/>
      </c>
      <c r="K140" s="14" t="str">
        <f>IFERROR(IF(SUMIFS(tblDaily[Deaths],tblDaily[EntryDate],DATE(2026,4,13),tblDaily[WardCode],"FAE")=0,"",SUMIFS(tblDaily[Deaths],tblDaily[EntryDate],DATE(2026,4,13),tblDaily[WardCode],"FAE")),"")</f>
        <v/>
      </c>
      <c r="L140" s="14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14" t="str">
        <f>IFERROR(IF(SUMIFS(tblDaily[TransfersIn],tblDaily[EntryDate],DATE(2026,4,13),tblDaily[WardCode],"FAE")=0,"",SUMIFS(tblDaily[TransfersIn],tblDaily[EntryDate],DATE(2026,4,13),tblDaily[WardCode],"FAE")),"")</f>
        <v/>
      </c>
      <c r="N140" s="14" t="str">
        <f>IFERROR(IF(SUMIFS(tblDaily[TransfersOut],tblDaily[EntryDate],DATE(2026,4,13),tblDaily[WardCode],"FAE")=0,"",SUMIFS(tblDaily[TransfersOut],tblDaily[EntryDate],DATE(2026,4,13),tblDaily[WardCode],"FAE")),"")</f>
        <v/>
      </c>
      <c r="O140" s="14" t="str">
        <f>IFERROR(IF(SUMIFS(tblDaily[Remaining],tblDaily[EntryDate],DATE(2026,4,13),tblDaily[WardCode],"FAE")=0,"",SUMIFS(tblDaily[Remaining],tblDaily[EntryDate],DATE(2026,4,13),tblDaily[WardCode],"FAE")),"")</f>
        <v/>
      </c>
      <c r="P140" s="15" t="str">
        <f t="shared" si="3"/>
        <v/>
      </c>
    </row>
    <row r="141" spans="1:16" x14ac:dyDescent="0.25">
      <c r="A141" s="14">
        <v>14</v>
      </c>
      <c r="B141" s="14" t="str">
        <f>IFERROR(IF(SUMIFS(tblDaily[Admissions],tblDaily[EntryDate],DATE(2026,4,14),tblDaily[WardCode],"MAE")=0,"",SUMIFS(tblDaily[Admissions],tblDaily[EntryDate],DATE(2026,4,14),tblDaily[WardCode],"MAE")),"")</f>
        <v/>
      </c>
      <c r="C141" s="14" t="str">
        <f>IFERROR(IF(SUMIFS(tblDaily[Discharges],tblDaily[EntryDate],DATE(2026,4,14),tblDaily[WardCode],"MAE")=0,"",SUMIFS(tblDaily[Discharges],tblDaily[EntryDate],DATE(2026,4,14),tblDaily[WardCode],"MAE")),"")</f>
        <v/>
      </c>
      <c r="D141" s="14" t="str">
        <f>IFERROR(IF(SUMIFS(tblDaily[Deaths],tblDaily[EntryDate],DATE(2026,4,14),tblDaily[WardCode],"MAE")=0,"",SUMIFS(tblDaily[Deaths],tblDaily[EntryDate],DATE(2026,4,14),tblDaily[WardCode],"MAE")),"")</f>
        <v/>
      </c>
      <c r="E141" s="14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14" t="str">
        <f>IFERROR(IF(SUMIFS(tblDaily[TransfersIn],tblDaily[EntryDate],DATE(2026,4,14),tblDaily[WardCode],"MAE")=0,"",SUMIFS(tblDaily[TransfersIn],tblDaily[EntryDate],DATE(2026,4,14),tblDaily[WardCode],"MAE")),"")</f>
        <v/>
      </c>
      <c r="G141" s="14" t="str">
        <f>IFERROR(IF(SUMIFS(tblDaily[TransfersOut],tblDaily[EntryDate],DATE(2026,4,14),tblDaily[WardCode],"MAE")=0,"",SUMIFS(tblDaily[TransfersOut],tblDaily[EntryDate],DATE(2026,4,14),tblDaily[WardCode],"MAE")),"")</f>
        <v/>
      </c>
      <c r="H141" s="14" t="str">
        <f>IFERROR(IF(SUMIFS(tblDaily[Remaining],tblDaily[EntryDate],DATE(2026,4,14),tblDaily[WardCode],"MAE")=0,"",SUMIFS(tblDaily[Remaining],tblDaily[EntryDate],DATE(2026,4,14),tblDaily[WardCode],"MAE")),"")</f>
        <v/>
      </c>
      <c r="I141" s="14" t="str">
        <f>IFERROR(IF(SUMIFS(tblDaily[Admissions],tblDaily[EntryDate],DATE(2026,4,14),tblDaily[WardCode],"FAE")=0,"",SUMIFS(tblDaily[Admissions],tblDaily[EntryDate],DATE(2026,4,14),tblDaily[WardCode],"FAE")),"")</f>
        <v/>
      </c>
      <c r="J141" s="14" t="str">
        <f>IFERROR(IF(SUMIFS(tblDaily[Discharges],tblDaily[EntryDate],DATE(2026,4,14),tblDaily[WardCode],"FAE")=0,"",SUMIFS(tblDaily[Discharges],tblDaily[EntryDate],DATE(2026,4,14),tblDaily[WardCode],"FAE")),"")</f>
        <v/>
      </c>
      <c r="K141" s="14" t="str">
        <f>IFERROR(IF(SUMIFS(tblDaily[Deaths],tblDaily[EntryDate],DATE(2026,4,14),tblDaily[WardCode],"FAE")=0,"",SUMIFS(tblDaily[Deaths],tblDaily[EntryDate],DATE(2026,4,14),tblDaily[WardCode],"FAE")),"")</f>
        <v/>
      </c>
      <c r="L141" s="14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14" t="str">
        <f>IFERROR(IF(SUMIFS(tblDaily[TransfersIn],tblDaily[EntryDate],DATE(2026,4,14),tblDaily[WardCode],"FAE")=0,"",SUMIFS(tblDaily[TransfersIn],tblDaily[EntryDate],DATE(2026,4,14),tblDaily[WardCode],"FAE")),"")</f>
        <v/>
      </c>
      <c r="N141" s="14" t="str">
        <f>IFERROR(IF(SUMIFS(tblDaily[TransfersOut],tblDaily[EntryDate],DATE(2026,4,14),tblDaily[WardCode],"FAE")=0,"",SUMIFS(tblDaily[TransfersOut],tblDaily[EntryDate],DATE(2026,4,14),tblDaily[WardCode],"FAE")),"")</f>
        <v/>
      </c>
      <c r="O141" s="14" t="str">
        <f>IFERROR(IF(SUMIFS(tblDaily[Remaining],tblDaily[EntryDate],DATE(2026,4,14),tblDaily[WardCode],"FAE")=0,"",SUMIFS(tblDaily[Remaining],tblDaily[EntryDate],DATE(2026,4,14),tblDaily[WardCode],"FAE")),"")</f>
        <v/>
      </c>
      <c r="P141" s="15" t="str">
        <f t="shared" si="3"/>
        <v/>
      </c>
    </row>
    <row r="142" spans="1:16" x14ac:dyDescent="0.25">
      <c r="A142" s="14">
        <v>15</v>
      </c>
      <c r="B142" s="14" t="str">
        <f>IFERROR(IF(SUMIFS(tblDaily[Admissions],tblDaily[EntryDate],DATE(2026,4,15),tblDaily[WardCode],"MAE")=0,"",SUMIFS(tblDaily[Admissions],tblDaily[EntryDate],DATE(2026,4,15),tblDaily[WardCode],"MAE")),"")</f>
        <v/>
      </c>
      <c r="C142" s="14" t="str">
        <f>IFERROR(IF(SUMIFS(tblDaily[Discharges],tblDaily[EntryDate],DATE(2026,4,15),tblDaily[WardCode],"MAE")=0,"",SUMIFS(tblDaily[Discharges],tblDaily[EntryDate],DATE(2026,4,15),tblDaily[WardCode],"MAE")),"")</f>
        <v/>
      </c>
      <c r="D142" s="14" t="str">
        <f>IFERROR(IF(SUMIFS(tblDaily[Deaths],tblDaily[EntryDate],DATE(2026,4,15),tblDaily[WardCode],"MAE")=0,"",SUMIFS(tblDaily[Deaths],tblDaily[EntryDate],DATE(2026,4,15),tblDaily[WardCode],"MAE")),"")</f>
        <v/>
      </c>
      <c r="E142" s="14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14" t="str">
        <f>IFERROR(IF(SUMIFS(tblDaily[TransfersIn],tblDaily[EntryDate],DATE(2026,4,15),tblDaily[WardCode],"MAE")=0,"",SUMIFS(tblDaily[TransfersIn],tblDaily[EntryDate],DATE(2026,4,15),tblDaily[WardCode],"MAE")),"")</f>
        <v/>
      </c>
      <c r="G142" s="14" t="str">
        <f>IFERROR(IF(SUMIFS(tblDaily[TransfersOut],tblDaily[EntryDate],DATE(2026,4,15),tblDaily[WardCode],"MAE")=0,"",SUMIFS(tblDaily[TransfersOut],tblDaily[EntryDate],DATE(2026,4,15),tblDaily[WardCode],"MAE")),"")</f>
        <v/>
      </c>
      <c r="H142" s="14" t="str">
        <f>IFERROR(IF(SUMIFS(tblDaily[Remaining],tblDaily[EntryDate],DATE(2026,4,15),tblDaily[WardCode],"MAE")=0,"",SUMIFS(tblDaily[Remaining],tblDaily[EntryDate],DATE(2026,4,15),tblDaily[WardCode],"MAE")),"")</f>
        <v/>
      </c>
      <c r="I142" s="14" t="str">
        <f>IFERROR(IF(SUMIFS(tblDaily[Admissions],tblDaily[EntryDate],DATE(2026,4,15),tblDaily[WardCode],"FAE")=0,"",SUMIFS(tblDaily[Admissions],tblDaily[EntryDate],DATE(2026,4,15),tblDaily[WardCode],"FAE")),"")</f>
        <v/>
      </c>
      <c r="J142" s="14" t="str">
        <f>IFERROR(IF(SUMIFS(tblDaily[Discharges],tblDaily[EntryDate],DATE(2026,4,15),tblDaily[WardCode],"FAE")=0,"",SUMIFS(tblDaily[Discharges],tblDaily[EntryDate],DATE(2026,4,15),tblDaily[WardCode],"FAE")),"")</f>
        <v/>
      </c>
      <c r="K142" s="14" t="str">
        <f>IFERROR(IF(SUMIFS(tblDaily[Deaths],tblDaily[EntryDate],DATE(2026,4,15),tblDaily[WardCode],"FAE")=0,"",SUMIFS(tblDaily[Deaths],tblDaily[EntryDate],DATE(2026,4,15),tblDaily[WardCode],"FAE")),"")</f>
        <v/>
      </c>
      <c r="L142" s="14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14" t="str">
        <f>IFERROR(IF(SUMIFS(tblDaily[TransfersIn],tblDaily[EntryDate],DATE(2026,4,15),tblDaily[WardCode],"FAE")=0,"",SUMIFS(tblDaily[TransfersIn],tblDaily[EntryDate],DATE(2026,4,15),tblDaily[WardCode],"FAE")),"")</f>
        <v/>
      </c>
      <c r="N142" s="14" t="str">
        <f>IFERROR(IF(SUMIFS(tblDaily[TransfersOut],tblDaily[EntryDate],DATE(2026,4,15),tblDaily[WardCode],"FAE")=0,"",SUMIFS(tblDaily[TransfersOut],tblDaily[EntryDate],DATE(2026,4,15),tblDaily[WardCode],"FAE")),"")</f>
        <v/>
      </c>
      <c r="O142" s="14" t="str">
        <f>IFERROR(IF(SUMIFS(tblDaily[Remaining],tblDaily[EntryDate],DATE(2026,4,15),tblDaily[WardCode],"FAE")=0,"",SUMIFS(tblDaily[Remaining],tblDaily[EntryDate],DATE(2026,4,15),tblDaily[WardCode],"FAE")),"")</f>
        <v/>
      </c>
      <c r="P142" s="15" t="str">
        <f t="shared" si="3"/>
        <v/>
      </c>
    </row>
    <row r="143" spans="1:16" x14ac:dyDescent="0.25">
      <c r="A143" s="14">
        <v>16</v>
      </c>
      <c r="B143" s="14" t="str">
        <f>IFERROR(IF(SUMIFS(tblDaily[Admissions],tblDaily[EntryDate],DATE(2026,4,16),tblDaily[WardCode],"MAE")=0,"",SUMIFS(tblDaily[Admissions],tblDaily[EntryDate],DATE(2026,4,16),tblDaily[WardCode],"MAE")),"")</f>
        <v/>
      </c>
      <c r="C143" s="14" t="str">
        <f>IFERROR(IF(SUMIFS(tblDaily[Discharges],tblDaily[EntryDate],DATE(2026,4,16),tblDaily[WardCode],"MAE")=0,"",SUMIFS(tblDaily[Discharges],tblDaily[EntryDate],DATE(2026,4,16),tblDaily[WardCode],"MAE")),"")</f>
        <v/>
      </c>
      <c r="D143" s="14" t="str">
        <f>IFERROR(IF(SUMIFS(tblDaily[Deaths],tblDaily[EntryDate],DATE(2026,4,16),tblDaily[WardCode],"MAE")=0,"",SUMIFS(tblDaily[Deaths],tblDaily[EntryDate],DATE(2026,4,16),tblDaily[WardCode],"MAE")),"")</f>
        <v/>
      </c>
      <c r="E143" s="14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14" t="str">
        <f>IFERROR(IF(SUMIFS(tblDaily[TransfersIn],tblDaily[EntryDate],DATE(2026,4,16),tblDaily[WardCode],"MAE")=0,"",SUMIFS(tblDaily[TransfersIn],tblDaily[EntryDate],DATE(2026,4,16),tblDaily[WardCode],"MAE")),"")</f>
        <v/>
      </c>
      <c r="G143" s="14" t="str">
        <f>IFERROR(IF(SUMIFS(tblDaily[TransfersOut],tblDaily[EntryDate],DATE(2026,4,16),tblDaily[WardCode],"MAE")=0,"",SUMIFS(tblDaily[TransfersOut],tblDaily[EntryDate],DATE(2026,4,16),tblDaily[WardCode],"MAE")),"")</f>
        <v/>
      </c>
      <c r="H143" s="14" t="str">
        <f>IFERROR(IF(SUMIFS(tblDaily[Remaining],tblDaily[EntryDate],DATE(2026,4,16),tblDaily[WardCode],"MAE")=0,"",SUMIFS(tblDaily[Remaining],tblDaily[EntryDate],DATE(2026,4,16),tblDaily[WardCode],"MAE")),"")</f>
        <v/>
      </c>
      <c r="I143" s="14" t="str">
        <f>IFERROR(IF(SUMIFS(tblDaily[Admissions],tblDaily[EntryDate],DATE(2026,4,16),tblDaily[WardCode],"FAE")=0,"",SUMIFS(tblDaily[Admissions],tblDaily[EntryDate],DATE(2026,4,16),tblDaily[WardCode],"FAE")),"")</f>
        <v/>
      </c>
      <c r="J143" s="14" t="str">
        <f>IFERROR(IF(SUMIFS(tblDaily[Discharges],tblDaily[EntryDate],DATE(2026,4,16),tblDaily[WardCode],"FAE")=0,"",SUMIFS(tblDaily[Discharges],tblDaily[EntryDate],DATE(2026,4,16),tblDaily[WardCode],"FAE")),"")</f>
        <v/>
      </c>
      <c r="K143" s="14" t="str">
        <f>IFERROR(IF(SUMIFS(tblDaily[Deaths],tblDaily[EntryDate],DATE(2026,4,16),tblDaily[WardCode],"FAE")=0,"",SUMIFS(tblDaily[Deaths],tblDaily[EntryDate],DATE(2026,4,16),tblDaily[WardCode],"FAE")),"")</f>
        <v/>
      </c>
      <c r="L143" s="14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14" t="str">
        <f>IFERROR(IF(SUMIFS(tblDaily[TransfersIn],tblDaily[EntryDate],DATE(2026,4,16),tblDaily[WardCode],"FAE")=0,"",SUMIFS(tblDaily[TransfersIn],tblDaily[EntryDate],DATE(2026,4,16),tblDaily[WardCode],"FAE")),"")</f>
        <v/>
      </c>
      <c r="N143" s="14" t="str">
        <f>IFERROR(IF(SUMIFS(tblDaily[TransfersOut],tblDaily[EntryDate],DATE(2026,4,16),tblDaily[WardCode],"FAE")=0,"",SUMIFS(tblDaily[TransfersOut],tblDaily[EntryDate],DATE(2026,4,16),tblDaily[WardCode],"FAE")),"")</f>
        <v/>
      </c>
      <c r="O143" s="14" t="str">
        <f>IFERROR(IF(SUMIFS(tblDaily[Remaining],tblDaily[EntryDate],DATE(2026,4,16),tblDaily[WardCode],"FAE")=0,"",SUMIFS(tblDaily[Remaining],tblDaily[EntryDate],DATE(2026,4,16),tblDaily[WardCode],"FAE")),"")</f>
        <v/>
      </c>
      <c r="P143" s="15" t="str">
        <f t="shared" si="3"/>
        <v/>
      </c>
    </row>
    <row r="144" spans="1:16" x14ac:dyDescent="0.25">
      <c r="A144" s="14">
        <v>17</v>
      </c>
      <c r="B144" s="14" t="str">
        <f>IFERROR(IF(SUMIFS(tblDaily[Admissions],tblDaily[EntryDate],DATE(2026,4,17),tblDaily[WardCode],"MAE")=0,"",SUMIFS(tblDaily[Admissions],tblDaily[EntryDate],DATE(2026,4,17),tblDaily[WardCode],"MAE")),"")</f>
        <v/>
      </c>
      <c r="C144" s="14" t="str">
        <f>IFERROR(IF(SUMIFS(tblDaily[Discharges],tblDaily[EntryDate],DATE(2026,4,17),tblDaily[WardCode],"MAE")=0,"",SUMIFS(tblDaily[Discharges],tblDaily[EntryDate],DATE(2026,4,17),tblDaily[WardCode],"MAE")),"")</f>
        <v/>
      </c>
      <c r="D144" s="14" t="str">
        <f>IFERROR(IF(SUMIFS(tblDaily[Deaths],tblDaily[EntryDate],DATE(2026,4,17),tblDaily[WardCode],"MAE")=0,"",SUMIFS(tblDaily[Deaths],tblDaily[EntryDate],DATE(2026,4,17),tblDaily[WardCode],"MAE")),"")</f>
        <v/>
      </c>
      <c r="E144" s="14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14" t="str">
        <f>IFERROR(IF(SUMIFS(tblDaily[TransfersIn],tblDaily[EntryDate],DATE(2026,4,17),tblDaily[WardCode],"MAE")=0,"",SUMIFS(tblDaily[TransfersIn],tblDaily[EntryDate],DATE(2026,4,17),tblDaily[WardCode],"MAE")),"")</f>
        <v/>
      </c>
      <c r="G144" s="14" t="str">
        <f>IFERROR(IF(SUMIFS(tblDaily[TransfersOut],tblDaily[EntryDate],DATE(2026,4,17),tblDaily[WardCode],"MAE")=0,"",SUMIFS(tblDaily[TransfersOut],tblDaily[EntryDate],DATE(2026,4,17),tblDaily[WardCode],"MAE")),"")</f>
        <v/>
      </c>
      <c r="H144" s="14" t="str">
        <f>IFERROR(IF(SUMIFS(tblDaily[Remaining],tblDaily[EntryDate],DATE(2026,4,17),tblDaily[WardCode],"MAE")=0,"",SUMIFS(tblDaily[Remaining],tblDaily[EntryDate],DATE(2026,4,17),tblDaily[WardCode],"MAE")),"")</f>
        <v/>
      </c>
      <c r="I144" s="14" t="str">
        <f>IFERROR(IF(SUMIFS(tblDaily[Admissions],tblDaily[EntryDate],DATE(2026,4,17),tblDaily[WardCode],"FAE")=0,"",SUMIFS(tblDaily[Admissions],tblDaily[EntryDate],DATE(2026,4,17),tblDaily[WardCode],"FAE")),"")</f>
        <v/>
      </c>
      <c r="J144" s="14" t="str">
        <f>IFERROR(IF(SUMIFS(tblDaily[Discharges],tblDaily[EntryDate],DATE(2026,4,17),tblDaily[WardCode],"FAE")=0,"",SUMIFS(tblDaily[Discharges],tblDaily[EntryDate],DATE(2026,4,17),tblDaily[WardCode],"FAE")),"")</f>
        <v/>
      </c>
      <c r="K144" s="14" t="str">
        <f>IFERROR(IF(SUMIFS(tblDaily[Deaths],tblDaily[EntryDate],DATE(2026,4,17),tblDaily[WardCode],"FAE")=0,"",SUMIFS(tblDaily[Deaths],tblDaily[EntryDate],DATE(2026,4,17),tblDaily[WardCode],"FAE")),"")</f>
        <v/>
      </c>
      <c r="L144" s="14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14" t="str">
        <f>IFERROR(IF(SUMIFS(tblDaily[TransfersIn],tblDaily[EntryDate],DATE(2026,4,17),tblDaily[WardCode],"FAE")=0,"",SUMIFS(tblDaily[TransfersIn],tblDaily[EntryDate],DATE(2026,4,17),tblDaily[WardCode],"FAE")),"")</f>
        <v/>
      </c>
      <c r="N144" s="14" t="str">
        <f>IFERROR(IF(SUMIFS(tblDaily[TransfersOut],tblDaily[EntryDate],DATE(2026,4,17),tblDaily[WardCode],"FAE")=0,"",SUMIFS(tblDaily[TransfersOut],tblDaily[EntryDate],DATE(2026,4,17),tblDaily[WardCode],"FAE")),"")</f>
        <v/>
      </c>
      <c r="O144" s="14" t="str">
        <f>IFERROR(IF(SUMIFS(tblDaily[Remaining],tblDaily[EntryDate],DATE(2026,4,17),tblDaily[WardCode],"FAE")=0,"",SUMIFS(tblDaily[Remaining],tblDaily[EntryDate],DATE(2026,4,17),tblDaily[WardCode],"FAE")),"")</f>
        <v/>
      </c>
      <c r="P144" s="15" t="str">
        <f t="shared" si="3"/>
        <v/>
      </c>
    </row>
    <row r="145" spans="1:16" x14ac:dyDescent="0.25">
      <c r="A145" s="14">
        <v>18</v>
      </c>
      <c r="B145" s="14" t="str">
        <f>IFERROR(IF(SUMIFS(tblDaily[Admissions],tblDaily[EntryDate],DATE(2026,4,18),tblDaily[WardCode],"MAE")=0,"",SUMIFS(tblDaily[Admissions],tblDaily[EntryDate],DATE(2026,4,18),tblDaily[WardCode],"MAE")),"")</f>
        <v/>
      </c>
      <c r="C145" s="14" t="str">
        <f>IFERROR(IF(SUMIFS(tblDaily[Discharges],tblDaily[EntryDate],DATE(2026,4,18),tblDaily[WardCode],"MAE")=0,"",SUMIFS(tblDaily[Discharges],tblDaily[EntryDate],DATE(2026,4,18),tblDaily[WardCode],"MAE")),"")</f>
        <v/>
      </c>
      <c r="D145" s="14" t="str">
        <f>IFERROR(IF(SUMIFS(tblDaily[Deaths],tblDaily[EntryDate],DATE(2026,4,18),tblDaily[WardCode],"MAE")=0,"",SUMIFS(tblDaily[Deaths],tblDaily[EntryDate],DATE(2026,4,18),tblDaily[WardCode],"MAE")),"")</f>
        <v/>
      </c>
      <c r="E145" s="14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14" t="str">
        <f>IFERROR(IF(SUMIFS(tblDaily[TransfersIn],tblDaily[EntryDate],DATE(2026,4,18),tblDaily[WardCode],"MAE")=0,"",SUMIFS(tblDaily[TransfersIn],tblDaily[EntryDate],DATE(2026,4,18),tblDaily[WardCode],"MAE")),"")</f>
        <v/>
      </c>
      <c r="G145" s="14" t="str">
        <f>IFERROR(IF(SUMIFS(tblDaily[TransfersOut],tblDaily[EntryDate],DATE(2026,4,18),tblDaily[WardCode],"MAE")=0,"",SUMIFS(tblDaily[TransfersOut],tblDaily[EntryDate],DATE(2026,4,18),tblDaily[WardCode],"MAE")),"")</f>
        <v/>
      </c>
      <c r="H145" s="14" t="str">
        <f>IFERROR(IF(SUMIFS(tblDaily[Remaining],tblDaily[EntryDate],DATE(2026,4,18),tblDaily[WardCode],"MAE")=0,"",SUMIFS(tblDaily[Remaining],tblDaily[EntryDate],DATE(2026,4,18),tblDaily[WardCode],"MAE")),"")</f>
        <v/>
      </c>
      <c r="I145" s="14" t="str">
        <f>IFERROR(IF(SUMIFS(tblDaily[Admissions],tblDaily[EntryDate],DATE(2026,4,18),tblDaily[WardCode],"FAE")=0,"",SUMIFS(tblDaily[Admissions],tblDaily[EntryDate],DATE(2026,4,18),tblDaily[WardCode],"FAE")),"")</f>
        <v/>
      </c>
      <c r="J145" s="14" t="str">
        <f>IFERROR(IF(SUMIFS(tblDaily[Discharges],tblDaily[EntryDate],DATE(2026,4,18),tblDaily[WardCode],"FAE")=0,"",SUMIFS(tblDaily[Discharges],tblDaily[EntryDate],DATE(2026,4,18),tblDaily[WardCode],"FAE")),"")</f>
        <v/>
      </c>
      <c r="K145" s="14" t="str">
        <f>IFERROR(IF(SUMIFS(tblDaily[Deaths],tblDaily[EntryDate],DATE(2026,4,18),tblDaily[WardCode],"FAE")=0,"",SUMIFS(tblDaily[Deaths],tblDaily[EntryDate],DATE(2026,4,18),tblDaily[WardCode],"FAE")),"")</f>
        <v/>
      </c>
      <c r="L145" s="14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14" t="str">
        <f>IFERROR(IF(SUMIFS(tblDaily[TransfersIn],tblDaily[EntryDate],DATE(2026,4,18),tblDaily[WardCode],"FAE")=0,"",SUMIFS(tblDaily[TransfersIn],tblDaily[EntryDate],DATE(2026,4,18),tblDaily[WardCode],"FAE")),"")</f>
        <v/>
      </c>
      <c r="N145" s="14" t="str">
        <f>IFERROR(IF(SUMIFS(tblDaily[TransfersOut],tblDaily[EntryDate],DATE(2026,4,18),tblDaily[WardCode],"FAE")=0,"",SUMIFS(tblDaily[TransfersOut],tblDaily[EntryDate],DATE(2026,4,18),tblDaily[WardCode],"FAE")),"")</f>
        <v/>
      </c>
      <c r="O145" s="14" t="str">
        <f>IFERROR(IF(SUMIFS(tblDaily[Remaining],tblDaily[EntryDate],DATE(2026,4,18),tblDaily[WardCode],"FAE")=0,"",SUMIFS(tblDaily[Remaining],tblDaily[EntryDate],DATE(2026,4,18),tblDaily[WardCode],"FAE")),"")</f>
        <v/>
      </c>
      <c r="P145" s="15" t="str">
        <f t="shared" si="3"/>
        <v/>
      </c>
    </row>
    <row r="146" spans="1:16" x14ac:dyDescent="0.25">
      <c r="A146" s="14">
        <v>19</v>
      </c>
      <c r="B146" s="14" t="str">
        <f>IFERROR(IF(SUMIFS(tblDaily[Admissions],tblDaily[EntryDate],DATE(2026,4,19),tblDaily[WardCode],"MAE")=0,"",SUMIFS(tblDaily[Admissions],tblDaily[EntryDate],DATE(2026,4,19),tblDaily[WardCode],"MAE")),"")</f>
        <v/>
      </c>
      <c r="C146" s="14" t="str">
        <f>IFERROR(IF(SUMIFS(tblDaily[Discharges],tblDaily[EntryDate],DATE(2026,4,19),tblDaily[WardCode],"MAE")=0,"",SUMIFS(tblDaily[Discharges],tblDaily[EntryDate],DATE(2026,4,19),tblDaily[WardCode],"MAE")),"")</f>
        <v/>
      </c>
      <c r="D146" s="14" t="str">
        <f>IFERROR(IF(SUMIFS(tblDaily[Deaths],tblDaily[EntryDate],DATE(2026,4,19),tblDaily[WardCode],"MAE")=0,"",SUMIFS(tblDaily[Deaths],tblDaily[EntryDate],DATE(2026,4,19),tblDaily[WardCode],"MAE")),"")</f>
        <v/>
      </c>
      <c r="E146" s="14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14" t="str">
        <f>IFERROR(IF(SUMIFS(tblDaily[TransfersIn],tblDaily[EntryDate],DATE(2026,4,19),tblDaily[WardCode],"MAE")=0,"",SUMIFS(tblDaily[TransfersIn],tblDaily[EntryDate],DATE(2026,4,19),tblDaily[WardCode],"MAE")),"")</f>
        <v/>
      </c>
      <c r="G146" s="14" t="str">
        <f>IFERROR(IF(SUMIFS(tblDaily[TransfersOut],tblDaily[EntryDate],DATE(2026,4,19),tblDaily[WardCode],"MAE")=0,"",SUMIFS(tblDaily[TransfersOut],tblDaily[EntryDate],DATE(2026,4,19),tblDaily[WardCode],"MAE")),"")</f>
        <v/>
      </c>
      <c r="H146" s="14" t="str">
        <f>IFERROR(IF(SUMIFS(tblDaily[Remaining],tblDaily[EntryDate],DATE(2026,4,19),tblDaily[WardCode],"MAE")=0,"",SUMIFS(tblDaily[Remaining],tblDaily[EntryDate],DATE(2026,4,19),tblDaily[WardCode],"MAE")),"")</f>
        <v/>
      </c>
      <c r="I146" s="14" t="str">
        <f>IFERROR(IF(SUMIFS(tblDaily[Admissions],tblDaily[EntryDate],DATE(2026,4,19),tblDaily[WardCode],"FAE")=0,"",SUMIFS(tblDaily[Admissions],tblDaily[EntryDate],DATE(2026,4,19),tblDaily[WardCode],"FAE")),"")</f>
        <v/>
      </c>
      <c r="J146" s="14" t="str">
        <f>IFERROR(IF(SUMIFS(tblDaily[Discharges],tblDaily[EntryDate],DATE(2026,4,19),tblDaily[WardCode],"FAE")=0,"",SUMIFS(tblDaily[Discharges],tblDaily[EntryDate],DATE(2026,4,19),tblDaily[WardCode],"FAE")),"")</f>
        <v/>
      </c>
      <c r="K146" s="14" t="str">
        <f>IFERROR(IF(SUMIFS(tblDaily[Deaths],tblDaily[EntryDate],DATE(2026,4,19),tblDaily[WardCode],"FAE")=0,"",SUMIFS(tblDaily[Deaths],tblDaily[EntryDate],DATE(2026,4,19),tblDaily[WardCode],"FAE")),"")</f>
        <v/>
      </c>
      <c r="L146" s="14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14" t="str">
        <f>IFERROR(IF(SUMIFS(tblDaily[TransfersIn],tblDaily[EntryDate],DATE(2026,4,19),tblDaily[WardCode],"FAE")=0,"",SUMIFS(tblDaily[TransfersIn],tblDaily[EntryDate],DATE(2026,4,19),tblDaily[WardCode],"FAE")),"")</f>
        <v/>
      </c>
      <c r="N146" s="14" t="str">
        <f>IFERROR(IF(SUMIFS(tblDaily[TransfersOut],tblDaily[EntryDate],DATE(2026,4,19),tblDaily[WardCode],"FAE")=0,"",SUMIFS(tblDaily[TransfersOut],tblDaily[EntryDate],DATE(2026,4,19),tblDaily[WardCode],"FAE")),"")</f>
        <v/>
      </c>
      <c r="O146" s="14" t="str">
        <f>IFERROR(IF(SUMIFS(tblDaily[Remaining],tblDaily[EntryDate],DATE(2026,4,19),tblDaily[WardCode],"FAE")=0,"",SUMIFS(tblDaily[Remaining],tblDaily[EntryDate],DATE(2026,4,19),tblDaily[WardCode],"FAE")),"")</f>
        <v/>
      </c>
      <c r="P146" s="15" t="str">
        <f t="shared" si="3"/>
        <v/>
      </c>
    </row>
    <row r="147" spans="1:16" x14ac:dyDescent="0.25">
      <c r="A147" s="14">
        <v>20</v>
      </c>
      <c r="B147" s="14" t="str">
        <f>IFERROR(IF(SUMIFS(tblDaily[Admissions],tblDaily[EntryDate],DATE(2026,4,20),tblDaily[WardCode],"MAE")=0,"",SUMIFS(tblDaily[Admissions],tblDaily[EntryDate],DATE(2026,4,20),tblDaily[WardCode],"MAE")),"")</f>
        <v/>
      </c>
      <c r="C147" s="14" t="str">
        <f>IFERROR(IF(SUMIFS(tblDaily[Discharges],tblDaily[EntryDate],DATE(2026,4,20),tblDaily[WardCode],"MAE")=0,"",SUMIFS(tblDaily[Discharges],tblDaily[EntryDate],DATE(2026,4,20),tblDaily[WardCode],"MAE")),"")</f>
        <v/>
      </c>
      <c r="D147" s="14" t="str">
        <f>IFERROR(IF(SUMIFS(tblDaily[Deaths],tblDaily[EntryDate],DATE(2026,4,20),tblDaily[WardCode],"MAE")=0,"",SUMIFS(tblDaily[Deaths],tblDaily[EntryDate],DATE(2026,4,20),tblDaily[WardCode],"MAE")),"")</f>
        <v/>
      </c>
      <c r="E147" s="14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14" t="str">
        <f>IFERROR(IF(SUMIFS(tblDaily[TransfersIn],tblDaily[EntryDate],DATE(2026,4,20),tblDaily[WardCode],"MAE")=0,"",SUMIFS(tblDaily[TransfersIn],tblDaily[EntryDate],DATE(2026,4,20),tblDaily[WardCode],"MAE")),"")</f>
        <v/>
      </c>
      <c r="G147" s="14" t="str">
        <f>IFERROR(IF(SUMIFS(tblDaily[TransfersOut],tblDaily[EntryDate],DATE(2026,4,20),tblDaily[WardCode],"MAE")=0,"",SUMIFS(tblDaily[TransfersOut],tblDaily[EntryDate],DATE(2026,4,20),tblDaily[WardCode],"MAE")),"")</f>
        <v/>
      </c>
      <c r="H147" s="14" t="str">
        <f>IFERROR(IF(SUMIFS(tblDaily[Remaining],tblDaily[EntryDate],DATE(2026,4,20),tblDaily[WardCode],"MAE")=0,"",SUMIFS(tblDaily[Remaining],tblDaily[EntryDate],DATE(2026,4,20),tblDaily[WardCode],"MAE")),"")</f>
        <v/>
      </c>
      <c r="I147" s="14" t="str">
        <f>IFERROR(IF(SUMIFS(tblDaily[Admissions],tblDaily[EntryDate],DATE(2026,4,20),tblDaily[WardCode],"FAE")=0,"",SUMIFS(tblDaily[Admissions],tblDaily[EntryDate],DATE(2026,4,20),tblDaily[WardCode],"FAE")),"")</f>
        <v/>
      </c>
      <c r="J147" s="14" t="str">
        <f>IFERROR(IF(SUMIFS(tblDaily[Discharges],tblDaily[EntryDate],DATE(2026,4,20),tblDaily[WardCode],"FAE")=0,"",SUMIFS(tblDaily[Discharges],tblDaily[EntryDate],DATE(2026,4,20),tblDaily[WardCode],"FAE")),"")</f>
        <v/>
      </c>
      <c r="K147" s="14" t="str">
        <f>IFERROR(IF(SUMIFS(tblDaily[Deaths],tblDaily[EntryDate],DATE(2026,4,20),tblDaily[WardCode],"FAE")=0,"",SUMIFS(tblDaily[Deaths],tblDaily[EntryDate],DATE(2026,4,20),tblDaily[WardCode],"FAE")),"")</f>
        <v/>
      </c>
      <c r="L147" s="14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14" t="str">
        <f>IFERROR(IF(SUMIFS(tblDaily[TransfersIn],tblDaily[EntryDate],DATE(2026,4,20),tblDaily[WardCode],"FAE")=0,"",SUMIFS(tblDaily[TransfersIn],tblDaily[EntryDate],DATE(2026,4,20),tblDaily[WardCode],"FAE")),"")</f>
        <v/>
      </c>
      <c r="N147" s="14" t="str">
        <f>IFERROR(IF(SUMIFS(tblDaily[TransfersOut],tblDaily[EntryDate],DATE(2026,4,20),tblDaily[WardCode],"FAE")=0,"",SUMIFS(tblDaily[TransfersOut],tblDaily[EntryDate],DATE(2026,4,20),tblDaily[WardCode],"FAE")),"")</f>
        <v/>
      </c>
      <c r="O147" s="14" t="str">
        <f>IFERROR(IF(SUMIFS(tblDaily[Remaining],tblDaily[EntryDate],DATE(2026,4,20),tblDaily[WardCode],"FAE")=0,"",SUMIFS(tblDaily[Remaining],tblDaily[EntryDate],DATE(2026,4,20),tblDaily[WardCode],"FAE")),"")</f>
        <v/>
      </c>
      <c r="P147" s="15" t="str">
        <f t="shared" si="3"/>
        <v/>
      </c>
    </row>
    <row r="148" spans="1:16" x14ac:dyDescent="0.25">
      <c r="A148" s="14">
        <v>21</v>
      </c>
      <c r="B148" s="14" t="str">
        <f>IFERROR(IF(SUMIFS(tblDaily[Admissions],tblDaily[EntryDate],DATE(2026,4,21),tblDaily[WardCode],"MAE")=0,"",SUMIFS(tblDaily[Admissions],tblDaily[EntryDate],DATE(2026,4,21),tblDaily[WardCode],"MAE")),"")</f>
        <v/>
      </c>
      <c r="C148" s="14" t="str">
        <f>IFERROR(IF(SUMIFS(tblDaily[Discharges],tblDaily[EntryDate],DATE(2026,4,21),tblDaily[WardCode],"MAE")=0,"",SUMIFS(tblDaily[Discharges],tblDaily[EntryDate],DATE(2026,4,21),tblDaily[WardCode],"MAE")),"")</f>
        <v/>
      </c>
      <c r="D148" s="14" t="str">
        <f>IFERROR(IF(SUMIFS(tblDaily[Deaths],tblDaily[EntryDate],DATE(2026,4,21),tblDaily[WardCode],"MAE")=0,"",SUMIFS(tblDaily[Deaths],tblDaily[EntryDate],DATE(2026,4,21),tblDaily[WardCode],"MAE")),"")</f>
        <v/>
      </c>
      <c r="E148" s="14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14" t="str">
        <f>IFERROR(IF(SUMIFS(tblDaily[TransfersIn],tblDaily[EntryDate],DATE(2026,4,21),tblDaily[WardCode],"MAE")=0,"",SUMIFS(tblDaily[TransfersIn],tblDaily[EntryDate],DATE(2026,4,21),tblDaily[WardCode],"MAE")),"")</f>
        <v/>
      </c>
      <c r="G148" s="14" t="str">
        <f>IFERROR(IF(SUMIFS(tblDaily[TransfersOut],tblDaily[EntryDate],DATE(2026,4,21),tblDaily[WardCode],"MAE")=0,"",SUMIFS(tblDaily[TransfersOut],tblDaily[EntryDate],DATE(2026,4,21),tblDaily[WardCode],"MAE")),"")</f>
        <v/>
      </c>
      <c r="H148" s="14" t="str">
        <f>IFERROR(IF(SUMIFS(tblDaily[Remaining],tblDaily[EntryDate],DATE(2026,4,21),tblDaily[WardCode],"MAE")=0,"",SUMIFS(tblDaily[Remaining],tblDaily[EntryDate],DATE(2026,4,21),tblDaily[WardCode],"MAE")),"")</f>
        <v/>
      </c>
      <c r="I148" s="14" t="str">
        <f>IFERROR(IF(SUMIFS(tblDaily[Admissions],tblDaily[EntryDate],DATE(2026,4,21),tblDaily[WardCode],"FAE")=0,"",SUMIFS(tblDaily[Admissions],tblDaily[EntryDate],DATE(2026,4,21),tblDaily[WardCode],"FAE")),"")</f>
        <v/>
      </c>
      <c r="J148" s="14" t="str">
        <f>IFERROR(IF(SUMIFS(tblDaily[Discharges],tblDaily[EntryDate],DATE(2026,4,21),tblDaily[WardCode],"FAE")=0,"",SUMIFS(tblDaily[Discharges],tblDaily[EntryDate],DATE(2026,4,21),tblDaily[WardCode],"FAE")),"")</f>
        <v/>
      </c>
      <c r="K148" s="14" t="str">
        <f>IFERROR(IF(SUMIFS(tblDaily[Deaths],tblDaily[EntryDate],DATE(2026,4,21),tblDaily[WardCode],"FAE")=0,"",SUMIFS(tblDaily[Deaths],tblDaily[EntryDate],DATE(2026,4,21),tblDaily[WardCode],"FAE")),"")</f>
        <v/>
      </c>
      <c r="L148" s="14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14" t="str">
        <f>IFERROR(IF(SUMIFS(tblDaily[TransfersIn],tblDaily[EntryDate],DATE(2026,4,21),tblDaily[WardCode],"FAE")=0,"",SUMIFS(tblDaily[TransfersIn],tblDaily[EntryDate],DATE(2026,4,21),tblDaily[WardCode],"FAE")),"")</f>
        <v/>
      </c>
      <c r="N148" s="14" t="str">
        <f>IFERROR(IF(SUMIFS(tblDaily[TransfersOut],tblDaily[EntryDate],DATE(2026,4,21),tblDaily[WardCode],"FAE")=0,"",SUMIFS(tblDaily[TransfersOut],tblDaily[EntryDate],DATE(2026,4,21),tblDaily[WardCode],"FAE")),"")</f>
        <v/>
      </c>
      <c r="O148" s="14" t="str">
        <f>IFERROR(IF(SUMIFS(tblDaily[Remaining],tblDaily[EntryDate],DATE(2026,4,21),tblDaily[WardCode],"FAE")=0,"",SUMIFS(tblDaily[Remaining],tblDaily[EntryDate],DATE(2026,4,21),tblDaily[WardCode],"FAE")),"")</f>
        <v/>
      </c>
      <c r="P148" s="15" t="str">
        <f t="shared" si="3"/>
        <v/>
      </c>
    </row>
    <row r="149" spans="1:16" x14ac:dyDescent="0.25">
      <c r="A149" s="14">
        <v>22</v>
      </c>
      <c r="B149" s="14" t="str">
        <f>IFERROR(IF(SUMIFS(tblDaily[Admissions],tblDaily[EntryDate],DATE(2026,4,22),tblDaily[WardCode],"MAE")=0,"",SUMIFS(tblDaily[Admissions],tblDaily[EntryDate],DATE(2026,4,22),tblDaily[WardCode],"MAE")),"")</f>
        <v/>
      </c>
      <c r="C149" s="14" t="str">
        <f>IFERROR(IF(SUMIFS(tblDaily[Discharges],tblDaily[EntryDate],DATE(2026,4,22),tblDaily[WardCode],"MAE")=0,"",SUMIFS(tblDaily[Discharges],tblDaily[EntryDate],DATE(2026,4,22),tblDaily[WardCode],"MAE")),"")</f>
        <v/>
      </c>
      <c r="D149" s="14" t="str">
        <f>IFERROR(IF(SUMIFS(tblDaily[Deaths],tblDaily[EntryDate],DATE(2026,4,22),tblDaily[WardCode],"MAE")=0,"",SUMIFS(tblDaily[Deaths],tblDaily[EntryDate],DATE(2026,4,22),tblDaily[WardCode],"MAE")),"")</f>
        <v/>
      </c>
      <c r="E149" s="14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14" t="str">
        <f>IFERROR(IF(SUMIFS(tblDaily[TransfersIn],tblDaily[EntryDate],DATE(2026,4,22),tblDaily[WardCode],"MAE")=0,"",SUMIFS(tblDaily[TransfersIn],tblDaily[EntryDate],DATE(2026,4,22),tblDaily[WardCode],"MAE")),"")</f>
        <v/>
      </c>
      <c r="G149" s="14" t="str">
        <f>IFERROR(IF(SUMIFS(tblDaily[TransfersOut],tblDaily[EntryDate],DATE(2026,4,22),tblDaily[WardCode],"MAE")=0,"",SUMIFS(tblDaily[TransfersOut],tblDaily[EntryDate],DATE(2026,4,22),tblDaily[WardCode],"MAE")),"")</f>
        <v/>
      </c>
      <c r="H149" s="14" t="str">
        <f>IFERROR(IF(SUMIFS(tblDaily[Remaining],tblDaily[EntryDate],DATE(2026,4,22),tblDaily[WardCode],"MAE")=0,"",SUMIFS(tblDaily[Remaining],tblDaily[EntryDate],DATE(2026,4,22),tblDaily[WardCode],"MAE")),"")</f>
        <v/>
      </c>
      <c r="I149" s="14" t="str">
        <f>IFERROR(IF(SUMIFS(tblDaily[Admissions],tblDaily[EntryDate],DATE(2026,4,22),tblDaily[WardCode],"FAE")=0,"",SUMIFS(tblDaily[Admissions],tblDaily[EntryDate],DATE(2026,4,22),tblDaily[WardCode],"FAE")),"")</f>
        <v/>
      </c>
      <c r="J149" s="14" t="str">
        <f>IFERROR(IF(SUMIFS(tblDaily[Discharges],tblDaily[EntryDate],DATE(2026,4,22),tblDaily[WardCode],"FAE")=0,"",SUMIFS(tblDaily[Discharges],tblDaily[EntryDate],DATE(2026,4,22),tblDaily[WardCode],"FAE")),"")</f>
        <v/>
      </c>
      <c r="K149" s="14" t="str">
        <f>IFERROR(IF(SUMIFS(tblDaily[Deaths],tblDaily[EntryDate],DATE(2026,4,22),tblDaily[WardCode],"FAE")=0,"",SUMIFS(tblDaily[Deaths],tblDaily[EntryDate],DATE(2026,4,22),tblDaily[WardCode],"FAE")),"")</f>
        <v/>
      </c>
      <c r="L149" s="14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14" t="str">
        <f>IFERROR(IF(SUMIFS(tblDaily[TransfersIn],tblDaily[EntryDate],DATE(2026,4,22),tblDaily[WardCode],"FAE")=0,"",SUMIFS(tblDaily[TransfersIn],tblDaily[EntryDate],DATE(2026,4,22),tblDaily[WardCode],"FAE")),"")</f>
        <v/>
      </c>
      <c r="N149" s="14" t="str">
        <f>IFERROR(IF(SUMIFS(tblDaily[TransfersOut],tblDaily[EntryDate],DATE(2026,4,22),tblDaily[WardCode],"FAE")=0,"",SUMIFS(tblDaily[TransfersOut],tblDaily[EntryDate],DATE(2026,4,22),tblDaily[WardCode],"FAE")),"")</f>
        <v/>
      </c>
      <c r="O149" s="14" t="str">
        <f>IFERROR(IF(SUMIFS(tblDaily[Remaining],tblDaily[EntryDate],DATE(2026,4,22),tblDaily[WardCode],"FAE")=0,"",SUMIFS(tblDaily[Remaining],tblDaily[EntryDate],DATE(2026,4,22),tblDaily[WardCode],"FAE")),"")</f>
        <v/>
      </c>
      <c r="P149" s="15" t="str">
        <f t="shared" si="3"/>
        <v/>
      </c>
    </row>
    <row r="150" spans="1:16" x14ac:dyDescent="0.25">
      <c r="A150" s="14">
        <v>23</v>
      </c>
      <c r="B150" s="14" t="str">
        <f>IFERROR(IF(SUMIFS(tblDaily[Admissions],tblDaily[EntryDate],DATE(2026,4,23),tblDaily[WardCode],"MAE")=0,"",SUMIFS(tblDaily[Admissions],tblDaily[EntryDate],DATE(2026,4,23),tblDaily[WardCode],"MAE")),"")</f>
        <v/>
      </c>
      <c r="C150" s="14" t="str">
        <f>IFERROR(IF(SUMIFS(tblDaily[Discharges],tblDaily[EntryDate],DATE(2026,4,23),tblDaily[WardCode],"MAE")=0,"",SUMIFS(tblDaily[Discharges],tblDaily[EntryDate],DATE(2026,4,23),tblDaily[WardCode],"MAE")),"")</f>
        <v/>
      </c>
      <c r="D150" s="14" t="str">
        <f>IFERROR(IF(SUMIFS(tblDaily[Deaths],tblDaily[EntryDate],DATE(2026,4,23),tblDaily[WardCode],"MAE")=0,"",SUMIFS(tblDaily[Deaths],tblDaily[EntryDate],DATE(2026,4,23),tblDaily[WardCode],"MAE")),"")</f>
        <v/>
      </c>
      <c r="E150" s="14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14" t="str">
        <f>IFERROR(IF(SUMIFS(tblDaily[TransfersIn],tblDaily[EntryDate],DATE(2026,4,23),tblDaily[WardCode],"MAE")=0,"",SUMIFS(tblDaily[TransfersIn],tblDaily[EntryDate],DATE(2026,4,23),tblDaily[WardCode],"MAE")),"")</f>
        <v/>
      </c>
      <c r="G150" s="14" t="str">
        <f>IFERROR(IF(SUMIFS(tblDaily[TransfersOut],tblDaily[EntryDate],DATE(2026,4,23),tblDaily[WardCode],"MAE")=0,"",SUMIFS(tblDaily[TransfersOut],tblDaily[EntryDate],DATE(2026,4,23),tblDaily[WardCode],"MAE")),"")</f>
        <v/>
      </c>
      <c r="H150" s="14" t="str">
        <f>IFERROR(IF(SUMIFS(tblDaily[Remaining],tblDaily[EntryDate],DATE(2026,4,23),tblDaily[WardCode],"MAE")=0,"",SUMIFS(tblDaily[Remaining],tblDaily[EntryDate],DATE(2026,4,23),tblDaily[WardCode],"MAE")),"")</f>
        <v/>
      </c>
      <c r="I150" s="14" t="str">
        <f>IFERROR(IF(SUMIFS(tblDaily[Admissions],tblDaily[EntryDate],DATE(2026,4,23),tblDaily[WardCode],"FAE")=0,"",SUMIFS(tblDaily[Admissions],tblDaily[EntryDate],DATE(2026,4,23),tblDaily[WardCode],"FAE")),"")</f>
        <v/>
      </c>
      <c r="J150" s="14" t="str">
        <f>IFERROR(IF(SUMIFS(tblDaily[Discharges],tblDaily[EntryDate],DATE(2026,4,23),tblDaily[WardCode],"FAE")=0,"",SUMIFS(tblDaily[Discharges],tblDaily[EntryDate],DATE(2026,4,23),tblDaily[WardCode],"FAE")),"")</f>
        <v/>
      </c>
      <c r="K150" s="14" t="str">
        <f>IFERROR(IF(SUMIFS(tblDaily[Deaths],tblDaily[EntryDate],DATE(2026,4,23),tblDaily[WardCode],"FAE")=0,"",SUMIFS(tblDaily[Deaths],tblDaily[EntryDate],DATE(2026,4,23),tblDaily[WardCode],"FAE")),"")</f>
        <v/>
      </c>
      <c r="L150" s="14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14" t="str">
        <f>IFERROR(IF(SUMIFS(tblDaily[TransfersIn],tblDaily[EntryDate],DATE(2026,4,23),tblDaily[WardCode],"FAE")=0,"",SUMIFS(tblDaily[TransfersIn],tblDaily[EntryDate],DATE(2026,4,23),tblDaily[WardCode],"FAE")),"")</f>
        <v/>
      </c>
      <c r="N150" s="14" t="str">
        <f>IFERROR(IF(SUMIFS(tblDaily[TransfersOut],tblDaily[EntryDate],DATE(2026,4,23),tblDaily[WardCode],"FAE")=0,"",SUMIFS(tblDaily[TransfersOut],tblDaily[EntryDate],DATE(2026,4,23),tblDaily[WardCode],"FAE")),"")</f>
        <v/>
      </c>
      <c r="O150" s="14" t="str">
        <f>IFERROR(IF(SUMIFS(tblDaily[Remaining],tblDaily[EntryDate],DATE(2026,4,23),tblDaily[WardCode],"FAE")=0,"",SUMIFS(tblDaily[Remaining],tblDaily[EntryDate],DATE(2026,4,23),tblDaily[WardCode],"FAE")),"")</f>
        <v/>
      </c>
      <c r="P150" s="15" t="str">
        <f t="shared" si="3"/>
        <v/>
      </c>
    </row>
    <row r="151" spans="1:16" x14ac:dyDescent="0.25">
      <c r="A151" s="14">
        <v>24</v>
      </c>
      <c r="B151" s="14" t="str">
        <f>IFERROR(IF(SUMIFS(tblDaily[Admissions],tblDaily[EntryDate],DATE(2026,4,24),tblDaily[WardCode],"MAE")=0,"",SUMIFS(tblDaily[Admissions],tblDaily[EntryDate],DATE(2026,4,24),tblDaily[WardCode],"MAE")),"")</f>
        <v/>
      </c>
      <c r="C151" s="14" t="str">
        <f>IFERROR(IF(SUMIFS(tblDaily[Discharges],tblDaily[EntryDate],DATE(2026,4,24),tblDaily[WardCode],"MAE")=0,"",SUMIFS(tblDaily[Discharges],tblDaily[EntryDate],DATE(2026,4,24),tblDaily[WardCode],"MAE")),"")</f>
        <v/>
      </c>
      <c r="D151" s="14" t="str">
        <f>IFERROR(IF(SUMIFS(tblDaily[Deaths],tblDaily[EntryDate],DATE(2026,4,24),tblDaily[WardCode],"MAE")=0,"",SUMIFS(tblDaily[Deaths],tblDaily[EntryDate],DATE(2026,4,24),tblDaily[WardCode],"MAE")),"")</f>
        <v/>
      </c>
      <c r="E151" s="14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14" t="str">
        <f>IFERROR(IF(SUMIFS(tblDaily[TransfersIn],tblDaily[EntryDate],DATE(2026,4,24),tblDaily[WardCode],"MAE")=0,"",SUMIFS(tblDaily[TransfersIn],tblDaily[EntryDate],DATE(2026,4,24),tblDaily[WardCode],"MAE")),"")</f>
        <v/>
      </c>
      <c r="G151" s="14" t="str">
        <f>IFERROR(IF(SUMIFS(tblDaily[TransfersOut],tblDaily[EntryDate],DATE(2026,4,24),tblDaily[WardCode],"MAE")=0,"",SUMIFS(tblDaily[TransfersOut],tblDaily[EntryDate],DATE(2026,4,24),tblDaily[WardCode],"MAE")),"")</f>
        <v/>
      </c>
      <c r="H151" s="14" t="str">
        <f>IFERROR(IF(SUMIFS(tblDaily[Remaining],tblDaily[EntryDate],DATE(2026,4,24),tblDaily[WardCode],"MAE")=0,"",SUMIFS(tblDaily[Remaining],tblDaily[EntryDate],DATE(2026,4,24),tblDaily[WardCode],"MAE")),"")</f>
        <v/>
      </c>
      <c r="I151" s="14" t="str">
        <f>IFERROR(IF(SUMIFS(tblDaily[Admissions],tblDaily[EntryDate],DATE(2026,4,24),tblDaily[WardCode],"FAE")=0,"",SUMIFS(tblDaily[Admissions],tblDaily[EntryDate],DATE(2026,4,24),tblDaily[WardCode],"FAE")),"")</f>
        <v/>
      </c>
      <c r="J151" s="14" t="str">
        <f>IFERROR(IF(SUMIFS(tblDaily[Discharges],tblDaily[EntryDate],DATE(2026,4,24),tblDaily[WardCode],"FAE")=0,"",SUMIFS(tblDaily[Discharges],tblDaily[EntryDate],DATE(2026,4,24),tblDaily[WardCode],"FAE")),"")</f>
        <v/>
      </c>
      <c r="K151" s="14" t="str">
        <f>IFERROR(IF(SUMIFS(tblDaily[Deaths],tblDaily[EntryDate],DATE(2026,4,24),tblDaily[WardCode],"FAE")=0,"",SUMIFS(tblDaily[Deaths],tblDaily[EntryDate],DATE(2026,4,24),tblDaily[WardCode],"FAE")),"")</f>
        <v/>
      </c>
      <c r="L151" s="14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14" t="str">
        <f>IFERROR(IF(SUMIFS(tblDaily[TransfersIn],tblDaily[EntryDate],DATE(2026,4,24),tblDaily[WardCode],"FAE")=0,"",SUMIFS(tblDaily[TransfersIn],tblDaily[EntryDate],DATE(2026,4,24),tblDaily[WardCode],"FAE")),"")</f>
        <v/>
      </c>
      <c r="N151" s="14" t="str">
        <f>IFERROR(IF(SUMIFS(tblDaily[TransfersOut],tblDaily[EntryDate],DATE(2026,4,24),tblDaily[WardCode],"FAE")=0,"",SUMIFS(tblDaily[TransfersOut],tblDaily[EntryDate],DATE(2026,4,24),tblDaily[WardCode],"FAE")),"")</f>
        <v/>
      </c>
      <c r="O151" s="14" t="str">
        <f>IFERROR(IF(SUMIFS(tblDaily[Remaining],tblDaily[EntryDate],DATE(2026,4,24),tblDaily[WardCode],"FAE")=0,"",SUMIFS(tblDaily[Remaining],tblDaily[EntryDate],DATE(2026,4,24),tblDaily[WardCode],"FAE")),"")</f>
        <v/>
      </c>
      <c r="P151" s="15" t="str">
        <f t="shared" si="3"/>
        <v/>
      </c>
    </row>
    <row r="152" spans="1:16" x14ac:dyDescent="0.25">
      <c r="A152" s="14">
        <v>25</v>
      </c>
      <c r="B152" s="14" t="str">
        <f>IFERROR(IF(SUMIFS(tblDaily[Admissions],tblDaily[EntryDate],DATE(2026,4,25),tblDaily[WardCode],"MAE")=0,"",SUMIFS(tblDaily[Admissions],tblDaily[EntryDate],DATE(2026,4,25),tblDaily[WardCode],"MAE")),"")</f>
        <v/>
      </c>
      <c r="C152" s="14" t="str">
        <f>IFERROR(IF(SUMIFS(tblDaily[Discharges],tblDaily[EntryDate],DATE(2026,4,25),tblDaily[WardCode],"MAE")=0,"",SUMIFS(tblDaily[Discharges],tblDaily[EntryDate],DATE(2026,4,25),tblDaily[WardCode],"MAE")),"")</f>
        <v/>
      </c>
      <c r="D152" s="14" t="str">
        <f>IFERROR(IF(SUMIFS(tblDaily[Deaths],tblDaily[EntryDate],DATE(2026,4,25),tblDaily[WardCode],"MAE")=0,"",SUMIFS(tblDaily[Deaths],tblDaily[EntryDate],DATE(2026,4,25),tblDaily[WardCode],"MAE")),"")</f>
        <v/>
      </c>
      <c r="E152" s="14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14" t="str">
        <f>IFERROR(IF(SUMIFS(tblDaily[TransfersIn],tblDaily[EntryDate],DATE(2026,4,25),tblDaily[WardCode],"MAE")=0,"",SUMIFS(tblDaily[TransfersIn],tblDaily[EntryDate],DATE(2026,4,25),tblDaily[WardCode],"MAE")),"")</f>
        <v/>
      </c>
      <c r="G152" s="14" t="str">
        <f>IFERROR(IF(SUMIFS(tblDaily[TransfersOut],tblDaily[EntryDate],DATE(2026,4,25),tblDaily[WardCode],"MAE")=0,"",SUMIFS(tblDaily[TransfersOut],tblDaily[EntryDate],DATE(2026,4,25),tblDaily[WardCode],"MAE")),"")</f>
        <v/>
      </c>
      <c r="H152" s="14" t="str">
        <f>IFERROR(IF(SUMIFS(tblDaily[Remaining],tblDaily[EntryDate],DATE(2026,4,25),tblDaily[WardCode],"MAE")=0,"",SUMIFS(tblDaily[Remaining],tblDaily[EntryDate],DATE(2026,4,25),tblDaily[WardCode],"MAE")),"")</f>
        <v/>
      </c>
      <c r="I152" s="14" t="str">
        <f>IFERROR(IF(SUMIFS(tblDaily[Admissions],tblDaily[EntryDate],DATE(2026,4,25),tblDaily[WardCode],"FAE")=0,"",SUMIFS(tblDaily[Admissions],tblDaily[EntryDate],DATE(2026,4,25),tblDaily[WardCode],"FAE")),"")</f>
        <v/>
      </c>
      <c r="J152" s="14" t="str">
        <f>IFERROR(IF(SUMIFS(tblDaily[Discharges],tblDaily[EntryDate],DATE(2026,4,25),tblDaily[WardCode],"FAE")=0,"",SUMIFS(tblDaily[Discharges],tblDaily[EntryDate],DATE(2026,4,25),tblDaily[WardCode],"FAE")),"")</f>
        <v/>
      </c>
      <c r="K152" s="14" t="str">
        <f>IFERROR(IF(SUMIFS(tblDaily[Deaths],tblDaily[EntryDate],DATE(2026,4,25),tblDaily[WardCode],"FAE")=0,"",SUMIFS(tblDaily[Deaths],tblDaily[EntryDate],DATE(2026,4,25),tblDaily[WardCode],"FAE")),"")</f>
        <v/>
      </c>
      <c r="L152" s="14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14" t="str">
        <f>IFERROR(IF(SUMIFS(tblDaily[TransfersIn],tblDaily[EntryDate],DATE(2026,4,25),tblDaily[WardCode],"FAE")=0,"",SUMIFS(tblDaily[TransfersIn],tblDaily[EntryDate],DATE(2026,4,25),tblDaily[WardCode],"FAE")),"")</f>
        <v/>
      </c>
      <c r="N152" s="14" t="str">
        <f>IFERROR(IF(SUMIFS(tblDaily[TransfersOut],tblDaily[EntryDate],DATE(2026,4,25),tblDaily[WardCode],"FAE")=0,"",SUMIFS(tblDaily[TransfersOut],tblDaily[EntryDate],DATE(2026,4,25),tblDaily[WardCode],"FAE")),"")</f>
        <v/>
      </c>
      <c r="O152" s="14" t="str">
        <f>IFERROR(IF(SUMIFS(tblDaily[Remaining],tblDaily[EntryDate],DATE(2026,4,25),tblDaily[WardCode],"FAE")=0,"",SUMIFS(tblDaily[Remaining],tblDaily[EntryDate],DATE(2026,4,25),tblDaily[WardCode],"FAE")),"")</f>
        <v/>
      </c>
      <c r="P152" s="15" t="str">
        <f t="shared" si="3"/>
        <v/>
      </c>
    </row>
    <row r="153" spans="1:16" x14ac:dyDescent="0.25">
      <c r="A153" s="14">
        <v>26</v>
      </c>
      <c r="B153" s="14" t="str">
        <f>IFERROR(IF(SUMIFS(tblDaily[Admissions],tblDaily[EntryDate],DATE(2026,4,26),tblDaily[WardCode],"MAE")=0,"",SUMIFS(tblDaily[Admissions],tblDaily[EntryDate],DATE(2026,4,26),tblDaily[WardCode],"MAE")),"")</f>
        <v/>
      </c>
      <c r="C153" s="14" t="str">
        <f>IFERROR(IF(SUMIFS(tblDaily[Discharges],tblDaily[EntryDate],DATE(2026,4,26),tblDaily[WardCode],"MAE")=0,"",SUMIFS(tblDaily[Discharges],tblDaily[EntryDate],DATE(2026,4,26),tblDaily[WardCode],"MAE")),"")</f>
        <v/>
      </c>
      <c r="D153" s="14" t="str">
        <f>IFERROR(IF(SUMIFS(tblDaily[Deaths],tblDaily[EntryDate],DATE(2026,4,26),tblDaily[WardCode],"MAE")=0,"",SUMIFS(tblDaily[Deaths],tblDaily[EntryDate],DATE(2026,4,26),tblDaily[WardCode],"MAE")),"")</f>
        <v/>
      </c>
      <c r="E153" s="14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14" t="str">
        <f>IFERROR(IF(SUMIFS(tblDaily[TransfersIn],tblDaily[EntryDate],DATE(2026,4,26),tblDaily[WardCode],"MAE")=0,"",SUMIFS(tblDaily[TransfersIn],tblDaily[EntryDate],DATE(2026,4,26),tblDaily[WardCode],"MAE")),"")</f>
        <v/>
      </c>
      <c r="G153" s="14" t="str">
        <f>IFERROR(IF(SUMIFS(tblDaily[TransfersOut],tblDaily[EntryDate],DATE(2026,4,26),tblDaily[WardCode],"MAE")=0,"",SUMIFS(tblDaily[TransfersOut],tblDaily[EntryDate],DATE(2026,4,26),tblDaily[WardCode],"MAE")),"")</f>
        <v/>
      </c>
      <c r="H153" s="14" t="str">
        <f>IFERROR(IF(SUMIFS(tblDaily[Remaining],tblDaily[EntryDate],DATE(2026,4,26),tblDaily[WardCode],"MAE")=0,"",SUMIFS(tblDaily[Remaining],tblDaily[EntryDate],DATE(2026,4,26),tblDaily[WardCode],"MAE")),"")</f>
        <v/>
      </c>
      <c r="I153" s="14" t="str">
        <f>IFERROR(IF(SUMIFS(tblDaily[Admissions],tblDaily[EntryDate],DATE(2026,4,26),tblDaily[WardCode],"FAE")=0,"",SUMIFS(tblDaily[Admissions],tblDaily[EntryDate],DATE(2026,4,26),tblDaily[WardCode],"FAE")),"")</f>
        <v/>
      </c>
      <c r="J153" s="14" t="str">
        <f>IFERROR(IF(SUMIFS(tblDaily[Discharges],tblDaily[EntryDate],DATE(2026,4,26),tblDaily[WardCode],"FAE")=0,"",SUMIFS(tblDaily[Discharges],tblDaily[EntryDate],DATE(2026,4,26),tblDaily[WardCode],"FAE")),"")</f>
        <v/>
      </c>
      <c r="K153" s="14" t="str">
        <f>IFERROR(IF(SUMIFS(tblDaily[Deaths],tblDaily[EntryDate],DATE(2026,4,26),tblDaily[WardCode],"FAE")=0,"",SUMIFS(tblDaily[Deaths],tblDaily[EntryDate],DATE(2026,4,26),tblDaily[WardCode],"FAE")),"")</f>
        <v/>
      </c>
      <c r="L153" s="14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14" t="str">
        <f>IFERROR(IF(SUMIFS(tblDaily[TransfersIn],tblDaily[EntryDate],DATE(2026,4,26),tblDaily[WardCode],"FAE")=0,"",SUMIFS(tblDaily[TransfersIn],tblDaily[EntryDate],DATE(2026,4,26),tblDaily[WardCode],"FAE")),"")</f>
        <v/>
      </c>
      <c r="N153" s="14" t="str">
        <f>IFERROR(IF(SUMIFS(tblDaily[TransfersOut],tblDaily[EntryDate],DATE(2026,4,26),tblDaily[WardCode],"FAE")=0,"",SUMIFS(tblDaily[TransfersOut],tblDaily[EntryDate],DATE(2026,4,26),tblDaily[WardCode],"FAE")),"")</f>
        <v/>
      </c>
      <c r="O153" s="14" t="str">
        <f>IFERROR(IF(SUMIFS(tblDaily[Remaining],tblDaily[EntryDate],DATE(2026,4,26),tblDaily[WardCode],"FAE")=0,"",SUMIFS(tblDaily[Remaining],tblDaily[EntryDate],DATE(2026,4,26),tblDaily[WardCode],"FAE")),"")</f>
        <v/>
      </c>
      <c r="P153" s="15" t="str">
        <f t="shared" si="3"/>
        <v/>
      </c>
    </row>
    <row r="154" spans="1:16" x14ac:dyDescent="0.25">
      <c r="A154" s="14">
        <v>27</v>
      </c>
      <c r="B154" s="14" t="str">
        <f>IFERROR(IF(SUMIFS(tblDaily[Admissions],tblDaily[EntryDate],DATE(2026,4,27),tblDaily[WardCode],"MAE")=0,"",SUMIFS(tblDaily[Admissions],tblDaily[EntryDate],DATE(2026,4,27),tblDaily[WardCode],"MAE")),"")</f>
        <v/>
      </c>
      <c r="C154" s="14" t="str">
        <f>IFERROR(IF(SUMIFS(tblDaily[Discharges],tblDaily[EntryDate],DATE(2026,4,27),tblDaily[WardCode],"MAE")=0,"",SUMIFS(tblDaily[Discharges],tblDaily[EntryDate],DATE(2026,4,27),tblDaily[WardCode],"MAE")),"")</f>
        <v/>
      </c>
      <c r="D154" s="14" t="str">
        <f>IFERROR(IF(SUMIFS(tblDaily[Deaths],tblDaily[EntryDate],DATE(2026,4,27),tblDaily[WardCode],"MAE")=0,"",SUMIFS(tblDaily[Deaths],tblDaily[EntryDate],DATE(2026,4,27),tblDaily[WardCode],"MAE")),"")</f>
        <v/>
      </c>
      <c r="E154" s="14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14" t="str">
        <f>IFERROR(IF(SUMIFS(tblDaily[TransfersIn],tblDaily[EntryDate],DATE(2026,4,27),tblDaily[WardCode],"MAE")=0,"",SUMIFS(tblDaily[TransfersIn],tblDaily[EntryDate],DATE(2026,4,27),tblDaily[WardCode],"MAE")),"")</f>
        <v/>
      </c>
      <c r="G154" s="14" t="str">
        <f>IFERROR(IF(SUMIFS(tblDaily[TransfersOut],tblDaily[EntryDate],DATE(2026,4,27),tblDaily[WardCode],"MAE")=0,"",SUMIFS(tblDaily[TransfersOut],tblDaily[EntryDate],DATE(2026,4,27),tblDaily[WardCode],"MAE")),"")</f>
        <v/>
      </c>
      <c r="H154" s="14" t="str">
        <f>IFERROR(IF(SUMIFS(tblDaily[Remaining],tblDaily[EntryDate],DATE(2026,4,27),tblDaily[WardCode],"MAE")=0,"",SUMIFS(tblDaily[Remaining],tblDaily[EntryDate],DATE(2026,4,27),tblDaily[WardCode],"MAE")),"")</f>
        <v/>
      </c>
      <c r="I154" s="14" t="str">
        <f>IFERROR(IF(SUMIFS(tblDaily[Admissions],tblDaily[EntryDate],DATE(2026,4,27),tblDaily[WardCode],"FAE")=0,"",SUMIFS(tblDaily[Admissions],tblDaily[EntryDate],DATE(2026,4,27),tblDaily[WardCode],"FAE")),"")</f>
        <v/>
      </c>
      <c r="J154" s="14" t="str">
        <f>IFERROR(IF(SUMIFS(tblDaily[Discharges],tblDaily[EntryDate],DATE(2026,4,27),tblDaily[WardCode],"FAE")=0,"",SUMIFS(tblDaily[Discharges],tblDaily[EntryDate],DATE(2026,4,27),tblDaily[WardCode],"FAE")),"")</f>
        <v/>
      </c>
      <c r="K154" s="14" t="str">
        <f>IFERROR(IF(SUMIFS(tblDaily[Deaths],tblDaily[EntryDate],DATE(2026,4,27),tblDaily[WardCode],"FAE")=0,"",SUMIFS(tblDaily[Deaths],tblDaily[EntryDate],DATE(2026,4,27),tblDaily[WardCode],"FAE")),"")</f>
        <v/>
      </c>
      <c r="L154" s="14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14" t="str">
        <f>IFERROR(IF(SUMIFS(tblDaily[TransfersIn],tblDaily[EntryDate],DATE(2026,4,27),tblDaily[WardCode],"FAE")=0,"",SUMIFS(tblDaily[TransfersIn],tblDaily[EntryDate],DATE(2026,4,27),tblDaily[WardCode],"FAE")),"")</f>
        <v/>
      </c>
      <c r="N154" s="14" t="str">
        <f>IFERROR(IF(SUMIFS(tblDaily[TransfersOut],tblDaily[EntryDate],DATE(2026,4,27),tblDaily[WardCode],"FAE")=0,"",SUMIFS(tblDaily[TransfersOut],tblDaily[EntryDate],DATE(2026,4,27),tblDaily[WardCode],"FAE")),"")</f>
        <v/>
      </c>
      <c r="O154" s="14" t="str">
        <f>IFERROR(IF(SUMIFS(tblDaily[Remaining],tblDaily[EntryDate],DATE(2026,4,27),tblDaily[WardCode],"FAE")=0,"",SUMIFS(tblDaily[Remaining],tblDaily[EntryDate],DATE(2026,4,27),tblDaily[WardCode],"FAE")),"")</f>
        <v/>
      </c>
      <c r="P154" s="15" t="str">
        <f t="shared" si="3"/>
        <v/>
      </c>
    </row>
    <row r="155" spans="1:16" x14ac:dyDescent="0.25">
      <c r="A155" s="14">
        <v>28</v>
      </c>
      <c r="B155" s="14" t="str">
        <f>IFERROR(IF(SUMIFS(tblDaily[Admissions],tblDaily[EntryDate],DATE(2026,4,28),tblDaily[WardCode],"MAE")=0,"",SUMIFS(tblDaily[Admissions],tblDaily[EntryDate],DATE(2026,4,28),tblDaily[WardCode],"MAE")),"")</f>
        <v/>
      </c>
      <c r="C155" s="14" t="str">
        <f>IFERROR(IF(SUMIFS(tblDaily[Discharges],tblDaily[EntryDate],DATE(2026,4,28),tblDaily[WardCode],"MAE")=0,"",SUMIFS(tblDaily[Discharges],tblDaily[EntryDate],DATE(2026,4,28),tblDaily[WardCode],"MAE")),"")</f>
        <v/>
      </c>
      <c r="D155" s="14" t="str">
        <f>IFERROR(IF(SUMIFS(tblDaily[Deaths],tblDaily[EntryDate],DATE(2026,4,28),tblDaily[WardCode],"MAE")=0,"",SUMIFS(tblDaily[Deaths],tblDaily[EntryDate],DATE(2026,4,28),tblDaily[WardCode],"MAE")),"")</f>
        <v/>
      </c>
      <c r="E155" s="14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14" t="str">
        <f>IFERROR(IF(SUMIFS(tblDaily[TransfersIn],tblDaily[EntryDate],DATE(2026,4,28),tblDaily[WardCode],"MAE")=0,"",SUMIFS(tblDaily[TransfersIn],tblDaily[EntryDate],DATE(2026,4,28),tblDaily[WardCode],"MAE")),"")</f>
        <v/>
      </c>
      <c r="G155" s="14" t="str">
        <f>IFERROR(IF(SUMIFS(tblDaily[TransfersOut],tblDaily[EntryDate],DATE(2026,4,28),tblDaily[WardCode],"MAE")=0,"",SUMIFS(tblDaily[TransfersOut],tblDaily[EntryDate],DATE(2026,4,28),tblDaily[WardCode],"MAE")),"")</f>
        <v/>
      </c>
      <c r="H155" s="14" t="str">
        <f>IFERROR(IF(SUMIFS(tblDaily[Remaining],tblDaily[EntryDate],DATE(2026,4,28),tblDaily[WardCode],"MAE")=0,"",SUMIFS(tblDaily[Remaining],tblDaily[EntryDate],DATE(2026,4,28),tblDaily[WardCode],"MAE")),"")</f>
        <v/>
      </c>
      <c r="I155" s="14" t="str">
        <f>IFERROR(IF(SUMIFS(tblDaily[Admissions],tblDaily[EntryDate],DATE(2026,4,28),tblDaily[WardCode],"FAE")=0,"",SUMIFS(tblDaily[Admissions],tblDaily[EntryDate],DATE(2026,4,28),tblDaily[WardCode],"FAE")),"")</f>
        <v/>
      </c>
      <c r="J155" s="14" t="str">
        <f>IFERROR(IF(SUMIFS(tblDaily[Discharges],tblDaily[EntryDate],DATE(2026,4,28),tblDaily[WardCode],"FAE")=0,"",SUMIFS(tblDaily[Discharges],tblDaily[EntryDate],DATE(2026,4,28),tblDaily[WardCode],"FAE")),"")</f>
        <v/>
      </c>
      <c r="K155" s="14" t="str">
        <f>IFERROR(IF(SUMIFS(tblDaily[Deaths],tblDaily[EntryDate],DATE(2026,4,28),tblDaily[WardCode],"FAE")=0,"",SUMIFS(tblDaily[Deaths],tblDaily[EntryDate],DATE(2026,4,28),tblDaily[WardCode],"FAE")),"")</f>
        <v/>
      </c>
      <c r="L155" s="14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14" t="str">
        <f>IFERROR(IF(SUMIFS(tblDaily[TransfersIn],tblDaily[EntryDate],DATE(2026,4,28),tblDaily[WardCode],"FAE")=0,"",SUMIFS(tblDaily[TransfersIn],tblDaily[EntryDate],DATE(2026,4,28),tblDaily[WardCode],"FAE")),"")</f>
        <v/>
      </c>
      <c r="N155" s="14" t="str">
        <f>IFERROR(IF(SUMIFS(tblDaily[TransfersOut],tblDaily[EntryDate],DATE(2026,4,28),tblDaily[WardCode],"FAE")=0,"",SUMIFS(tblDaily[TransfersOut],tblDaily[EntryDate],DATE(2026,4,28),tblDaily[WardCode],"FAE")),"")</f>
        <v/>
      </c>
      <c r="O155" s="14" t="str">
        <f>IFERROR(IF(SUMIFS(tblDaily[Remaining],tblDaily[EntryDate],DATE(2026,4,28),tblDaily[WardCode],"FAE")=0,"",SUMIFS(tblDaily[Remaining],tblDaily[EntryDate],DATE(2026,4,28),tblDaily[WardCode],"FAE")),"")</f>
        <v/>
      </c>
      <c r="P155" s="15" t="str">
        <f t="shared" si="3"/>
        <v/>
      </c>
    </row>
    <row r="156" spans="1:16" x14ac:dyDescent="0.25">
      <c r="A156" s="14">
        <v>29</v>
      </c>
      <c r="B156" s="14" t="str">
        <f>IFERROR(IF(SUMIFS(tblDaily[Admissions],tblDaily[EntryDate],DATE(2026,4,29),tblDaily[WardCode],"MAE")=0,"",SUMIFS(tblDaily[Admissions],tblDaily[EntryDate],DATE(2026,4,29),tblDaily[WardCode],"MAE")),"")</f>
        <v/>
      </c>
      <c r="C156" s="14" t="str">
        <f>IFERROR(IF(SUMIFS(tblDaily[Discharges],tblDaily[EntryDate],DATE(2026,4,29),tblDaily[WardCode],"MAE")=0,"",SUMIFS(tblDaily[Discharges],tblDaily[EntryDate],DATE(2026,4,29),tblDaily[WardCode],"MAE")),"")</f>
        <v/>
      </c>
      <c r="D156" s="14" t="str">
        <f>IFERROR(IF(SUMIFS(tblDaily[Deaths],tblDaily[EntryDate],DATE(2026,4,29),tblDaily[WardCode],"MAE")=0,"",SUMIFS(tblDaily[Deaths],tblDaily[EntryDate],DATE(2026,4,29),tblDaily[WardCode],"MAE")),"")</f>
        <v/>
      </c>
      <c r="E156" s="14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14" t="str">
        <f>IFERROR(IF(SUMIFS(tblDaily[TransfersIn],tblDaily[EntryDate],DATE(2026,4,29),tblDaily[WardCode],"MAE")=0,"",SUMIFS(tblDaily[TransfersIn],tblDaily[EntryDate],DATE(2026,4,29),tblDaily[WardCode],"MAE")),"")</f>
        <v/>
      </c>
      <c r="G156" s="14" t="str">
        <f>IFERROR(IF(SUMIFS(tblDaily[TransfersOut],tblDaily[EntryDate],DATE(2026,4,29),tblDaily[WardCode],"MAE")=0,"",SUMIFS(tblDaily[TransfersOut],tblDaily[EntryDate],DATE(2026,4,29),tblDaily[WardCode],"MAE")),"")</f>
        <v/>
      </c>
      <c r="H156" s="14" t="str">
        <f>IFERROR(IF(SUMIFS(tblDaily[Remaining],tblDaily[EntryDate],DATE(2026,4,29),tblDaily[WardCode],"MAE")=0,"",SUMIFS(tblDaily[Remaining],tblDaily[EntryDate],DATE(2026,4,29),tblDaily[WardCode],"MAE")),"")</f>
        <v/>
      </c>
      <c r="I156" s="14" t="str">
        <f>IFERROR(IF(SUMIFS(tblDaily[Admissions],tblDaily[EntryDate],DATE(2026,4,29),tblDaily[WardCode],"FAE")=0,"",SUMIFS(tblDaily[Admissions],tblDaily[EntryDate],DATE(2026,4,29),tblDaily[WardCode],"FAE")),"")</f>
        <v/>
      </c>
      <c r="J156" s="14" t="str">
        <f>IFERROR(IF(SUMIFS(tblDaily[Discharges],tblDaily[EntryDate],DATE(2026,4,29),tblDaily[WardCode],"FAE")=0,"",SUMIFS(tblDaily[Discharges],tblDaily[EntryDate],DATE(2026,4,29),tblDaily[WardCode],"FAE")),"")</f>
        <v/>
      </c>
      <c r="K156" s="14" t="str">
        <f>IFERROR(IF(SUMIFS(tblDaily[Deaths],tblDaily[EntryDate],DATE(2026,4,29),tblDaily[WardCode],"FAE")=0,"",SUMIFS(tblDaily[Deaths],tblDaily[EntryDate],DATE(2026,4,29),tblDaily[WardCode],"FAE")),"")</f>
        <v/>
      </c>
      <c r="L156" s="14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14" t="str">
        <f>IFERROR(IF(SUMIFS(tblDaily[TransfersIn],tblDaily[EntryDate],DATE(2026,4,29),tblDaily[WardCode],"FAE")=0,"",SUMIFS(tblDaily[TransfersIn],tblDaily[EntryDate],DATE(2026,4,29),tblDaily[WardCode],"FAE")),"")</f>
        <v/>
      </c>
      <c r="N156" s="14" t="str">
        <f>IFERROR(IF(SUMIFS(tblDaily[TransfersOut],tblDaily[EntryDate],DATE(2026,4,29),tblDaily[WardCode],"FAE")=0,"",SUMIFS(tblDaily[TransfersOut],tblDaily[EntryDate],DATE(2026,4,29),tblDaily[WardCode],"FAE")),"")</f>
        <v/>
      </c>
      <c r="O156" s="14" t="str">
        <f>IFERROR(IF(SUMIFS(tblDaily[Remaining],tblDaily[EntryDate],DATE(2026,4,29),tblDaily[WardCode],"FAE")=0,"",SUMIFS(tblDaily[Remaining],tblDaily[EntryDate],DATE(2026,4,29),tblDaily[WardCode],"FAE")),"")</f>
        <v/>
      </c>
      <c r="P156" s="15" t="str">
        <f t="shared" si="3"/>
        <v/>
      </c>
    </row>
    <row r="157" spans="1:16" x14ac:dyDescent="0.25">
      <c r="A157" s="14">
        <v>30</v>
      </c>
      <c r="B157" s="14" t="str">
        <f>IFERROR(IF(SUMIFS(tblDaily[Admissions],tblDaily[EntryDate],DATE(2026,4,30),tblDaily[WardCode],"MAE")=0,"",SUMIFS(tblDaily[Admissions],tblDaily[EntryDate],DATE(2026,4,30),tblDaily[WardCode],"MAE")),"")</f>
        <v/>
      </c>
      <c r="C157" s="14" t="str">
        <f>IFERROR(IF(SUMIFS(tblDaily[Discharges],tblDaily[EntryDate],DATE(2026,4,30),tblDaily[WardCode],"MAE")=0,"",SUMIFS(tblDaily[Discharges],tblDaily[EntryDate],DATE(2026,4,30),tblDaily[WardCode],"MAE")),"")</f>
        <v/>
      </c>
      <c r="D157" s="14" t="str">
        <f>IFERROR(IF(SUMIFS(tblDaily[Deaths],tblDaily[EntryDate],DATE(2026,4,30),tblDaily[WardCode],"MAE")=0,"",SUMIFS(tblDaily[Deaths],tblDaily[EntryDate],DATE(2026,4,30),tblDaily[WardCode],"MAE")),"")</f>
        <v/>
      </c>
      <c r="E157" s="14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14" t="str">
        <f>IFERROR(IF(SUMIFS(tblDaily[TransfersIn],tblDaily[EntryDate],DATE(2026,4,30),tblDaily[WardCode],"MAE")=0,"",SUMIFS(tblDaily[TransfersIn],tblDaily[EntryDate],DATE(2026,4,30),tblDaily[WardCode],"MAE")),"")</f>
        <v/>
      </c>
      <c r="G157" s="14" t="str">
        <f>IFERROR(IF(SUMIFS(tblDaily[TransfersOut],tblDaily[EntryDate],DATE(2026,4,30),tblDaily[WardCode],"MAE")=0,"",SUMIFS(tblDaily[TransfersOut],tblDaily[EntryDate],DATE(2026,4,30),tblDaily[WardCode],"MAE")),"")</f>
        <v/>
      </c>
      <c r="H157" s="14" t="str">
        <f>IFERROR(IF(SUMIFS(tblDaily[Remaining],tblDaily[EntryDate],DATE(2026,4,30),tblDaily[WardCode],"MAE")=0,"",SUMIFS(tblDaily[Remaining],tblDaily[EntryDate],DATE(2026,4,30),tblDaily[WardCode],"MAE")),"")</f>
        <v/>
      </c>
      <c r="I157" s="14" t="str">
        <f>IFERROR(IF(SUMIFS(tblDaily[Admissions],tblDaily[EntryDate],DATE(2026,4,30),tblDaily[WardCode],"FAE")=0,"",SUMIFS(tblDaily[Admissions],tblDaily[EntryDate],DATE(2026,4,30),tblDaily[WardCode],"FAE")),"")</f>
        <v/>
      </c>
      <c r="J157" s="14" t="str">
        <f>IFERROR(IF(SUMIFS(tblDaily[Discharges],tblDaily[EntryDate],DATE(2026,4,30),tblDaily[WardCode],"FAE")=0,"",SUMIFS(tblDaily[Discharges],tblDaily[EntryDate],DATE(2026,4,30),tblDaily[WardCode],"FAE")),"")</f>
        <v/>
      </c>
      <c r="K157" s="14" t="str">
        <f>IFERROR(IF(SUMIFS(tblDaily[Deaths],tblDaily[EntryDate],DATE(2026,4,30),tblDaily[WardCode],"FAE")=0,"",SUMIFS(tblDaily[Deaths],tblDaily[EntryDate],DATE(2026,4,30),tblDaily[WardCode],"FAE")),"")</f>
        <v/>
      </c>
      <c r="L157" s="14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14" t="str">
        <f>IFERROR(IF(SUMIFS(tblDaily[TransfersIn],tblDaily[EntryDate],DATE(2026,4,30),tblDaily[WardCode],"FAE")=0,"",SUMIFS(tblDaily[TransfersIn],tblDaily[EntryDate],DATE(2026,4,30),tblDaily[WardCode],"FAE")),"")</f>
        <v/>
      </c>
      <c r="N157" s="14" t="str">
        <f>IFERROR(IF(SUMIFS(tblDaily[TransfersOut],tblDaily[EntryDate],DATE(2026,4,30),tblDaily[WardCode],"FAE")=0,"",SUMIFS(tblDaily[TransfersOut],tblDaily[EntryDate],DATE(2026,4,30),tblDaily[WardCode],"FAE")),"")</f>
        <v/>
      </c>
      <c r="O157" s="14" t="str">
        <f>IFERROR(IF(SUMIFS(tblDaily[Remaining],tblDaily[EntryDate],DATE(2026,4,30),tblDaily[WardCode],"FAE")=0,"",SUMIFS(tblDaily[Remaining],tblDaily[EntryDate],DATE(2026,4,30),tblDaily[WardCode],"FAE")),"")</f>
        <v/>
      </c>
      <c r="P157" s="15" t="str">
        <f t="shared" si="3"/>
        <v/>
      </c>
    </row>
    <row r="158" spans="1:16" x14ac:dyDescent="0.25">
      <c r="A158" s="14">
        <v>31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</row>
    <row r="159" spans="1:16" x14ac:dyDescent="0.25">
      <c r="A159" s="9" t="s">
        <v>112</v>
      </c>
      <c r="B159" s="9">
        <f>SUMIFS(tblDaily[Admissions],tblDaily[Month],4,tblDaily[WardCode],"MAE") - SUMIFS(tblDaily[DeathsUnder24Hrs],tblDaily[Month],4,tblDaily[WardCode],"MAE")</f>
        <v>0</v>
      </c>
      <c r="C159" s="9">
        <f>SUMIFS(tblDaily[Discharges],tblDaily[Month],4,tblDaily[WardCode],"MAE")</f>
        <v>0</v>
      </c>
      <c r="D159" s="9">
        <f>SUMIFS(tblDaily[Deaths],tblDaily[Month],4,tblDaily[WardCode],"MAE")</f>
        <v>0</v>
      </c>
      <c r="E159" s="9">
        <f>SUMIFS(tblDaily[DeathsUnder24Hrs],tblDaily[Month],4,tblDaily[WardCode],"MAE")</f>
        <v>0</v>
      </c>
      <c r="F159" s="9">
        <f>SUMIFS(tblDaily[TransfersIn],tblDaily[Month],4,tblDaily[WardCode],"MAE")</f>
        <v>0</v>
      </c>
      <c r="G159" s="9">
        <f>SUMIFS(tblDaily[TransfersOut],tblDaily[Month],4,tblDaily[WardCode],"MAE")</f>
        <v>0</v>
      </c>
      <c r="H159" s="9">
        <f>SUMIFS(tblDaily[Remaining],tblDaily[Month],4,tblDaily[WardCode],"MAE")</f>
        <v>0</v>
      </c>
      <c r="I159" s="9">
        <f>SUMIFS(tblDaily[Admissions],tblDaily[Month],4,tblDaily[WardCode],"FAE") - SUMIFS(tblDaily[DeathsUnder24Hrs],tblDaily[Month],4,tblDaily[WardCode],"FAE")</f>
        <v>0</v>
      </c>
      <c r="J159" s="9">
        <f>SUMIFS(tblDaily[Discharges],tblDaily[Month],4,tblDaily[WardCode],"FAE")</f>
        <v>0</v>
      </c>
      <c r="K159" s="9">
        <f>SUMIFS(tblDaily[Deaths],tblDaily[Month],4,tblDaily[WardCode],"FAE")</f>
        <v>0</v>
      </c>
      <c r="L159" s="9">
        <f>SUMIFS(tblDaily[DeathsUnder24Hrs],tblDaily[Month],4,tblDaily[WardCode],"FAE")</f>
        <v>0</v>
      </c>
      <c r="M159" s="9">
        <f>SUMIFS(tblDaily[TransfersIn],tblDaily[Month],4,tblDaily[WardCode],"FAE")</f>
        <v>0</v>
      </c>
      <c r="N159" s="9">
        <f>SUMIFS(tblDaily[TransfersOut],tblDaily[Month],4,tblDaily[WardCode],"FAE")</f>
        <v>0</v>
      </c>
      <c r="O159" s="9">
        <f>SUMIFS(tblDaily[Remaining],tblDaily[Month],4,tblDaily[WardCode],"FAE")</f>
        <v>0</v>
      </c>
      <c r="P159" s="9">
        <f>H159 + O159</f>
        <v>0</v>
      </c>
    </row>
    <row r="161" spans="1:16" ht="18.75" x14ac:dyDescent="0.25">
      <c r="A161" s="39" t="s">
        <v>0</v>
      </c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6" ht="15.75" x14ac:dyDescent="0.25">
      <c r="A162" s="35" t="s">
        <v>101</v>
      </c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</row>
    <row r="163" spans="1:16" x14ac:dyDescent="0.25">
      <c r="A163" s="1" t="s">
        <v>4</v>
      </c>
      <c r="B163" s="2" t="s">
        <v>2</v>
      </c>
      <c r="E163" s="1" t="s">
        <v>102</v>
      </c>
      <c r="F163" s="1" t="s">
        <v>121</v>
      </c>
      <c r="M163" s="1" t="s">
        <v>104</v>
      </c>
      <c r="N163" s="1" t="s">
        <v>64</v>
      </c>
    </row>
    <row r="164" spans="1:16" x14ac:dyDescent="0.25">
      <c r="A164" s="1" t="s">
        <v>105</v>
      </c>
      <c r="B164" s="11">
        <f>IFERROR(SUMIFS(tblDaily[Remaining],tblDaily[EntryDate],DATE(2026,4,30),tblDaily[WardCode],"MAE"),0)</f>
        <v>0</v>
      </c>
      <c r="I164" s="11">
        <f>IFERROR(SUMIFS(tblDaily[Remaining],tblDaily[EntryDate],DATE(2026,4,30),tblDaily[WardCode],"FAE"),0)</f>
        <v>0</v>
      </c>
    </row>
    <row r="165" spans="1:16" x14ac:dyDescent="0.25">
      <c r="A165" s="1" t="s">
        <v>106</v>
      </c>
      <c r="B165" s="11">
        <f>IFERROR(INDEX(tblWardConfig[BedComplement],MATCH("MAE",tblWardConfig[WardCode],0)),0)</f>
        <v>10</v>
      </c>
      <c r="I165" s="11">
        <f>IFERROR(INDEX(tblWardConfig[BedComplement],MATCH("FAE",tblWardConfig[WardCode],0)),0)</f>
        <v>10</v>
      </c>
      <c r="O165" s="12">
        <f>B165+I165</f>
        <v>20</v>
      </c>
    </row>
    <row r="166" spans="1:16" x14ac:dyDescent="0.25">
      <c r="A166" s="3" t="s">
        <v>122</v>
      </c>
      <c r="B166" s="38" t="s">
        <v>119</v>
      </c>
      <c r="C166" s="29"/>
      <c r="D166" s="29"/>
      <c r="E166" s="29"/>
      <c r="F166" s="29"/>
      <c r="G166" s="29"/>
      <c r="H166" s="29"/>
      <c r="I166" s="40" t="s">
        <v>120</v>
      </c>
      <c r="J166" s="29"/>
      <c r="K166" s="29"/>
      <c r="L166" s="29"/>
      <c r="M166" s="29"/>
      <c r="N166" s="29"/>
      <c r="O166" s="29"/>
      <c r="P166" s="13" t="s">
        <v>112</v>
      </c>
    </row>
    <row r="167" spans="1:16" x14ac:dyDescent="0.25">
      <c r="A167" s="3" t="s">
        <v>122</v>
      </c>
      <c r="B167" s="3" t="s">
        <v>123</v>
      </c>
      <c r="C167" s="3" t="s">
        <v>124</v>
      </c>
      <c r="D167" s="3" t="s">
        <v>125</v>
      </c>
      <c r="E167" s="3" t="s">
        <v>126</v>
      </c>
      <c r="F167" s="3" t="s">
        <v>127</v>
      </c>
      <c r="G167" s="3" t="s">
        <v>128</v>
      </c>
      <c r="H167" s="3" t="s">
        <v>129</v>
      </c>
      <c r="I167" s="3" t="s">
        <v>123</v>
      </c>
      <c r="J167" s="3" t="s">
        <v>124</v>
      </c>
      <c r="K167" s="3" t="s">
        <v>125</v>
      </c>
      <c r="L167" s="3" t="s">
        <v>126</v>
      </c>
      <c r="M167" s="3" t="s">
        <v>127</v>
      </c>
      <c r="N167" s="3" t="s">
        <v>128</v>
      </c>
      <c r="O167" s="3" t="s">
        <v>129</v>
      </c>
      <c r="P167" s="3" t="s">
        <v>130</v>
      </c>
    </row>
    <row r="168" spans="1:16" x14ac:dyDescent="0.25">
      <c r="A168" s="14">
        <v>1</v>
      </c>
      <c r="B168" s="14" t="str">
        <f>IFERROR(IF(SUMIFS(tblDaily[Admissions],tblDaily[EntryDate],DATE(2026,5,1),tblDaily[WardCode],"MAE")=0,"",SUMIFS(tblDaily[Admissions],tblDaily[EntryDate],DATE(2026,5,1),tblDaily[WardCode],"MAE")),"")</f>
        <v/>
      </c>
      <c r="C168" s="14" t="str">
        <f>IFERROR(IF(SUMIFS(tblDaily[Discharges],tblDaily[EntryDate],DATE(2026,5,1),tblDaily[WardCode],"MAE")=0,"",SUMIFS(tblDaily[Discharges],tblDaily[EntryDate],DATE(2026,5,1),tblDaily[WardCode],"MAE")),"")</f>
        <v/>
      </c>
      <c r="D168" s="14" t="str">
        <f>IFERROR(IF(SUMIFS(tblDaily[Deaths],tblDaily[EntryDate],DATE(2026,5,1),tblDaily[WardCode],"MAE")=0,"",SUMIFS(tblDaily[Deaths],tblDaily[EntryDate],DATE(2026,5,1),tblDaily[WardCode],"MAE")),"")</f>
        <v/>
      </c>
      <c r="E168" s="14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14" t="str">
        <f>IFERROR(IF(SUMIFS(tblDaily[TransfersIn],tblDaily[EntryDate],DATE(2026,5,1),tblDaily[WardCode],"MAE")=0,"",SUMIFS(tblDaily[TransfersIn],tblDaily[EntryDate],DATE(2026,5,1),tblDaily[WardCode],"MAE")),"")</f>
        <v/>
      </c>
      <c r="G168" s="14" t="str">
        <f>IFERROR(IF(SUMIFS(tblDaily[TransfersOut],tblDaily[EntryDate],DATE(2026,5,1),tblDaily[WardCode],"MAE")=0,"",SUMIFS(tblDaily[TransfersOut],tblDaily[EntryDate],DATE(2026,5,1),tblDaily[WardCode],"MAE")),"")</f>
        <v/>
      </c>
      <c r="H168" s="14" t="str">
        <f>IFERROR(IF(SUMIFS(tblDaily[Remaining],tblDaily[EntryDate],DATE(2026,5,1),tblDaily[WardCode],"MAE")=0,"",SUMIFS(tblDaily[Remaining],tblDaily[EntryDate],DATE(2026,5,1),tblDaily[WardCode],"MAE")),"")</f>
        <v/>
      </c>
      <c r="I168" s="14" t="str">
        <f>IFERROR(IF(SUMIFS(tblDaily[Admissions],tblDaily[EntryDate],DATE(2026,5,1),tblDaily[WardCode],"FAE")=0,"",SUMIFS(tblDaily[Admissions],tblDaily[EntryDate],DATE(2026,5,1),tblDaily[WardCode],"FAE")),"")</f>
        <v/>
      </c>
      <c r="J168" s="14" t="str">
        <f>IFERROR(IF(SUMIFS(tblDaily[Discharges],tblDaily[EntryDate],DATE(2026,5,1),tblDaily[WardCode],"FAE")=0,"",SUMIFS(tblDaily[Discharges],tblDaily[EntryDate],DATE(2026,5,1),tblDaily[WardCode],"FAE")),"")</f>
        <v/>
      </c>
      <c r="K168" s="14" t="str">
        <f>IFERROR(IF(SUMIFS(tblDaily[Deaths],tblDaily[EntryDate],DATE(2026,5,1),tblDaily[WardCode],"FAE")=0,"",SUMIFS(tblDaily[Deaths],tblDaily[EntryDate],DATE(2026,5,1),tblDaily[WardCode],"FAE")),"")</f>
        <v/>
      </c>
      <c r="L168" s="14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14" t="str">
        <f>IFERROR(IF(SUMIFS(tblDaily[TransfersIn],tblDaily[EntryDate],DATE(2026,5,1),tblDaily[WardCode],"FAE")=0,"",SUMIFS(tblDaily[TransfersIn],tblDaily[EntryDate],DATE(2026,5,1),tblDaily[WardCode],"FAE")),"")</f>
        <v/>
      </c>
      <c r="N168" s="14" t="str">
        <f>IFERROR(IF(SUMIFS(tblDaily[TransfersOut],tblDaily[EntryDate],DATE(2026,5,1),tblDaily[WardCode],"FAE")=0,"",SUMIFS(tblDaily[TransfersOut],tblDaily[EntryDate],DATE(2026,5,1),tblDaily[WardCode],"FAE")),"")</f>
        <v/>
      </c>
      <c r="O168" s="14" t="str">
        <f>IFERROR(IF(SUMIFS(tblDaily[Remaining],tblDaily[EntryDate],DATE(2026,5,1),tblDaily[WardCode],"FAE")=0,"",SUMIFS(tblDaily[Remaining],tblDaily[EntryDate],DATE(2026,5,1),tblDaily[WardCode],"FAE")),"")</f>
        <v/>
      </c>
      <c r="P168" s="15" t="str">
        <f t="shared" ref="P168:P198" si="4">IF(AND(H168="", O168=""), "", N(H168) + N(O168))</f>
        <v/>
      </c>
    </row>
    <row r="169" spans="1:16" x14ac:dyDescent="0.25">
      <c r="A169" s="14">
        <v>2</v>
      </c>
      <c r="B169" s="14" t="str">
        <f>IFERROR(IF(SUMIFS(tblDaily[Admissions],tblDaily[EntryDate],DATE(2026,5,2),tblDaily[WardCode],"MAE")=0,"",SUMIFS(tblDaily[Admissions],tblDaily[EntryDate],DATE(2026,5,2),tblDaily[WardCode],"MAE")),"")</f>
        <v/>
      </c>
      <c r="C169" s="14" t="str">
        <f>IFERROR(IF(SUMIFS(tblDaily[Discharges],tblDaily[EntryDate],DATE(2026,5,2),tblDaily[WardCode],"MAE")=0,"",SUMIFS(tblDaily[Discharges],tblDaily[EntryDate],DATE(2026,5,2),tblDaily[WardCode],"MAE")),"")</f>
        <v/>
      </c>
      <c r="D169" s="14" t="str">
        <f>IFERROR(IF(SUMIFS(tblDaily[Deaths],tblDaily[EntryDate],DATE(2026,5,2),tblDaily[WardCode],"MAE")=0,"",SUMIFS(tblDaily[Deaths],tblDaily[EntryDate],DATE(2026,5,2),tblDaily[WardCode],"MAE")),"")</f>
        <v/>
      </c>
      <c r="E169" s="14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14" t="str">
        <f>IFERROR(IF(SUMIFS(tblDaily[TransfersIn],tblDaily[EntryDate],DATE(2026,5,2),tblDaily[WardCode],"MAE")=0,"",SUMIFS(tblDaily[TransfersIn],tblDaily[EntryDate],DATE(2026,5,2),tblDaily[WardCode],"MAE")),"")</f>
        <v/>
      </c>
      <c r="G169" s="14" t="str">
        <f>IFERROR(IF(SUMIFS(tblDaily[TransfersOut],tblDaily[EntryDate],DATE(2026,5,2),tblDaily[WardCode],"MAE")=0,"",SUMIFS(tblDaily[TransfersOut],tblDaily[EntryDate],DATE(2026,5,2),tblDaily[WardCode],"MAE")),"")</f>
        <v/>
      </c>
      <c r="H169" s="14" t="str">
        <f>IFERROR(IF(SUMIFS(tblDaily[Remaining],tblDaily[EntryDate],DATE(2026,5,2),tblDaily[WardCode],"MAE")=0,"",SUMIFS(tblDaily[Remaining],tblDaily[EntryDate],DATE(2026,5,2),tblDaily[WardCode],"MAE")),"")</f>
        <v/>
      </c>
      <c r="I169" s="14" t="str">
        <f>IFERROR(IF(SUMIFS(tblDaily[Admissions],tblDaily[EntryDate],DATE(2026,5,2),tblDaily[WardCode],"FAE")=0,"",SUMIFS(tblDaily[Admissions],tblDaily[EntryDate],DATE(2026,5,2),tblDaily[WardCode],"FAE")),"")</f>
        <v/>
      </c>
      <c r="J169" s="14" t="str">
        <f>IFERROR(IF(SUMIFS(tblDaily[Discharges],tblDaily[EntryDate],DATE(2026,5,2),tblDaily[WardCode],"FAE")=0,"",SUMIFS(tblDaily[Discharges],tblDaily[EntryDate],DATE(2026,5,2),tblDaily[WardCode],"FAE")),"")</f>
        <v/>
      </c>
      <c r="K169" s="14" t="str">
        <f>IFERROR(IF(SUMIFS(tblDaily[Deaths],tblDaily[EntryDate],DATE(2026,5,2),tblDaily[WardCode],"FAE")=0,"",SUMIFS(tblDaily[Deaths],tblDaily[EntryDate],DATE(2026,5,2),tblDaily[WardCode],"FAE")),"")</f>
        <v/>
      </c>
      <c r="L169" s="14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14" t="str">
        <f>IFERROR(IF(SUMIFS(tblDaily[TransfersIn],tblDaily[EntryDate],DATE(2026,5,2),tblDaily[WardCode],"FAE")=0,"",SUMIFS(tblDaily[TransfersIn],tblDaily[EntryDate],DATE(2026,5,2),tblDaily[WardCode],"FAE")),"")</f>
        <v/>
      </c>
      <c r="N169" s="14" t="str">
        <f>IFERROR(IF(SUMIFS(tblDaily[TransfersOut],tblDaily[EntryDate],DATE(2026,5,2),tblDaily[WardCode],"FAE")=0,"",SUMIFS(tblDaily[TransfersOut],tblDaily[EntryDate],DATE(2026,5,2),tblDaily[WardCode],"FAE")),"")</f>
        <v/>
      </c>
      <c r="O169" s="14" t="str">
        <f>IFERROR(IF(SUMIFS(tblDaily[Remaining],tblDaily[EntryDate],DATE(2026,5,2),tblDaily[WardCode],"FAE")=0,"",SUMIFS(tblDaily[Remaining],tblDaily[EntryDate],DATE(2026,5,2),tblDaily[WardCode],"FAE")),"")</f>
        <v/>
      </c>
      <c r="P169" s="15" t="str">
        <f t="shared" si="4"/>
        <v/>
      </c>
    </row>
    <row r="170" spans="1:16" x14ac:dyDescent="0.25">
      <c r="A170" s="14">
        <v>3</v>
      </c>
      <c r="B170" s="14" t="str">
        <f>IFERROR(IF(SUMIFS(tblDaily[Admissions],tblDaily[EntryDate],DATE(2026,5,3),tblDaily[WardCode],"MAE")=0,"",SUMIFS(tblDaily[Admissions],tblDaily[EntryDate],DATE(2026,5,3),tblDaily[WardCode],"MAE")),"")</f>
        <v/>
      </c>
      <c r="C170" s="14" t="str">
        <f>IFERROR(IF(SUMIFS(tblDaily[Discharges],tblDaily[EntryDate],DATE(2026,5,3),tblDaily[WardCode],"MAE")=0,"",SUMIFS(tblDaily[Discharges],tblDaily[EntryDate],DATE(2026,5,3),tblDaily[WardCode],"MAE")),"")</f>
        <v/>
      </c>
      <c r="D170" s="14" t="str">
        <f>IFERROR(IF(SUMIFS(tblDaily[Deaths],tblDaily[EntryDate],DATE(2026,5,3),tblDaily[WardCode],"MAE")=0,"",SUMIFS(tblDaily[Deaths],tblDaily[EntryDate],DATE(2026,5,3),tblDaily[WardCode],"MAE")),"")</f>
        <v/>
      </c>
      <c r="E170" s="14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14" t="str">
        <f>IFERROR(IF(SUMIFS(tblDaily[TransfersIn],tblDaily[EntryDate],DATE(2026,5,3),tblDaily[WardCode],"MAE")=0,"",SUMIFS(tblDaily[TransfersIn],tblDaily[EntryDate],DATE(2026,5,3),tblDaily[WardCode],"MAE")),"")</f>
        <v/>
      </c>
      <c r="G170" s="14" t="str">
        <f>IFERROR(IF(SUMIFS(tblDaily[TransfersOut],tblDaily[EntryDate],DATE(2026,5,3),tblDaily[WardCode],"MAE")=0,"",SUMIFS(tblDaily[TransfersOut],tblDaily[EntryDate],DATE(2026,5,3),tblDaily[WardCode],"MAE")),"")</f>
        <v/>
      </c>
      <c r="H170" s="14" t="str">
        <f>IFERROR(IF(SUMIFS(tblDaily[Remaining],tblDaily[EntryDate],DATE(2026,5,3),tblDaily[WardCode],"MAE")=0,"",SUMIFS(tblDaily[Remaining],tblDaily[EntryDate],DATE(2026,5,3),tblDaily[WardCode],"MAE")),"")</f>
        <v/>
      </c>
      <c r="I170" s="14" t="str">
        <f>IFERROR(IF(SUMIFS(tblDaily[Admissions],tblDaily[EntryDate],DATE(2026,5,3),tblDaily[WardCode],"FAE")=0,"",SUMIFS(tblDaily[Admissions],tblDaily[EntryDate],DATE(2026,5,3),tblDaily[WardCode],"FAE")),"")</f>
        <v/>
      </c>
      <c r="J170" s="14" t="str">
        <f>IFERROR(IF(SUMIFS(tblDaily[Discharges],tblDaily[EntryDate],DATE(2026,5,3),tblDaily[WardCode],"FAE")=0,"",SUMIFS(tblDaily[Discharges],tblDaily[EntryDate],DATE(2026,5,3),tblDaily[WardCode],"FAE")),"")</f>
        <v/>
      </c>
      <c r="K170" s="14" t="str">
        <f>IFERROR(IF(SUMIFS(tblDaily[Deaths],tblDaily[EntryDate],DATE(2026,5,3),tblDaily[WardCode],"FAE")=0,"",SUMIFS(tblDaily[Deaths],tblDaily[EntryDate],DATE(2026,5,3),tblDaily[WardCode],"FAE")),"")</f>
        <v/>
      </c>
      <c r="L170" s="14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14" t="str">
        <f>IFERROR(IF(SUMIFS(tblDaily[TransfersIn],tblDaily[EntryDate],DATE(2026,5,3),tblDaily[WardCode],"FAE")=0,"",SUMIFS(tblDaily[TransfersIn],tblDaily[EntryDate],DATE(2026,5,3),tblDaily[WardCode],"FAE")),"")</f>
        <v/>
      </c>
      <c r="N170" s="14" t="str">
        <f>IFERROR(IF(SUMIFS(tblDaily[TransfersOut],tblDaily[EntryDate],DATE(2026,5,3),tblDaily[WardCode],"FAE")=0,"",SUMIFS(tblDaily[TransfersOut],tblDaily[EntryDate],DATE(2026,5,3),tblDaily[WardCode],"FAE")),"")</f>
        <v/>
      </c>
      <c r="O170" s="14" t="str">
        <f>IFERROR(IF(SUMIFS(tblDaily[Remaining],tblDaily[EntryDate],DATE(2026,5,3),tblDaily[WardCode],"FAE")=0,"",SUMIFS(tblDaily[Remaining],tblDaily[EntryDate],DATE(2026,5,3),tblDaily[WardCode],"FAE")),"")</f>
        <v/>
      </c>
      <c r="P170" s="15" t="str">
        <f t="shared" si="4"/>
        <v/>
      </c>
    </row>
    <row r="171" spans="1:16" x14ac:dyDescent="0.25">
      <c r="A171" s="14">
        <v>4</v>
      </c>
      <c r="B171" s="14" t="str">
        <f>IFERROR(IF(SUMIFS(tblDaily[Admissions],tblDaily[EntryDate],DATE(2026,5,4),tblDaily[WardCode],"MAE")=0,"",SUMIFS(tblDaily[Admissions],tblDaily[EntryDate],DATE(2026,5,4),tblDaily[WardCode],"MAE")),"")</f>
        <v/>
      </c>
      <c r="C171" s="14" t="str">
        <f>IFERROR(IF(SUMIFS(tblDaily[Discharges],tblDaily[EntryDate],DATE(2026,5,4),tblDaily[WardCode],"MAE")=0,"",SUMIFS(tblDaily[Discharges],tblDaily[EntryDate],DATE(2026,5,4),tblDaily[WardCode],"MAE")),"")</f>
        <v/>
      </c>
      <c r="D171" s="14" t="str">
        <f>IFERROR(IF(SUMIFS(tblDaily[Deaths],tblDaily[EntryDate],DATE(2026,5,4),tblDaily[WardCode],"MAE")=0,"",SUMIFS(tblDaily[Deaths],tblDaily[EntryDate],DATE(2026,5,4),tblDaily[WardCode],"MAE")),"")</f>
        <v/>
      </c>
      <c r="E171" s="14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14" t="str">
        <f>IFERROR(IF(SUMIFS(tblDaily[TransfersIn],tblDaily[EntryDate],DATE(2026,5,4),tblDaily[WardCode],"MAE")=0,"",SUMIFS(tblDaily[TransfersIn],tblDaily[EntryDate],DATE(2026,5,4),tblDaily[WardCode],"MAE")),"")</f>
        <v/>
      </c>
      <c r="G171" s="14" t="str">
        <f>IFERROR(IF(SUMIFS(tblDaily[TransfersOut],tblDaily[EntryDate],DATE(2026,5,4),tblDaily[WardCode],"MAE")=0,"",SUMIFS(tblDaily[TransfersOut],tblDaily[EntryDate],DATE(2026,5,4),tblDaily[WardCode],"MAE")),"")</f>
        <v/>
      </c>
      <c r="H171" s="14" t="str">
        <f>IFERROR(IF(SUMIFS(tblDaily[Remaining],tblDaily[EntryDate],DATE(2026,5,4),tblDaily[WardCode],"MAE")=0,"",SUMIFS(tblDaily[Remaining],tblDaily[EntryDate],DATE(2026,5,4),tblDaily[WardCode],"MAE")),"")</f>
        <v/>
      </c>
      <c r="I171" s="14" t="str">
        <f>IFERROR(IF(SUMIFS(tblDaily[Admissions],tblDaily[EntryDate],DATE(2026,5,4),tblDaily[WardCode],"FAE")=0,"",SUMIFS(tblDaily[Admissions],tblDaily[EntryDate],DATE(2026,5,4),tblDaily[WardCode],"FAE")),"")</f>
        <v/>
      </c>
      <c r="J171" s="14" t="str">
        <f>IFERROR(IF(SUMIFS(tblDaily[Discharges],tblDaily[EntryDate],DATE(2026,5,4),tblDaily[WardCode],"FAE")=0,"",SUMIFS(tblDaily[Discharges],tblDaily[EntryDate],DATE(2026,5,4),tblDaily[WardCode],"FAE")),"")</f>
        <v/>
      </c>
      <c r="K171" s="14" t="str">
        <f>IFERROR(IF(SUMIFS(tblDaily[Deaths],tblDaily[EntryDate],DATE(2026,5,4),tblDaily[WardCode],"FAE")=0,"",SUMIFS(tblDaily[Deaths],tblDaily[EntryDate],DATE(2026,5,4),tblDaily[WardCode],"FAE")),"")</f>
        <v/>
      </c>
      <c r="L171" s="14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14" t="str">
        <f>IFERROR(IF(SUMIFS(tblDaily[TransfersIn],tblDaily[EntryDate],DATE(2026,5,4),tblDaily[WardCode],"FAE")=0,"",SUMIFS(tblDaily[TransfersIn],tblDaily[EntryDate],DATE(2026,5,4),tblDaily[WardCode],"FAE")),"")</f>
        <v/>
      </c>
      <c r="N171" s="14" t="str">
        <f>IFERROR(IF(SUMIFS(tblDaily[TransfersOut],tblDaily[EntryDate],DATE(2026,5,4),tblDaily[WardCode],"FAE")=0,"",SUMIFS(tblDaily[TransfersOut],tblDaily[EntryDate],DATE(2026,5,4),tblDaily[WardCode],"FAE")),"")</f>
        <v/>
      </c>
      <c r="O171" s="14" t="str">
        <f>IFERROR(IF(SUMIFS(tblDaily[Remaining],tblDaily[EntryDate],DATE(2026,5,4),tblDaily[WardCode],"FAE")=0,"",SUMIFS(tblDaily[Remaining],tblDaily[EntryDate],DATE(2026,5,4),tblDaily[WardCode],"FAE")),"")</f>
        <v/>
      </c>
      <c r="P171" s="15" t="str">
        <f t="shared" si="4"/>
        <v/>
      </c>
    </row>
    <row r="172" spans="1:16" x14ac:dyDescent="0.25">
      <c r="A172" s="14">
        <v>5</v>
      </c>
      <c r="B172" s="14" t="str">
        <f>IFERROR(IF(SUMIFS(tblDaily[Admissions],tblDaily[EntryDate],DATE(2026,5,5),tblDaily[WardCode],"MAE")=0,"",SUMIFS(tblDaily[Admissions],tblDaily[EntryDate],DATE(2026,5,5),tblDaily[WardCode],"MAE")),"")</f>
        <v/>
      </c>
      <c r="C172" s="14" t="str">
        <f>IFERROR(IF(SUMIFS(tblDaily[Discharges],tblDaily[EntryDate],DATE(2026,5,5),tblDaily[WardCode],"MAE")=0,"",SUMIFS(tblDaily[Discharges],tblDaily[EntryDate],DATE(2026,5,5),tblDaily[WardCode],"MAE")),"")</f>
        <v/>
      </c>
      <c r="D172" s="14" t="str">
        <f>IFERROR(IF(SUMIFS(tblDaily[Deaths],tblDaily[EntryDate],DATE(2026,5,5),tblDaily[WardCode],"MAE")=0,"",SUMIFS(tblDaily[Deaths],tblDaily[EntryDate],DATE(2026,5,5),tblDaily[WardCode],"MAE")),"")</f>
        <v/>
      </c>
      <c r="E172" s="14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14" t="str">
        <f>IFERROR(IF(SUMIFS(tblDaily[TransfersIn],tblDaily[EntryDate],DATE(2026,5,5),tblDaily[WardCode],"MAE")=0,"",SUMIFS(tblDaily[TransfersIn],tblDaily[EntryDate],DATE(2026,5,5),tblDaily[WardCode],"MAE")),"")</f>
        <v/>
      </c>
      <c r="G172" s="14" t="str">
        <f>IFERROR(IF(SUMIFS(tblDaily[TransfersOut],tblDaily[EntryDate],DATE(2026,5,5),tblDaily[WardCode],"MAE")=0,"",SUMIFS(tblDaily[TransfersOut],tblDaily[EntryDate],DATE(2026,5,5),tblDaily[WardCode],"MAE")),"")</f>
        <v/>
      </c>
      <c r="H172" s="14" t="str">
        <f>IFERROR(IF(SUMIFS(tblDaily[Remaining],tblDaily[EntryDate],DATE(2026,5,5),tblDaily[WardCode],"MAE")=0,"",SUMIFS(tblDaily[Remaining],tblDaily[EntryDate],DATE(2026,5,5),tblDaily[WardCode],"MAE")),"")</f>
        <v/>
      </c>
      <c r="I172" s="14" t="str">
        <f>IFERROR(IF(SUMIFS(tblDaily[Admissions],tblDaily[EntryDate],DATE(2026,5,5),tblDaily[WardCode],"FAE")=0,"",SUMIFS(tblDaily[Admissions],tblDaily[EntryDate],DATE(2026,5,5),tblDaily[WardCode],"FAE")),"")</f>
        <v/>
      </c>
      <c r="J172" s="14" t="str">
        <f>IFERROR(IF(SUMIFS(tblDaily[Discharges],tblDaily[EntryDate],DATE(2026,5,5),tblDaily[WardCode],"FAE")=0,"",SUMIFS(tblDaily[Discharges],tblDaily[EntryDate],DATE(2026,5,5),tblDaily[WardCode],"FAE")),"")</f>
        <v/>
      </c>
      <c r="K172" s="14" t="str">
        <f>IFERROR(IF(SUMIFS(tblDaily[Deaths],tblDaily[EntryDate],DATE(2026,5,5),tblDaily[WardCode],"FAE")=0,"",SUMIFS(tblDaily[Deaths],tblDaily[EntryDate],DATE(2026,5,5),tblDaily[WardCode],"FAE")),"")</f>
        <v/>
      </c>
      <c r="L172" s="14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14" t="str">
        <f>IFERROR(IF(SUMIFS(tblDaily[TransfersIn],tblDaily[EntryDate],DATE(2026,5,5),tblDaily[WardCode],"FAE")=0,"",SUMIFS(tblDaily[TransfersIn],tblDaily[EntryDate],DATE(2026,5,5),tblDaily[WardCode],"FAE")),"")</f>
        <v/>
      </c>
      <c r="N172" s="14" t="str">
        <f>IFERROR(IF(SUMIFS(tblDaily[TransfersOut],tblDaily[EntryDate],DATE(2026,5,5),tblDaily[WardCode],"FAE")=0,"",SUMIFS(tblDaily[TransfersOut],tblDaily[EntryDate],DATE(2026,5,5),tblDaily[WardCode],"FAE")),"")</f>
        <v/>
      </c>
      <c r="O172" s="14" t="str">
        <f>IFERROR(IF(SUMIFS(tblDaily[Remaining],tblDaily[EntryDate],DATE(2026,5,5),tblDaily[WardCode],"FAE")=0,"",SUMIFS(tblDaily[Remaining],tblDaily[EntryDate],DATE(2026,5,5),tblDaily[WardCode],"FAE")),"")</f>
        <v/>
      </c>
      <c r="P172" s="15" t="str">
        <f t="shared" si="4"/>
        <v/>
      </c>
    </row>
    <row r="173" spans="1:16" x14ac:dyDescent="0.25">
      <c r="A173" s="14">
        <v>6</v>
      </c>
      <c r="B173" s="14" t="str">
        <f>IFERROR(IF(SUMIFS(tblDaily[Admissions],tblDaily[EntryDate],DATE(2026,5,6),tblDaily[WardCode],"MAE")=0,"",SUMIFS(tblDaily[Admissions],tblDaily[EntryDate],DATE(2026,5,6),tblDaily[WardCode],"MAE")),"")</f>
        <v/>
      </c>
      <c r="C173" s="14" t="str">
        <f>IFERROR(IF(SUMIFS(tblDaily[Discharges],tblDaily[EntryDate],DATE(2026,5,6),tblDaily[WardCode],"MAE")=0,"",SUMIFS(tblDaily[Discharges],tblDaily[EntryDate],DATE(2026,5,6),tblDaily[WardCode],"MAE")),"")</f>
        <v/>
      </c>
      <c r="D173" s="14" t="str">
        <f>IFERROR(IF(SUMIFS(tblDaily[Deaths],tblDaily[EntryDate],DATE(2026,5,6),tblDaily[WardCode],"MAE")=0,"",SUMIFS(tblDaily[Deaths],tblDaily[EntryDate],DATE(2026,5,6),tblDaily[WardCode],"MAE")),"")</f>
        <v/>
      </c>
      <c r="E173" s="14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14" t="str">
        <f>IFERROR(IF(SUMIFS(tblDaily[TransfersIn],tblDaily[EntryDate],DATE(2026,5,6),tblDaily[WardCode],"MAE")=0,"",SUMIFS(tblDaily[TransfersIn],tblDaily[EntryDate],DATE(2026,5,6),tblDaily[WardCode],"MAE")),"")</f>
        <v/>
      </c>
      <c r="G173" s="14" t="str">
        <f>IFERROR(IF(SUMIFS(tblDaily[TransfersOut],tblDaily[EntryDate],DATE(2026,5,6),tblDaily[WardCode],"MAE")=0,"",SUMIFS(tblDaily[TransfersOut],tblDaily[EntryDate],DATE(2026,5,6),tblDaily[WardCode],"MAE")),"")</f>
        <v/>
      </c>
      <c r="H173" s="14" t="str">
        <f>IFERROR(IF(SUMIFS(tblDaily[Remaining],tblDaily[EntryDate],DATE(2026,5,6),tblDaily[WardCode],"MAE")=0,"",SUMIFS(tblDaily[Remaining],tblDaily[EntryDate],DATE(2026,5,6),tblDaily[WardCode],"MAE")),"")</f>
        <v/>
      </c>
      <c r="I173" s="14" t="str">
        <f>IFERROR(IF(SUMIFS(tblDaily[Admissions],tblDaily[EntryDate],DATE(2026,5,6),tblDaily[WardCode],"FAE")=0,"",SUMIFS(tblDaily[Admissions],tblDaily[EntryDate],DATE(2026,5,6),tblDaily[WardCode],"FAE")),"")</f>
        <v/>
      </c>
      <c r="J173" s="14" t="str">
        <f>IFERROR(IF(SUMIFS(tblDaily[Discharges],tblDaily[EntryDate],DATE(2026,5,6),tblDaily[WardCode],"FAE")=0,"",SUMIFS(tblDaily[Discharges],tblDaily[EntryDate],DATE(2026,5,6),tblDaily[WardCode],"FAE")),"")</f>
        <v/>
      </c>
      <c r="K173" s="14" t="str">
        <f>IFERROR(IF(SUMIFS(tblDaily[Deaths],tblDaily[EntryDate],DATE(2026,5,6),tblDaily[WardCode],"FAE")=0,"",SUMIFS(tblDaily[Deaths],tblDaily[EntryDate],DATE(2026,5,6),tblDaily[WardCode],"FAE")),"")</f>
        <v/>
      </c>
      <c r="L173" s="14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14" t="str">
        <f>IFERROR(IF(SUMIFS(tblDaily[TransfersIn],tblDaily[EntryDate],DATE(2026,5,6),tblDaily[WardCode],"FAE")=0,"",SUMIFS(tblDaily[TransfersIn],tblDaily[EntryDate],DATE(2026,5,6),tblDaily[WardCode],"FAE")),"")</f>
        <v/>
      </c>
      <c r="N173" s="14" t="str">
        <f>IFERROR(IF(SUMIFS(tblDaily[TransfersOut],tblDaily[EntryDate],DATE(2026,5,6),tblDaily[WardCode],"FAE")=0,"",SUMIFS(tblDaily[TransfersOut],tblDaily[EntryDate],DATE(2026,5,6),tblDaily[WardCode],"FAE")),"")</f>
        <v/>
      </c>
      <c r="O173" s="14" t="str">
        <f>IFERROR(IF(SUMIFS(tblDaily[Remaining],tblDaily[EntryDate],DATE(2026,5,6),tblDaily[WardCode],"FAE")=0,"",SUMIFS(tblDaily[Remaining],tblDaily[EntryDate],DATE(2026,5,6),tblDaily[WardCode],"FAE")),"")</f>
        <v/>
      </c>
      <c r="P173" s="15" t="str">
        <f t="shared" si="4"/>
        <v/>
      </c>
    </row>
    <row r="174" spans="1:16" x14ac:dyDescent="0.25">
      <c r="A174" s="14">
        <v>7</v>
      </c>
      <c r="B174" s="14" t="str">
        <f>IFERROR(IF(SUMIFS(tblDaily[Admissions],tblDaily[EntryDate],DATE(2026,5,7),tblDaily[WardCode],"MAE")=0,"",SUMIFS(tblDaily[Admissions],tblDaily[EntryDate],DATE(2026,5,7),tblDaily[WardCode],"MAE")),"")</f>
        <v/>
      </c>
      <c r="C174" s="14" t="str">
        <f>IFERROR(IF(SUMIFS(tblDaily[Discharges],tblDaily[EntryDate],DATE(2026,5,7),tblDaily[WardCode],"MAE")=0,"",SUMIFS(tblDaily[Discharges],tblDaily[EntryDate],DATE(2026,5,7),tblDaily[WardCode],"MAE")),"")</f>
        <v/>
      </c>
      <c r="D174" s="14" t="str">
        <f>IFERROR(IF(SUMIFS(tblDaily[Deaths],tblDaily[EntryDate],DATE(2026,5,7),tblDaily[WardCode],"MAE")=0,"",SUMIFS(tblDaily[Deaths],tblDaily[EntryDate],DATE(2026,5,7),tblDaily[WardCode],"MAE")),"")</f>
        <v/>
      </c>
      <c r="E174" s="14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14" t="str">
        <f>IFERROR(IF(SUMIFS(tblDaily[TransfersIn],tblDaily[EntryDate],DATE(2026,5,7),tblDaily[WardCode],"MAE")=0,"",SUMIFS(tblDaily[TransfersIn],tblDaily[EntryDate],DATE(2026,5,7),tblDaily[WardCode],"MAE")),"")</f>
        <v/>
      </c>
      <c r="G174" s="14" t="str">
        <f>IFERROR(IF(SUMIFS(tblDaily[TransfersOut],tblDaily[EntryDate],DATE(2026,5,7),tblDaily[WardCode],"MAE")=0,"",SUMIFS(tblDaily[TransfersOut],tblDaily[EntryDate],DATE(2026,5,7),tblDaily[WardCode],"MAE")),"")</f>
        <v/>
      </c>
      <c r="H174" s="14" t="str">
        <f>IFERROR(IF(SUMIFS(tblDaily[Remaining],tblDaily[EntryDate],DATE(2026,5,7),tblDaily[WardCode],"MAE")=0,"",SUMIFS(tblDaily[Remaining],tblDaily[EntryDate],DATE(2026,5,7),tblDaily[WardCode],"MAE")),"")</f>
        <v/>
      </c>
      <c r="I174" s="14" t="str">
        <f>IFERROR(IF(SUMIFS(tblDaily[Admissions],tblDaily[EntryDate],DATE(2026,5,7),tblDaily[WardCode],"FAE")=0,"",SUMIFS(tblDaily[Admissions],tblDaily[EntryDate],DATE(2026,5,7),tblDaily[WardCode],"FAE")),"")</f>
        <v/>
      </c>
      <c r="J174" s="14" t="str">
        <f>IFERROR(IF(SUMIFS(tblDaily[Discharges],tblDaily[EntryDate],DATE(2026,5,7),tblDaily[WardCode],"FAE")=0,"",SUMIFS(tblDaily[Discharges],tblDaily[EntryDate],DATE(2026,5,7),tblDaily[WardCode],"FAE")),"")</f>
        <v/>
      </c>
      <c r="K174" s="14" t="str">
        <f>IFERROR(IF(SUMIFS(tblDaily[Deaths],tblDaily[EntryDate],DATE(2026,5,7),tblDaily[WardCode],"FAE")=0,"",SUMIFS(tblDaily[Deaths],tblDaily[EntryDate],DATE(2026,5,7),tblDaily[WardCode],"FAE")),"")</f>
        <v/>
      </c>
      <c r="L174" s="14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14" t="str">
        <f>IFERROR(IF(SUMIFS(tblDaily[TransfersIn],tblDaily[EntryDate],DATE(2026,5,7),tblDaily[WardCode],"FAE")=0,"",SUMIFS(tblDaily[TransfersIn],tblDaily[EntryDate],DATE(2026,5,7),tblDaily[WardCode],"FAE")),"")</f>
        <v/>
      </c>
      <c r="N174" s="14" t="str">
        <f>IFERROR(IF(SUMIFS(tblDaily[TransfersOut],tblDaily[EntryDate],DATE(2026,5,7),tblDaily[WardCode],"FAE")=0,"",SUMIFS(tblDaily[TransfersOut],tblDaily[EntryDate],DATE(2026,5,7),tblDaily[WardCode],"FAE")),"")</f>
        <v/>
      </c>
      <c r="O174" s="14" t="str">
        <f>IFERROR(IF(SUMIFS(tblDaily[Remaining],tblDaily[EntryDate],DATE(2026,5,7),tblDaily[WardCode],"FAE")=0,"",SUMIFS(tblDaily[Remaining],tblDaily[EntryDate],DATE(2026,5,7),tblDaily[WardCode],"FAE")),"")</f>
        <v/>
      </c>
      <c r="P174" s="15" t="str">
        <f t="shared" si="4"/>
        <v/>
      </c>
    </row>
    <row r="175" spans="1:16" x14ac:dyDescent="0.25">
      <c r="A175" s="14">
        <v>8</v>
      </c>
      <c r="B175" s="14" t="str">
        <f>IFERROR(IF(SUMIFS(tblDaily[Admissions],tblDaily[EntryDate],DATE(2026,5,8),tblDaily[WardCode],"MAE")=0,"",SUMIFS(tblDaily[Admissions],tblDaily[EntryDate],DATE(2026,5,8),tblDaily[WardCode],"MAE")),"")</f>
        <v/>
      </c>
      <c r="C175" s="14" t="str">
        <f>IFERROR(IF(SUMIFS(tblDaily[Discharges],tblDaily[EntryDate],DATE(2026,5,8),tblDaily[WardCode],"MAE")=0,"",SUMIFS(tblDaily[Discharges],tblDaily[EntryDate],DATE(2026,5,8),tblDaily[WardCode],"MAE")),"")</f>
        <v/>
      </c>
      <c r="D175" s="14" t="str">
        <f>IFERROR(IF(SUMIFS(tblDaily[Deaths],tblDaily[EntryDate],DATE(2026,5,8),tblDaily[WardCode],"MAE")=0,"",SUMIFS(tblDaily[Deaths],tblDaily[EntryDate],DATE(2026,5,8),tblDaily[WardCode],"MAE")),"")</f>
        <v/>
      </c>
      <c r="E175" s="14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14" t="str">
        <f>IFERROR(IF(SUMIFS(tblDaily[TransfersIn],tblDaily[EntryDate],DATE(2026,5,8),tblDaily[WardCode],"MAE")=0,"",SUMIFS(tblDaily[TransfersIn],tblDaily[EntryDate],DATE(2026,5,8),tblDaily[WardCode],"MAE")),"")</f>
        <v/>
      </c>
      <c r="G175" s="14" t="str">
        <f>IFERROR(IF(SUMIFS(tblDaily[TransfersOut],tblDaily[EntryDate],DATE(2026,5,8),tblDaily[WardCode],"MAE")=0,"",SUMIFS(tblDaily[TransfersOut],tblDaily[EntryDate],DATE(2026,5,8),tblDaily[WardCode],"MAE")),"")</f>
        <v/>
      </c>
      <c r="H175" s="14" t="str">
        <f>IFERROR(IF(SUMIFS(tblDaily[Remaining],tblDaily[EntryDate],DATE(2026,5,8),tblDaily[WardCode],"MAE")=0,"",SUMIFS(tblDaily[Remaining],tblDaily[EntryDate],DATE(2026,5,8),tblDaily[WardCode],"MAE")),"")</f>
        <v/>
      </c>
      <c r="I175" s="14" t="str">
        <f>IFERROR(IF(SUMIFS(tblDaily[Admissions],tblDaily[EntryDate],DATE(2026,5,8),tblDaily[WardCode],"FAE")=0,"",SUMIFS(tblDaily[Admissions],tblDaily[EntryDate],DATE(2026,5,8),tblDaily[WardCode],"FAE")),"")</f>
        <v/>
      </c>
      <c r="J175" s="14" t="str">
        <f>IFERROR(IF(SUMIFS(tblDaily[Discharges],tblDaily[EntryDate],DATE(2026,5,8),tblDaily[WardCode],"FAE")=0,"",SUMIFS(tblDaily[Discharges],tblDaily[EntryDate],DATE(2026,5,8),tblDaily[WardCode],"FAE")),"")</f>
        <v/>
      </c>
      <c r="K175" s="14" t="str">
        <f>IFERROR(IF(SUMIFS(tblDaily[Deaths],tblDaily[EntryDate],DATE(2026,5,8),tblDaily[WardCode],"FAE")=0,"",SUMIFS(tblDaily[Deaths],tblDaily[EntryDate],DATE(2026,5,8),tblDaily[WardCode],"FAE")),"")</f>
        <v/>
      </c>
      <c r="L175" s="14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14" t="str">
        <f>IFERROR(IF(SUMIFS(tblDaily[TransfersIn],tblDaily[EntryDate],DATE(2026,5,8),tblDaily[WardCode],"FAE")=0,"",SUMIFS(tblDaily[TransfersIn],tblDaily[EntryDate],DATE(2026,5,8),tblDaily[WardCode],"FAE")),"")</f>
        <v/>
      </c>
      <c r="N175" s="14" t="str">
        <f>IFERROR(IF(SUMIFS(tblDaily[TransfersOut],tblDaily[EntryDate],DATE(2026,5,8),tblDaily[WardCode],"FAE")=0,"",SUMIFS(tblDaily[TransfersOut],tblDaily[EntryDate],DATE(2026,5,8),tblDaily[WardCode],"FAE")),"")</f>
        <v/>
      </c>
      <c r="O175" s="14" t="str">
        <f>IFERROR(IF(SUMIFS(tblDaily[Remaining],tblDaily[EntryDate],DATE(2026,5,8),tblDaily[WardCode],"FAE")=0,"",SUMIFS(tblDaily[Remaining],tblDaily[EntryDate],DATE(2026,5,8),tblDaily[WardCode],"FAE")),"")</f>
        <v/>
      </c>
      <c r="P175" s="15" t="str">
        <f t="shared" si="4"/>
        <v/>
      </c>
    </row>
    <row r="176" spans="1:16" x14ac:dyDescent="0.25">
      <c r="A176" s="14">
        <v>9</v>
      </c>
      <c r="B176" s="14" t="str">
        <f>IFERROR(IF(SUMIFS(tblDaily[Admissions],tblDaily[EntryDate],DATE(2026,5,9),tblDaily[WardCode],"MAE")=0,"",SUMIFS(tblDaily[Admissions],tblDaily[EntryDate],DATE(2026,5,9),tblDaily[WardCode],"MAE")),"")</f>
        <v/>
      </c>
      <c r="C176" s="14" t="str">
        <f>IFERROR(IF(SUMIFS(tblDaily[Discharges],tblDaily[EntryDate],DATE(2026,5,9),tblDaily[WardCode],"MAE")=0,"",SUMIFS(tblDaily[Discharges],tblDaily[EntryDate],DATE(2026,5,9),tblDaily[WardCode],"MAE")),"")</f>
        <v/>
      </c>
      <c r="D176" s="14" t="str">
        <f>IFERROR(IF(SUMIFS(tblDaily[Deaths],tblDaily[EntryDate],DATE(2026,5,9),tblDaily[WardCode],"MAE")=0,"",SUMIFS(tblDaily[Deaths],tblDaily[EntryDate],DATE(2026,5,9),tblDaily[WardCode],"MAE")),"")</f>
        <v/>
      </c>
      <c r="E176" s="14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14" t="str">
        <f>IFERROR(IF(SUMIFS(tblDaily[TransfersIn],tblDaily[EntryDate],DATE(2026,5,9),tblDaily[WardCode],"MAE")=0,"",SUMIFS(tblDaily[TransfersIn],tblDaily[EntryDate],DATE(2026,5,9),tblDaily[WardCode],"MAE")),"")</f>
        <v/>
      </c>
      <c r="G176" s="14" t="str">
        <f>IFERROR(IF(SUMIFS(tblDaily[TransfersOut],tblDaily[EntryDate],DATE(2026,5,9),tblDaily[WardCode],"MAE")=0,"",SUMIFS(tblDaily[TransfersOut],tblDaily[EntryDate],DATE(2026,5,9),tblDaily[WardCode],"MAE")),"")</f>
        <v/>
      </c>
      <c r="H176" s="14" t="str">
        <f>IFERROR(IF(SUMIFS(tblDaily[Remaining],tblDaily[EntryDate],DATE(2026,5,9),tblDaily[WardCode],"MAE")=0,"",SUMIFS(tblDaily[Remaining],tblDaily[EntryDate],DATE(2026,5,9),tblDaily[WardCode],"MAE")),"")</f>
        <v/>
      </c>
      <c r="I176" s="14" t="str">
        <f>IFERROR(IF(SUMIFS(tblDaily[Admissions],tblDaily[EntryDate],DATE(2026,5,9),tblDaily[WardCode],"FAE")=0,"",SUMIFS(tblDaily[Admissions],tblDaily[EntryDate],DATE(2026,5,9),tblDaily[WardCode],"FAE")),"")</f>
        <v/>
      </c>
      <c r="J176" s="14" t="str">
        <f>IFERROR(IF(SUMIFS(tblDaily[Discharges],tblDaily[EntryDate],DATE(2026,5,9),tblDaily[WardCode],"FAE")=0,"",SUMIFS(tblDaily[Discharges],tblDaily[EntryDate],DATE(2026,5,9),tblDaily[WardCode],"FAE")),"")</f>
        <v/>
      </c>
      <c r="K176" s="14" t="str">
        <f>IFERROR(IF(SUMIFS(tblDaily[Deaths],tblDaily[EntryDate],DATE(2026,5,9),tblDaily[WardCode],"FAE")=0,"",SUMIFS(tblDaily[Deaths],tblDaily[EntryDate],DATE(2026,5,9),tblDaily[WardCode],"FAE")),"")</f>
        <v/>
      </c>
      <c r="L176" s="14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14" t="str">
        <f>IFERROR(IF(SUMIFS(tblDaily[TransfersIn],tblDaily[EntryDate],DATE(2026,5,9),tblDaily[WardCode],"FAE")=0,"",SUMIFS(tblDaily[TransfersIn],tblDaily[EntryDate],DATE(2026,5,9),tblDaily[WardCode],"FAE")),"")</f>
        <v/>
      </c>
      <c r="N176" s="14" t="str">
        <f>IFERROR(IF(SUMIFS(tblDaily[TransfersOut],tblDaily[EntryDate],DATE(2026,5,9),tblDaily[WardCode],"FAE")=0,"",SUMIFS(tblDaily[TransfersOut],tblDaily[EntryDate],DATE(2026,5,9),tblDaily[WardCode],"FAE")),"")</f>
        <v/>
      </c>
      <c r="O176" s="14" t="str">
        <f>IFERROR(IF(SUMIFS(tblDaily[Remaining],tblDaily[EntryDate],DATE(2026,5,9),tblDaily[WardCode],"FAE")=0,"",SUMIFS(tblDaily[Remaining],tblDaily[EntryDate],DATE(2026,5,9),tblDaily[WardCode],"FAE")),"")</f>
        <v/>
      </c>
      <c r="P176" s="15" t="str">
        <f t="shared" si="4"/>
        <v/>
      </c>
    </row>
    <row r="177" spans="1:16" x14ac:dyDescent="0.25">
      <c r="A177" s="14">
        <v>10</v>
      </c>
      <c r="B177" s="14" t="str">
        <f>IFERROR(IF(SUMIFS(tblDaily[Admissions],tblDaily[EntryDate],DATE(2026,5,10),tblDaily[WardCode],"MAE")=0,"",SUMIFS(tblDaily[Admissions],tblDaily[EntryDate],DATE(2026,5,10),tblDaily[WardCode],"MAE")),"")</f>
        <v/>
      </c>
      <c r="C177" s="14" t="str">
        <f>IFERROR(IF(SUMIFS(tblDaily[Discharges],tblDaily[EntryDate],DATE(2026,5,10),tblDaily[WardCode],"MAE")=0,"",SUMIFS(tblDaily[Discharges],tblDaily[EntryDate],DATE(2026,5,10),tblDaily[WardCode],"MAE")),"")</f>
        <v/>
      </c>
      <c r="D177" s="14" t="str">
        <f>IFERROR(IF(SUMIFS(tblDaily[Deaths],tblDaily[EntryDate],DATE(2026,5,10),tblDaily[WardCode],"MAE")=0,"",SUMIFS(tblDaily[Deaths],tblDaily[EntryDate],DATE(2026,5,10),tblDaily[WardCode],"MAE")),"")</f>
        <v/>
      </c>
      <c r="E177" s="14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14" t="str">
        <f>IFERROR(IF(SUMIFS(tblDaily[TransfersIn],tblDaily[EntryDate],DATE(2026,5,10),tblDaily[WardCode],"MAE")=0,"",SUMIFS(tblDaily[TransfersIn],tblDaily[EntryDate],DATE(2026,5,10),tblDaily[WardCode],"MAE")),"")</f>
        <v/>
      </c>
      <c r="G177" s="14" t="str">
        <f>IFERROR(IF(SUMIFS(tblDaily[TransfersOut],tblDaily[EntryDate],DATE(2026,5,10),tblDaily[WardCode],"MAE")=0,"",SUMIFS(tblDaily[TransfersOut],tblDaily[EntryDate],DATE(2026,5,10),tblDaily[WardCode],"MAE")),"")</f>
        <v/>
      </c>
      <c r="H177" s="14" t="str">
        <f>IFERROR(IF(SUMIFS(tblDaily[Remaining],tblDaily[EntryDate],DATE(2026,5,10),tblDaily[WardCode],"MAE")=0,"",SUMIFS(tblDaily[Remaining],tblDaily[EntryDate],DATE(2026,5,10),tblDaily[WardCode],"MAE")),"")</f>
        <v/>
      </c>
      <c r="I177" s="14" t="str">
        <f>IFERROR(IF(SUMIFS(tblDaily[Admissions],tblDaily[EntryDate],DATE(2026,5,10),tblDaily[WardCode],"FAE")=0,"",SUMIFS(tblDaily[Admissions],tblDaily[EntryDate],DATE(2026,5,10),tblDaily[WardCode],"FAE")),"")</f>
        <v/>
      </c>
      <c r="J177" s="14" t="str">
        <f>IFERROR(IF(SUMIFS(tblDaily[Discharges],tblDaily[EntryDate],DATE(2026,5,10),tblDaily[WardCode],"FAE")=0,"",SUMIFS(tblDaily[Discharges],tblDaily[EntryDate],DATE(2026,5,10),tblDaily[WardCode],"FAE")),"")</f>
        <v/>
      </c>
      <c r="K177" s="14" t="str">
        <f>IFERROR(IF(SUMIFS(tblDaily[Deaths],tblDaily[EntryDate],DATE(2026,5,10),tblDaily[WardCode],"FAE")=0,"",SUMIFS(tblDaily[Deaths],tblDaily[EntryDate],DATE(2026,5,10),tblDaily[WardCode],"FAE")),"")</f>
        <v/>
      </c>
      <c r="L177" s="14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14" t="str">
        <f>IFERROR(IF(SUMIFS(tblDaily[TransfersIn],tblDaily[EntryDate],DATE(2026,5,10),tblDaily[WardCode],"FAE")=0,"",SUMIFS(tblDaily[TransfersIn],tblDaily[EntryDate],DATE(2026,5,10),tblDaily[WardCode],"FAE")),"")</f>
        <v/>
      </c>
      <c r="N177" s="14" t="str">
        <f>IFERROR(IF(SUMIFS(tblDaily[TransfersOut],tblDaily[EntryDate],DATE(2026,5,10),tblDaily[WardCode],"FAE")=0,"",SUMIFS(tblDaily[TransfersOut],tblDaily[EntryDate],DATE(2026,5,10),tblDaily[WardCode],"FAE")),"")</f>
        <v/>
      </c>
      <c r="O177" s="14" t="str">
        <f>IFERROR(IF(SUMIFS(tblDaily[Remaining],tblDaily[EntryDate],DATE(2026,5,10),tblDaily[WardCode],"FAE")=0,"",SUMIFS(tblDaily[Remaining],tblDaily[EntryDate],DATE(2026,5,10),tblDaily[WardCode],"FAE")),"")</f>
        <v/>
      </c>
      <c r="P177" s="15" t="str">
        <f t="shared" si="4"/>
        <v/>
      </c>
    </row>
    <row r="178" spans="1:16" x14ac:dyDescent="0.25">
      <c r="A178" s="14">
        <v>11</v>
      </c>
      <c r="B178" s="14" t="str">
        <f>IFERROR(IF(SUMIFS(tblDaily[Admissions],tblDaily[EntryDate],DATE(2026,5,11),tblDaily[WardCode],"MAE")=0,"",SUMIFS(tblDaily[Admissions],tblDaily[EntryDate],DATE(2026,5,11),tblDaily[WardCode],"MAE")),"")</f>
        <v/>
      </c>
      <c r="C178" s="14" t="str">
        <f>IFERROR(IF(SUMIFS(tblDaily[Discharges],tblDaily[EntryDate],DATE(2026,5,11),tblDaily[WardCode],"MAE")=0,"",SUMIFS(tblDaily[Discharges],tblDaily[EntryDate],DATE(2026,5,11),tblDaily[WardCode],"MAE")),"")</f>
        <v/>
      </c>
      <c r="D178" s="14" t="str">
        <f>IFERROR(IF(SUMIFS(tblDaily[Deaths],tblDaily[EntryDate],DATE(2026,5,11),tblDaily[WardCode],"MAE")=0,"",SUMIFS(tblDaily[Deaths],tblDaily[EntryDate],DATE(2026,5,11),tblDaily[WardCode],"MAE")),"")</f>
        <v/>
      </c>
      <c r="E178" s="14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14" t="str">
        <f>IFERROR(IF(SUMIFS(tblDaily[TransfersIn],tblDaily[EntryDate],DATE(2026,5,11),tblDaily[WardCode],"MAE")=0,"",SUMIFS(tblDaily[TransfersIn],tblDaily[EntryDate],DATE(2026,5,11),tblDaily[WardCode],"MAE")),"")</f>
        <v/>
      </c>
      <c r="G178" s="14" t="str">
        <f>IFERROR(IF(SUMIFS(tblDaily[TransfersOut],tblDaily[EntryDate],DATE(2026,5,11),tblDaily[WardCode],"MAE")=0,"",SUMIFS(tblDaily[TransfersOut],tblDaily[EntryDate],DATE(2026,5,11),tblDaily[WardCode],"MAE")),"")</f>
        <v/>
      </c>
      <c r="H178" s="14" t="str">
        <f>IFERROR(IF(SUMIFS(tblDaily[Remaining],tblDaily[EntryDate],DATE(2026,5,11),tblDaily[WardCode],"MAE")=0,"",SUMIFS(tblDaily[Remaining],tblDaily[EntryDate],DATE(2026,5,11),tblDaily[WardCode],"MAE")),"")</f>
        <v/>
      </c>
      <c r="I178" s="14" t="str">
        <f>IFERROR(IF(SUMIFS(tblDaily[Admissions],tblDaily[EntryDate],DATE(2026,5,11),tblDaily[WardCode],"FAE")=0,"",SUMIFS(tblDaily[Admissions],tblDaily[EntryDate],DATE(2026,5,11),tblDaily[WardCode],"FAE")),"")</f>
        <v/>
      </c>
      <c r="J178" s="14" t="str">
        <f>IFERROR(IF(SUMIFS(tblDaily[Discharges],tblDaily[EntryDate],DATE(2026,5,11),tblDaily[WardCode],"FAE")=0,"",SUMIFS(tblDaily[Discharges],tblDaily[EntryDate],DATE(2026,5,11),tblDaily[WardCode],"FAE")),"")</f>
        <v/>
      </c>
      <c r="K178" s="14" t="str">
        <f>IFERROR(IF(SUMIFS(tblDaily[Deaths],tblDaily[EntryDate],DATE(2026,5,11),tblDaily[WardCode],"FAE")=0,"",SUMIFS(tblDaily[Deaths],tblDaily[EntryDate],DATE(2026,5,11),tblDaily[WardCode],"FAE")),"")</f>
        <v/>
      </c>
      <c r="L178" s="14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14" t="str">
        <f>IFERROR(IF(SUMIFS(tblDaily[TransfersIn],tblDaily[EntryDate],DATE(2026,5,11),tblDaily[WardCode],"FAE")=0,"",SUMIFS(tblDaily[TransfersIn],tblDaily[EntryDate],DATE(2026,5,11),tblDaily[WardCode],"FAE")),"")</f>
        <v/>
      </c>
      <c r="N178" s="14" t="str">
        <f>IFERROR(IF(SUMIFS(tblDaily[TransfersOut],tblDaily[EntryDate],DATE(2026,5,11),tblDaily[WardCode],"FAE")=0,"",SUMIFS(tblDaily[TransfersOut],tblDaily[EntryDate],DATE(2026,5,11),tblDaily[WardCode],"FAE")),"")</f>
        <v/>
      </c>
      <c r="O178" s="14" t="str">
        <f>IFERROR(IF(SUMIFS(tblDaily[Remaining],tblDaily[EntryDate],DATE(2026,5,11),tblDaily[WardCode],"FAE")=0,"",SUMIFS(tblDaily[Remaining],tblDaily[EntryDate],DATE(2026,5,11),tblDaily[WardCode],"FAE")),"")</f>
        <v/>
      </c>
      <c r="P178" s="15" t="str">
        <f t="shared" si="4"/>
        <v/>
      </c>
    </row>
    <row r="179" spans="1:16" x14ac:dyDescent="0.25">
      <c r="A179" s="14">
        <v>12</v>
      </c>
      <c r="B179" s="14" t="str">
        <f>IFERROR(IF(SUMIFS(tblDaily[Admissions],tblDaily[EntryDate],DATE(2026,5,12),tblDaily[WardCode],"MAE")=0,"",SUMIFS(tblDaily[Admissions],tblDaily[EntryDate],DATE(2026,5,12),tblDaily[WardCode],"MAE")),"")</f>
        <v/>
      </c>
      <c r="C179" s="14" t="str">
        <f>IFERROR(IF(SUMIFS(tblDaily[Discharges],tblDaily[EntryDate],DATE(2026,5,12),tblDaily[WardCode],"MAE")=0,"",SUMIFS(tblDaily[Discharges],tblDaily[EntryDate],DATE(2026,5,12),tblDaily[WardCode],"MAE")),"")</f>
        <v/>
      </c>
      <c r="D179" s="14" t="str">
        <f>IFERROR(IF(SUMIFS(tblDaily[Deaths],tblDaily[EntryDate],DATE(2026,5,12),tblDaily[WardCode],"MAE")=0,"",SUMIFS(tblDaily[Deaths],tblDaily[EntryDate],DATE(2026,5,12),tblDaily[WardCode],"MAE")),"")</f>
        <v/>
      </c>
      <c r="E179" s="14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14" t="str">
        <f>IFERROR(IF(SUMIFS(tblDaily[TransfersIn],tblDaily[EntryDate],DATE(2026,5,12),tblDaily[WardCode],"MAE")=0,"",SUMIFS(tblDaily[TransfersIn],tblDaily[EntryDate],DATE(2026,5,12),tblDaily[WardCode],"MAE")),"")</f>
        <v/>
      </c>
      <c r="G179" s="14" t="str">
        <f>IFERROR(IF(SUMIFS(tblDaily[TransfersOut],tblDaily[EntryDate],DATE(2026,5,12),tblDaily[WardCode],"MAE")=0,"",SUMIFS(tblDaily[TransfersOut],tblDaily[EntryDate],DATE(2026,5,12),tblDaily[WardCode],"MAE")),"")</f>
        <v/>
      </c>
      <c r="H179" s="14" t="str">
        <f>IFERROR(IF(SUMIFS(tblDaily[Remaining],tblDaily[EntryDate],DATE(2026,5,12),tblDaily[WardCode],"MAE")=0,"",SUMIFS(tblDaily[Remaining],tblDaily[EntryDate],DATE(2026,5,12),tblDaily[WardCode],"MAE")),"")</f>
        <v/>
      </c>
      <c r="I179" s="14" t="str">
        <f>IFERROR(IF(SUMIFS(tblDaily[Admissions],tblDaily[EntryDate],DATE(2026,5,12),tblDaily[WardCode],"FAE")=0,"",SUMIFS(tblDaily[Admissions],tblDaily[EntryDate],DATE(2026,5,12),tblDaily[WardCode],"FAE")),"")</f>
        <v/>
      </c>
      <c r="J179" s="14" t="str">
        <f>IFERROR(IF(SUMIFS(tblDaily[Discharges],tblDaily[EntryDate],DATE(2026,5,12),tblDaily[WardCode],"FAE")=0,"",SUMIFS(tblDaily[Discharges],tblDaily[EntryDate],DATE(2026,5,12),tblDaily[WardCode],"FAE")),"")</f>
        <v/>
      </c>
      <c r="K179" s="14" t="str">
        <f>IFERROR(IF(SUMIFS(tblDaily[Deaths],tblDaily[EntryDate],DATE(2026,5,12),tblDaily[WardCode],"FAE")=0,"",SUMIFS(tblDaily[Deaths],tblDaily[EntryDate],DATE(2026,5,12),tblDaily[WardCode],"FAE")),"")</f>
        <v/>
      </c>
      <c r="L179" s="14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14" t="str">
        <f>IFERROR(IF(SUMIFS(tblDaily[TransfersIn],tblDaily[EntryDate],DATE(2026,5,12),tblDaily[WardCode],"FAE")=0,"",SUMIFS(tblDaily[TransfersIn],tblDaily[EntryDate],DATE(2026,5,12),tblDaily[WardCode],"FAE")),"")</f>
        <v/>
      </c>
      <c r="N179" s="14" t="str">
        <f>IFERROR(IF(SUMIFS(tblDaily[TransfersOut],tblDaily[EntryDate],DATE(2026,5,12),tblDaily[WardCode],"FAE")=0,"",SUMIFS(tblDaily[TransfersOut],tblDaily[EntryDate],DATE(2026,5,12),tblDaily[WardCode],"FAE")),"")</f>
        <v/>
      </c>
      <c r="O179" s="14" t="str">
        <f>IFERROR(IF(SUMIFS(tblDaily[Remaining],tblDaily[EntryDate],DATE(2026,5,12),tblDaily[WardCode],"FAE")=0,"",SUMIFS(tblDaily[Remaining],tblDaily[EntryDate],DATE(2026,5,12),tblDaily[WardCode],"FAE")),"")</f>
        <v/>
      </c>
      <c r="P179" s="15" t="str">
        <f t="shared" si="4"/>
        <v/>
      </c>
    </row>
    <row r="180" spans="1:16" x14ac:dyDescent="0.25">
      <c r="A180" s="14">
        <v>13</v>
      </c>
      <c r="B180" s="14" t="str">
        <f>IFERROR(IF(SUMIFS(tblDaily[Admissions],tblDaily[EntryDate],DATE(2026,5,13),tblDaily[WardCode],"MAE")=0,"",SUMIFS(tblDaily[Admissions],tblDaily[EntryDate],DATE(2026,5,13),tblDaily[WardCode],"MAE")),"")</f>
        <v/>
      </c>
      <c r="C180" s="14" t="str">
        <f>IFERROR(IF(SUMIFS(tblDaily[Discharges],tblDaily[EntryDate],DATE(2026,5,13),tblDaily[WardCode],"MAE")=0,"",SUMIFS(tblDaily[Discharges],tblDaily[EntryDate],DATE(2026,5,13),tblDaily[WardCode],"MAE")),"")</f>
        <v/>
      </c>
      <c r="D180" s="14" t="str">
        <f>IFERROR(IF(SUMIFS(tblDaily[Deaths],tblDaily[EntryDate],DATE(2026,5,13),tblDaily[WardCode],"MAE")=0,"",SUMIFS(tblDaily[Deaths],tblDaily[EntryDate],DATE(2026,5,13),tblDaily[WardCode],"MAE")),"")</f>
        <v/>
      </c>
      <c r="E180" s="14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14" t="str">
        <f>IFERROR(IF(SUMIFS(tblDaily[TransfersIn],tblDaily[EntryDate],DATE(2026,5,13),tblDaily[WardCode],"MAE")=0,"",SUMIFS(tblDaily[TransfersIn],tblDaily[EntryDate],DATE(2026,5,13),tblDaily[WardCode],"MAE")),"")</f>
        <v/>
      </c>
      <c r="G180" s="14" t="str">
        <f>IFERROR(IF(SUMIFS(tblDaily[TransfersOut],tblDaily[EntryDate],DATE(2026,5,13),tblDaily[WardCode],"MAE")=0,"",SUMIFS(tblDaily[TransfersOut],tblDaily[EntryDate],DATE(2026,5,13),tblDaily[WardCode],"MAE")),"")</f>
        <v/>
      </c>
      <c r="H180" s="14" t="str">
        <f>IFERROR(IF(SUMIFS(tblDaily[Remaining],tblDaily[EntryDate],DATE(2026,5,13),tblDaily[WardCode],"MAE")=0,"",SUMIFS(tblDaily[Remaining],tblDaily[EntryDate],DATE(2026,5,13),tblDaily[WardCode],"MAE")),"")</f>
        <v/>
      </c>
      <c r="I180" s="14" t="str">
        <f>IFERROR(IF(SUMIFS(tblDaily[Admissions],tblDaily[EntryDate],DATE(2026,5,13),tblDaily[WardCode],"FAE")=0,"",SUMIFS(tblDaily[Admissions],tblDaily[EntryDate],DATE(2026,5,13),tblDaily[WardCode],"FAE")),"")</f>
        <v/>
      </c>
      <c r="J180" s="14" t="str">
        <f>IFERROR(IF(SUMIFS(tblDaily[Discharges],tblDaily[EntryDate],DATE(2026,5,13),tblDaily[WardCode],"FAE")=0,"",SUMIFS(tblDaily[Discharges],tblDaily[EntryDate],DATE(2026,5,13),tblDaily[WardCode],"FAE")),"")</f>
        <v/>
      </c>
      <c r="K180" s="14" t="str">
        <f>IFERROR(IF(SUMIFS(tblDaily[Deaths],tblDaily[EntryDate],DATE(2026,5,13),tblDaily[WardCode],"FAE")=0,"",SUMIFS(tblDaily[Deaths],tblDaily[EntryDate],DATE(2026,5,13),tblDaily[WardCode],"FAE")),"")</f>
        <v/>
      </c>
      <c r="L180" s="14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14" t="str">
        <f>IFERROR(IF(SUMIFS(tblDaily[TransfersIn],tblDaily[EntryDate],DATE(2026,5,13),tblDaily[WardCode],"FAE")=0,"",SUMIFS(tblDaily[TransfersIn],tblDaily[EntryDate],DATE(2026,5,13),tblDaily[WardCode],"FAE")),"")</f>
        <v/>
      </c>
      <c r="N180" s="14" t="str">
        <f>IFERROR(IF(SUMIFS(tblDaily[TransfersOut],tblDaily[EntryDate],DATE(2026,5,13),tblDaily[WardCode],"FAE")=0,"",SUMIFS(tblDaily[TransfersOut],tblDaily[EntryDate],DATE(2026,5,13),tblDaily[WardCode],"FAE")),"")</f>
        <v/>
      </c>
      <c r="O180" s="14" t="str">
        <f>IFERROR(IF(SUMIFS(tblDaily[Remaining],tblDaily[EntryDate],DATE(2026,5,13),tblDaily[WardCode],"FAE")=0,"",SUMIFS(tblDaily[Remaining],tblDaily[EntryDate],DATE(2026,5,13),tblDaily[WardCode],"FAE")),"")</f>
        <v/>
      </c>
      <c r="P180" s="15" t="str">
        <f t="shared" si="4"/>
        <v/>
      </c>
    </row>
    <row r="181" spans="1:16" x14ac:dyDescent="0.25">
      <c r="A181" s="14">
        <v>14</v>
      </c>
      <c r="B181" s="14" t="str">
        <f>IFERROR(IF(SUMIFS(tblDaily[Admissions],tblDaily[EntryDate],DATE(2026,5,14),tblDaily[WardCode],"MAE")=0,"",SUMIFS(tblDaily[Admissions],tblDaily[EntryDate],DATE(2026,5,14),tblDaily[WardCode],"MAE")),"")</f>
        <v/>
      </c>
      <c r="C181" s="14" t="str">
        <f>IFERROR(IF(SUMIFS(tblDaily[Discharges],tblDaily[EntryDate],DATE(2026,5,14),tblDaily[WardCode],"MAE")=0,"",SUMIFS(tblDaily[Discharges],tblDaily[EntryDate],DATE(2026,5,14),tblDaily[WardCode],"MAE")),"")</f>
        <v/>
      </c>
      <c r="D181" s="14" t="str">
        <f>IFERROR(IF(SUMIFS(tblDaily[Deaths],tblDaily[EntryDate],DATE(2026,5,14),tblDaily[WardCode],"MAE")=0,"",SUMIFS(tblDaily[Deaths],tblDaily[EntryDate],DATE(2026,5,14),tblDaily[WardCode],"MAE")),"")</f>
        <v/>
      </c>
      <c r="E181" s="14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14" t="str">
        <f>IFERROR(IF(SUMIFS(tblDaily[TransfersIn],tblDaily[EntryDate],DATE(2026,5,14),tblDaily[WardCode],"MAE")=0,"",SUMIFS(tblDaily[TransfersIn],tblDaily[EntryDate],DATE(2026,5,14),tblDaily[WardCode],"MAE")),"")</f>
        <v/>
      </c>
      <c r="G181" s="14" t="str">
        <f>IFERROR(IF(SUMIFS(tblDaily[TransfersOut],tblDaily[EntryDate],DATE(2026,5,14),tblDaily[WardCode],"MAE")=0,"",SUMIFS(tblDaily[TransfersOut],tblDaily[EntryDate],DATE(2026,5,14),tblDaily[WardCode],"MAE")),"")</f>
        <v/>
      </c>
      <c r="H181" s="14" t="str">
        <f>IFERROR(IF(SUMIFS(tblDaily[Remaining],tblDaily[EntryDate],DATE(2026,5,14),tblDaily[WardCode],"MAE")=0,"",SUMIFS(tblDaily[Remaining],tblDaily[EntryDate],DATE(2026,5,14),tblDaily[WardCode],"MAE")),"")</f>
        <v/>
      </c>
      <c r="I181" s="14" t="str">
        <f>IFERROR(IF(SUMIFS(tblDaily[Admissions],tblDaily[EntryDate],DATE(2026,5,14),tblDaily[WardCode],"FAE")=0,"",SUMIFS(tblDaily[Admissions],tblDaily[EntryDate],DATE(2026,5,14),tblDaily[WardCode],"FAE")),"")</f>
        <v/>
      </c>
      <c r="J181" s="14" t="str">
        <f>IFERROR(IF(SUMIFS(tblDaily[Discharges],tblDaily[EntryDate],DATE(2026,5,14),tblDaily[WardCode],"FAE")=0,"",SUMIFS(tblDaily[Discharges],tblDaily[EntryDate],DATE(2026,5,14),tblDaily[WardCode],"FAE")),"")</f>
        <v/>
      </c>
      <c r="K181" s="14" t="str">
        <f>IFERROR(IF(SUMIFS(tblDaily[Deaths],tblDaily[EntryDate],DATE(2026,5,14),tblDaily[WardCode],"FAE")=0,"",SUMIFS(tblDaily[Deaths],tblDaily[EntryDate],DATE(2026,5,14),tblDaily[WardCode],"FAE")),"")</f>
        <v/>
      </c>
      <c r="L181" s="14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14" t="str">
        <f>IFERROR(IF(SUMIFS(tblDaily[TransfersIn],tblDaily[EntryDate],DATE(2026,5,14),tblDaily[WardCode],"FAE")=0,"",SUMIFS(tblDaily[TransfersIn],tblDaily[EntryDate],DATE(2026,5,14),tblDaily[WardCode],"FAE")),"")</f>
        <v/>
      </c>
      <c r="N181" s="14" t="str">
        <f>IFERROR(IF(SUMIFS(tblDaily[TransfersOut],tblDaily[EntryDate],DATE(2026,5,14),tblDaily[WardCode],"FAE")=0,"",SUMIFS(tblDaily[TransfersOut],tblDaily[EntryDate],DATE(2026,5,14),tblDaily[WardCode],"FAE")),"")</f>
        <v/>
      </c>
      <c r="O181" s="14" t="str">
        <f>IFERROR(IF(SUMIFS(tblDaily[Remaining],tblDaily[EntryDate],DATE(2026,5,14),tblDaily[WardCode],"FAE")=0,"",SUMIFS(tblDaily[Remaining],tblDaily[EntryDate],DATE(2026,5,14),tblDaily[WardCode],"FAE")),"")</f>
        <v/>
      </c>
      <c r="P181" s="15" t="str">
        <f t="shared" si="4"/>
        <v/>
      </c>
    </row>
    <row r="182" spans="1:16" x14ac:dyDescent="0.25">
      <c r="A182" s="14">
        <v>15</v>
      </c>
      <c r="B182" s="14" t="str">
        <f>IFERROR(IF(SUMIFS(tblDaily[Admissions],tblDaily[EntryDate],DATE(2026,5,15),tblDaily[WardCode],"MAE")=0,"",SUMIFS(tblDaily[Admissions],tblDaily[EntryDate],DATE(2026,5,15),tblDaily[WardCode],"MAE")),"")</f>
        <v/>
      </c>
      <c r="C182" s="14" t="str">
        <f>IFERROR(IF(SUMIFS(tblDaily[Discharges],tblDaily[EntryDate],DATE(2026,5,15),tblDaily[WardCode],"MAE")=0,"",SUMIFS(tblDaily[Discharges],tblDaily[EntryDate],DATE(2026,5,15),tblDaily[WardCode],"MAE")),"")</f>
        <v/>
      </c>
      <c r="D182" s="14" t="str">
        <f>IFERROR(IF(SUMIFS(tblDaily[Deaths],tblDaily[EntryDate],DATE(2026,5,15),tblDaily[WardCode],"MAE")=0,"",SUMIFS(tblDaily[Deaths],tblDaily[EntryDate],DATE(2026,5,15),tblDaily[WardCode],"MAE")),"")</f>
        <v/>
      </c>
      <c r="E182" s="14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14" t="str">
        <f>IFERROR(IF(SUMIFS(tblDaily[TransfersIn],tblDaily[EntryDate],DATE(2026,5,15),tblDaily[WardCode],"MAE")=0,"",SUMIFS(tblDaily[TransfersIn],tblDaily[EntryDate],DATE(2026,5,15),tblDaily[WardCode],"MAE")),"")</f>
        <v/>
      </c>
      <c r="G182" s="14" t="str">
        <f>IFERROR(IF(SUMIFS(tblDaily[TransfersOut],tblDaily[EntryDate],DATE(2026,5,15),tblDaily[WardCode],"MAE")=0,"",SUMIFS(tblDaily[TransfersOut],tblDaily[EntryDate],DATE(2026,5,15),tblDaily[WardCode],"MAE")),"")</f>
        <v/>
      </c>
      <c r="H182" s="14" t="str">
        <f>IFERROR(IF(SUMIFS(tblDaily[Remaining],tblDaily[EntryDate],DATE(2026,5,15),tblDaily[WardCode],"MAE")=0,"",SUMIFS(tblDaily[Remaining],tblDaily[EntryDate],DATE(2026,5,15),tblDaily[WardCode],"MAE")),"")</f>
        <v/>
      </c>
      <c r="I182" s="14" t="str">
        <f>IFERROR(IF(SUMIFS(tblDaily[Admissions],tblDaily[EntryDate],DATE(2026,5,15),tblDaily[WardCode],"FAE")=0,"",SUMIFS(tblDaily[Admissions],tblDaily[EntryDate],DATE(2026,5,15),tblDaily[WardCode],"FAE")),"")</f>
        <v/>
      </c>
      <c r="J182" s="14" t="str">
        <f>IFERROR(IF(SUMIFS(tblDaily[Discharges],tblDaily[EntryDate],DATE(2026,5,15),tblDaily[WardCode],"FAE")=0,"",SUMIFS(tblDaily[Discharges],tblDaily[EntryDate],DATE(2026,5,15),tblDaily[WardCode],"FAE")),"")</f>
        <v/>
      </c>
      <c r="K182" s="14" t="str">
        <f>IFERROR(IF(SUMIFS(tblDaily[Deaths],tblDaily[EntryDate],DATE(2026,5,15),tblDaily[WardCode],"FAE")=0,"",SUMIFS(tblDaily[Deaths],tblDaily[EntryDate],DATE(2026,5,15),tblDaily[WardCode],"FAE")),"")</f>
        <v/>
      </c>
      <c r="L182" s="14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14" t="str">
        <f>IFERROR(IF(SUMIFS(tblDaily[TransfersIn],tblDaily[EntryDate],DATE(2026,5,15),tblDaily[WardCode],"FAE")=0,"",SUMIFS(tblDaily[TransfersIn],tblDaily[EntryDate],DATE(2026,5,15),tblDaily[WardCode],"FAE")),"")</f>
        <v/>
      </c>
      <c r="N182" s="14" t="str">
        <f>IFERROR(IF(SUMIFS(tblDaily[TransfersOut],tblDaily[EntryDate],DATE(2026,5,15),tblDaily[WardCode],"FAE")=0,"",SUMIFS(tblDaily[TransfersOut],tblDaily[EntryDate],DATE(2026,5,15),tblDaily[WardCode],"FAE")),"")</f>
        <v/>
      </c>
      <c r="O182" s="14" t="str">
        <f>IFERROR(IF(SUMIFS(tblDaily[Remaining],tblDaily[EntryDate],DATE(2026,5,15),tblDaily[WardCode],"FAE")=0,"",SUMIFS(tblDaily[Remaining],tblDaily[EntryDate],DATE(2026,5,15),tblDaily[WardCode],"FAE")),"")</f>
        <v/>
      </c>
      <c r="P182" s="15" t="str">
        <f t="shared" si="4"/>
        <v/>
      </c>
    </row>
    <row r="183" spans="1:16" x14ac:dyDescent="0.25">
      <c r="A183" s="14">
        <v>16</v>
      </c>
      <c r="B183" s="14" t="str">
        <f>IFERROR(IF(SUMIFS(tblDaily[Admissions],tblDaily[EntryDate],DATE(2026,5,16),tblDaily[WardCode],"MAE")=0,"",SUMIFS(tblDaily[Admissions],tblDaily[EntryDate],DATE(2026,5,16),tblDaily[WardCode],"MAE")),"")</f>
        <v/>
      </c>
      <c r="C183" s="14" t="str">
        <f>IFERROR(IF(SUMIFS(tblDaily[Discharges],tblDaily[EntryDate],DATE(2026,5,16),tblDaily[WardCode],"MAE")=0,"",SUMIFS(tblDaily[Discharges],tblDaily[EntryDate],DATE(2026,5,16),tblDaily[WardCode],"MAE")),"")</f>
        <v/>
      </c>
      <c r="D183" s="14" t="str">
        <f>IFERROR(IF(SUMIFS(tblDaily[Deaths],tblDaily[EntryDate],DATE(2026,5,16),tblDaily[WardCode],"MAE")=0,"",SUMIFS(tblDaily[Deaths],tblDaily[EntryDate],DATE(2026,5,16),tblDaily[WardCode],"MAE")),"")</f>
        <v/>
      </c>
      <c r="E183" s="14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14" t="str">
        <f>IFERROR(IF(SUMIFS(tblDaily[TransfersIn],tblDaily[EntryDate],DATE(2026,5,16),tblDaily[WardCode],"MAE")=0,"",SUMIFS(tblDaily[TransfersIn],tblDaily[EntryDate],DATE(2026,5,16),tblDaily[WardCode],"MAE")),"")</f>
        <v/>
      </c>
      <c r="G183" s="14" t="str">
        <f>IFERROR(IF(SUMIFS(tblDaily[TransfersOut],tblDaily[EntryDate],DATE(2026,5,16),tblDaily[WardCode],"MAE")=0,"",SUMIFS(tblDaily[TransfersOut],tblDaily[EntryDate],DATE(2026,5,16),tblDaily[WardCode],"MAE")),"")</f>
        <v/>
      </c>
      <c r="H183" s="14" t="str">
        <f>IFERROR(IF(SUMIFS(tblDaily[Remaining],tblDaily[EntryDate],DATE(2026,5,16),tblDaily[WardCode],"MAE")=0,"",SUMIFS(tblDaily[Remaining],tblDaily[EntryDate],DATE(2026,5,16),tblDaily[WardCode],"MAE")),"")</f>
        <v/>
      </c>
      <c r="I183" s="14" t="str">
        <f>IFERROR(IF(SUMIFS(tblDaily[Admissions],tblDaily[EntryDate],DATE(2026,5,16),tblDaily[WardCode],"FAE")=0,"",SUMIFS(tblDaily[Admissions],tblDaily[EntryDate],DATE(2026,5,16),tblDaily[WardCode],"FAE")),"")</f>
        <v/>
      </c>
      <c r="J183" s="14" t="str">
        <f>IFERROR(IF(SUMIFS(tblDaily[Discharges],tblDaily[EntryDate],DATE(2026,5,16),tblDaily[WardCode],"FAE")=0,"",SUMIFS(tblDaily[Discharges],tblDaily[EntryDate],DATE(2026,5,16),tblDaily[WardCode],"FAE")),"")</f>
        <v/>
      </c>
      <c r="K183" s="14" t="str">
        <f>IFERROR(IF(SUMIFS(tblDaily[Deaths],tblDaily[EntryDate],DATE(2026,5,16),tblDaily[WardCode],"FAE")=0,"",SUMIFS(tblDaily[Deaths],tblDaily[EntryDate],DATE(2026,5,16),tblDaily[WardCode],"FAE")),"")</f>
        <v/>
      </c>
      <c r="L183" s="14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14" t="str">
        <f>IFERROR(IF(SUMIFS(tblDaily[TransfersIn],tblDaily[EntryDate],DATE(2026,5,16),tblDaily[WardCode],"FAE")=0,"",SUMIFS(tblDaily[TransfersIn],tblDaily[EntryDate],DATE(2026,5,16),tblDaily[WardCode],"FAE")),"")</f>
        <v/>
      </c>
      <c r="N183" s="14" t="str">
        <f>IFERROR(IF(SUMIFS(tblDaily[TransfersOut],tblDaily[EntryDate],DATE(2026,5,16),tblDaily[WardCode],"FAE")=0,"",SUMIFS(tblDaily[TransfersOut],tblDaily[EntryDate],DATE(2026,5,16),tblDaily[WardCode],"FAE")),"")</f>
        <v/>
      </c>
      <c r="O183" s="14" t="str">
        <f>IFERROR(IF(SUMIFS(tblDaily[Remaining],tblDaily[EntryDate],DATE(2026,5,16),tblDaily[WardCode],"FAE")=0,"",SUMIFS(tblDaily[Remaining],tblDaily[EntryDate],DATE(2026,5,16),tblDaily[WardCode],"FAE")),"")</f>
        <v/>
      </c>
      <c r="P183" s="15" t="str">
        <f t="shared" si="4"/>
        <v/>
      </c>
    </row>
    <row r="184" spans="1:16" x14ac:dyDescent="0.25">
      <c r="A184" s="14">
        <v>17</v>
      </c>
      <c r="B184" s="14" t="str">
        <f>IFERROR(IF(SUMIFS(tblDaily[Admissions],tblDaily[EntryDate],DATE(2026,5,17),tblDaily[WardCode],"MAE")=0,"",SUMIFS(tblDaily[Admissions],tblDaily[EntryDate],DATE(2026,5,17),tblDaily[WardCode],"MAE")),"")</f>
        <v/>
      </c>
      <c r="C184" s="14" t="str">
        <f>IFERROR(IF(SUMIFS(tblDaily[Discharges],tblDaily[EntryDate],DATE(2026,5,17),tblDaily[WardCode],"MAE")=0,"",SUMIFS(tblDaily[Discharges],tblDaily[EntryDate],DATE(2026,5,17),tblDaily[WardCode],"MAE")),"")</f>
        <v/>
      </c>
      <c r="D184" s="14" t="str">
        <f>IFERROR(IF(SUMIFS(tblDaily[Deaths],tblDaily[EntryDate],DATE(2026,5,17),tblDaily[WardCode],"MAE")=0,"",SUMIFS(tblDaily[Deaths],tblDaily[EntryDate],DATE(2026,5,17),tblDaily[WardCode],"MAE")),"")</f>
        <v/>
      </c>
      <c r="E184" s="14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14" t="str">
        <f>IFERROR(IF(SUMIFS(tblDaily[TransfersIn],tblDaily[EntryDate],DATE(2026,5,17),tblDaily[WardCode],"MAE")=0,"",SUMIFS(tblDaily[TransfersIn],tblDaily[EntryDate],DATE(2026,5,17),tblDaily[WardCode],"MAE")),"")</f>
        <v/>
      </c>
      <c r="G184" s="14" t="str">
        <f>IFERROR(IF(SUMIFS(tblDaily[TransfersOut],tblDaily[EntryDate],DATE(2026,5,17),tblDaily[WardCode],"MAE")=0,"",SUMIFS(tblDaily[TransfersOut],tblDaily[EntryDate],DATE(2026,5,17),tblDaily[WardCode],"MAE")),"")</f>
        <v/>
      </c>
      <c r="H184" s="14" t="str">
        <f>IFERROR(IF(SUMIFS(tblDaily[Remaining],tblDaily[EntryDate],DATE(2026,5,17),tblDaily[WardCode],"MAE")=0,"",SUMIFS(tblDaily[Remaining],tblDaily[EntryDate],DATE(2026,5,17),tblDaily[WardCode],"MAE")),"")</f>
        <v/>
      </c>
      <c r="I184" s="14" t="str">
        <f>IFERROR(IF(SUMIFS(tblDaily[Admissions],tblDaily[EntryDate],DATE(2026,5,17),tblDaily[WardCode],"FAE")=0,"",SUMIFS(tblDaily[Admissions],tblDaily[EntryDate],DATE(2026,5,17),tblDaily[WardCode],"FAE")),"")</f>
        <v/>
      </c>
      <c r="J184" s="14" t="str">
        <f>IFERROR(IF(SUMIFS(tblDaily[Discharges],tblDaily[EntryDate],DATE(2026,5,17),tblDaily[WardCode],"FAE")=0,"",SUMIFS(tblDaily[Discharges],tblDaily[EntryDate],DATE(2026,5,17),tblDaily[WardCode],"FAE")),"")</f>
        <v/>
      </c>
      <c r="K184" s="14" t="str">
        <f>IFERROR(IF(SUMIFS(tblDaily[Deaths],tblDaily[EntryDate],DATE(2026,5,17),tblDaily[WardCode],"FAE")=0,"",SUMIFS(tblDaily[Deaths],tblDaily[EntryDate],DATE(2026,5,17),tblDaily[WardCode],"FAE")),"")</f>
        <v/>
      </c>
      <c r="L184" s="14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14" t="str">
        <f>IFERROR(IF(SUMIFS(tblDaily[TransfersIn],tblDaily[EntryDate],DATE(2026,5,17),tblDaily[WardCode],"FAE")=0,"",SUMIFS(tblDaily[TransfersIn],tblDaily[EntryDate],DATE(2026,5,17),tblDaily[WardCode],"FAE")),"")</f>
        <v/>
      </c>
      <c r="N184" s="14" t="str">
        <f>IFERROR(IF(SUMIFS(tblDaily[TransfersOut],tblDaily[EntryDate],DATE(2026,5,17),tblDaily[WardCode],"FAE")=0,"",SUMIFS(tblDaily[TransfersOut],tblDaily[EntryDate],DATE(2026,5,17),tblDaily[WardCode],"FAE")),"")</f>
        <v/>
      </c>
      <c r="O184" s="14" t="str">
        <f>IFERROR(IF(SUMIFS(tblDaily[Remaining],tblDaily[EntryDate],DATE(2026,5,17),tblDaily[WardCode],"FAE")=0,"",SUMIFS(tblDaily[Remaining],tblDaily[EntryDate],DATE(2026,5,17),tblDaily[WardCode],"FAE")),"")</f>
        <v/>
      </c>
      <c r="P184" s="15" t="str">
        <f t="shared" si="4"/>
        <v/>
      </c>
    </row>
    <row r="185" spans="1:16" x14ac:dyDescent="0.25">
      <c r="A185" s="14">
        <v>18</v>
      </c>
      <c r="B185" s="14" t="str">
        <f>IFERROR(IF(SUMIFS(tblDaily[Admissions],tblDaily[EntryDate],DATE(2026,5,18),tblDaily[WardCode],"MAE")=0,"",SUMIFS(tblDaily[Admissions],tblDaily[EntryDate],DATE(2026,5,18),tblDaily[WardCode],"MAE")),"")</f>
        <v/>
      </c>
      <c r="C185" s="14" t="str">
        <f>IFERROR(IF(SUMIFS(tblDaily[Discharges],tblDaily[EntryDate],DATE(2026,5,18),tblDaily[WardCode],"MAE")=0,"",SUMIFS(tblDaily[Discharges],tblDaily[EntryDate],DATE(2026,5,18),tblDaily[WardCode],"MAE")),"")</f>
        <v/>
      </c>
      <c r="D185" s="14" t="str">
        <f>IFERROR(IF(SUMIFS(tblDaily[Deaths],tblDaily[EntryDate],DATE(2026,5,18),tblDaily[WardCode],"MAE")=0,"",SUMIFS(tblDaily[Deaths],tblDaily[EntryDate],DATE(2026,5,18),tblDaily[WardCode],"MAE")),"")</f>
        <v/>
      </c>
      <c r="E185" s="14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14" t="str">
        <f>IFERROR(IF(SUMIFS(tblDaily[TransfersIn],tblDaily[EntryDate],DATE(2026,5,18),tblDaily[WardCode],"MAE")=0,"",SUMIFS(tblDaily[TransfersIn],tblDaily[EntryDate],DATE(2026,5,18),tblDaily[WardCode],"MAE")),"")</f>
        <v/>
      </c>
      <c r="G185" s="14" t="str">
        <f>IFERROR(IF(SUMIFS(tblDaily[TransfersOut],tblDaily[EntryDate],DATE(2026,5,18),tblDaily[WardCode],"MAE")=0,"",SUMIFS(tblDaily[TransfersOut],tblDaily[EntryDate],DATE(2026,5,18),tblDaily[WardCode],"MAE")),"")</f>
        <v/>
      </c>
      <c r="H185" s="14" t="str">
        <f>IFERROR(IF(SUMIFS(tblDaily[Remaining],tblDaily[EntryDate],DATE(2026,5,18),tblDaily[WardCode],"MAE")=0,"",SUMIFS(tblDaily[Remaining],tblDaily[EntryDate],DATE(2026,5,18),tblDaily[WardCode],"MAE")),"")</f>
        <v/>
      </c>
      <c r="I185" s="14" t="str">
        <f>IFERROR(IF(SUMIFS(tblDaily[Admissions],tblDaily[EntryDate],DATE(2026,5,18),tblDaily[WardCode],"FAE")=0,"",SUMIFS(tblDaily[Admissions],tblDaily[EntryDate],DATE(2026,5,18),tblDaily[WardCode],"FAE")),"")</f>
        <v/>
      </c>
      <c r="J185" s="14" t="str">
        <f>IFERROR(IF(SUMIFS(tblDaily[Discharges],tblDaily[EntryDate],DATE(2026,5,18),tblDaily[WardCode],"FAE")=0,"",SUMIFS(tblDaily[Discharges],tblDaily[EntryDate],DATE(2026,5,18),tblDaily[WardCode],"FAE")),"")</f>
        <v/>
      </c>
      <c r="K185" s="14" t="str">
        <f>IFERROR(IF(SUMIFS(tblDaily[Deaths],tblDaily[EntryDate],DATE(2026,5,18),tblDaily[WardCode],"FAE")=0,"",SUMIFS(tblDaily[Deaths],tblDaily[EntryDate],DATE(2026,5,18),tblDaily[WardCode],"FAE")),"")</f>
        <v/>
      </c>
      <c r="L185" s="14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14" t="str">
        <f>IFERROR(IF(SUMIFS(tblDaily[TransfersIn],tblDaily[EntryDate],DATE(2026,5,18),tblDaily[WardCode],"FAE")=0,"",SUMIFS(tblDaily[TransfersIn],tblDaily[EntryDate],DATE(2026,5,18),tblDaily[WardCode],"FAE")),"")</f>
        <v/>
      </c>
      <c r="N185" s="14" t="str">
        <f>IFERROR(IF(SUMIFS(tblDaily[TransfersOut],tblDaily[EntryDate],DATE(2026,5,18),tblDaily[WardCode],"FAE")=0,"",SUMIFS(tblDaily[TransfersOut],tblDaily[EntryDate],DATE(2026,5,18),tblDaily[WardCode],"FAE")),"")</f>
        <v/>
      </c>
      <c r="O185" s="14" t="str">
        <f>IFERROR(IF(SUMIFS(tblDaily[Remaining],tblDaily[EntryDate],DATE(2026,5,18),tblDaily[WardCode],"FAE")=0,"",SUMIFS(tblDaily[Remaining],tblDaily[EntryDate],DATE(2026,5,18),tblDaily[WardCode],"FAE")),"")</f>
        <v/>
      </c>
      <c r="P185" s="15" t="str">
        <f t="shared" si="4"/>
        <v/>
      </c>
    </row>
    <row r="186" spans="1:16" x14ac:dyDescent="0.25">
      <c r="A186" s="14">
        <v>19</v>
      </c>
      <c r="B186" s="14" t="str">
        <f>IFERROR(IF(SUMIFS(tblDaily[Admissions],tblDaily[EntryDate],DATE(2026,5,19),tblDaily[WardCode],"MAE")=0,"",SUMIFS(tblDaily[Admissions],tblDaily[EntryDate],DATE(2026,5,19),tblDaily[WardCode],"MAE")),"")</f>
        <v/>
      </c>
      <c r="C186" s="14" t="str">
        <f>IFERROR(IF(SUMIFS(tblDaily[Discharges],tblDaily[EntryDate],DATE(2026,5,19),tblDaily[WardCode],"MAE")=0,"",SUMIFS(tblDaily[Discharges],tblDaily[EntryDate],DATE(2026,5,19),tblDaily[WardCode],"MAE")),"")</f>
        <v/>
      </c>
      <c r="D186" s="14" t="str">
        <f>IFERROR(IF(SUMIFS(tblDaily[Deaths],tblDaily[EntryDate],DATE(2026,5,19),tblDaily[WardCode],"MAE")=0,"",SUMIFS(tblDaily[Deaths],tblDaily[EntryDate],DATE(2026,5,19),tblDaily[WardCode],"MAE")),"")</f>
        <v/>
      </c>
      <c r="E186" s="14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14" t="str">
        <f>IFERROR(IF(SUMIFS(tblDaily[TransfersIn],tblDaily[EntryDate],DATE(2026,5,19),tblDaily[WardCode],"MAE")=0,"",SUMIFS(tblDaily[TransfersIn],tblDaily[EntryDate],DATE(2026,5,19),tblDaily[WardCode],"MAE")),"")</f>
        <v/>
      </c>
      <c r="G186" s="14" t="str">
        <f>IFERROR(IF(SUMIFS(tblDaily[TransfersOut],tblDaily[EntryDate],DATE(2026,5,19),tblDaily[WardCode],"MAE")=0,"",SUMIFS(tblDaily[TransfersOut],tblDaily[EntryDate],DATE(2026,5,19),tblDaily[WardCode],"MAE")),"")</f>
        <v/>
      </c>
      <c r="H186" s="14" t="str">
        <f>IFERROR(IF(SUMIFS(tblDaily[Remaining],tblDaily[EntryDate],DATE(2026,5,19),tblDaily[WardCode],"MAE")=0,"",SUMIFS(tblDaily[Remaining],tblDaily[EntryDate],DATE(2026,5,19),tblDaily[WardCode],"MAE")),"")</f>
        <v/>
      </c>
      <c r="I186" s="14" t="str">
        <f>IFERROR(IF(SUMIFS(tblDaily[Admissions],tblDaily[EntryDate],DATE(2026,5,19),tblDaily[WardCode],"FAE")=0,"",SUMIFS(tblDaily[Admissions],tblDaily[EntryDate],DATE(2026,5,19),tblDaily[WardCode],"FAE")),"")</f>
        <v/>
      </c>
      <c r="J186" s="14" t="str">
        <f>IFERROR(IF(SUMIFS(tblDaily[Discharges],tblDaily[EntryDate],DATE(2026,5,19),tblDaily[WardCode],"FAE")=0,"",SUMIFS(tblDaily[Discharges],tblDaily[EntryDate],DATE(2026,5,19),tblDaily[WardCode],"FAE")),"")</f>
        <v/>
      </c>
      <c r="K186" s="14" t="str">
        <f>IFERROR(IF(SUMIFS(tblDaily[Deaths],tblDaily[EntryDate],DATE(2026,5,19),tblDaily[WardCode],"FAE")=0,"",SUMIFS(tblDaily[Deaths],tblDaily[EntryDate],DATE(2026,5,19),tblDaily[WardCode],"FAE")),"")</f>
        <v/>
      </c>
      <c r="L186" s="14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14" t="str">
        <f>IFERROR(IF(SUMIFS(tblDaily[TransfersIn],tblDaily[EntryDate],DATE(2026,5,19),tblDaily[WardCode],"FAE")=0,"",SUMIFS(tblDaily[TransfersIn],tblDaily[EntryDate],DATE(2026,5,19),tblDaily[WardCode],"FAE")),"")</f>
        <v/>
      </c>
      <c r="N186" s="14" t="str">
        <f>IFERROR(IF(SUMIFS(tblDaily[TransfersOut],tblDaily[EntryDate],DATE(2026,5,19),tblDaily[WardCode],"FAE")=0,"",SUMIFS(tblDaily[TransfersOut],tblDaily[EntryDate],DATE(2026,5,19),tblDaily[WardCode],"FAE")),"")</f>
        <v/>
      </c>
      <c r="O186" s="14" t="str">
        <f>IFERROR(IF(SUMIFS(tblDaily[Remaining],tblDaily[EntryDate],DATE(2026,5,19),tblDaily[WardCode],"FAE")=0,"",SUMIFS(tblDaily[Remaining],tblDaily[EntryDate],DATE(2026,5,19),tblDaily[WardCode],"FAE")),"")</f>
        <v/>
      </c>
      <c r="P186" s="15" t="str">
        <f t="shared" si="4"/>
        <v/>
      </c>
    </row>
    <row r="187" spans="1:16" x14ac:dyDescent="0.25">
      <c r="A187" s="14">
        <v>20</v>
      </c>
      <c r="B187" s="14" t="str">
        <f>IFERROR(IF(SUMIFS(tblDaily[Admissions],tblDaily[EntryDate],DATE(2026,5,20),tblDaily[WardCode],"MAE")=0,"",SUMIFS(tblDaily[Admissions],tblDaily[EntryDate],DATE(2026,5,20),tblDaily[WardCode],"MAE")),"")</f>
        <v/>
      </c>
      <c r="C187" s="14" t="str">
        <f>IFERROR(IF(SUMIFS(tblDaily[Discharges],tblDaily[EntryDate],DATE(2026,5,20),tblDaily[WardCode],"MAE")=0,"",SUMIFS(tblDaily[Discharges],tblDaily[EntryDate],DATE(2026,5,20),tblDaily[WardCode],"MAE")),"")</f>
        <v/>
      </c>
      <c r="D187" s="14" t="str">
        <f>IFERROR(IF(SUMIFS(tblDaily[Deaths],tblDaily[EntryDate],DATE(2026,5,20),tblDaily[WardCode],"MAE")=0,"",SUMIFS(tblDaily[Deaths],tblDaily[EntryDate],DATE(2026,5,20),tblDaily[WardCode],"MAE")),"")</f>
        <v/>
      </c>
      <c r="E187" s="14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14" t="str">
        <f>IFERROR(IF(SUMIFS(tblDaily[TransfersIn],tblDaily[EntryDate],DATE(2026,5,20),tblDaily[WardCode],"MAE")=0,"",SUMIFS(tblDaily[TransfersIn],tblDaily[EntryDate],DATE(2026,5,20),tblDaily[WardCode],"MAE")),"")</f>
        <v/>
      </c>
      <c r="G187" s="14" t="str">
        <f>IFERROR(IF(SUMIFS(tblDaily[TransfersOut],tblDaily[EntryDate],DATE(2026,5,20),tblDaily[WardCode],"MAE")=0,"",SUMIFS(tblDaily[TransfersOut],tblDaily[EntryDate],DATE(2026,5,20),tblDaily[WardCode],"MAE")),"")</f>
        <v/>
      </c>
      <c r="H187" s="14" t="str">
        <f>IFERROR(IF(SUMIFS(tblDaily[Remaining],tblDaily[EntryDate],DATE(2026,5,20),tblDaily[WardCode],"MAE")=0,"",SUMIFS(tblDaily[Remaining],tblDaily[EntryDate],DATE(2026,5,20),tblDaily[WardCode],"MAE")),"")</f>
        <v/>
      </c>
      <c r="I187" s="14" t="str">
        <f>IFERROR(IF(SUMIFS(tblDaily[Admissions],tblDaily[EntryDate],DATE(2026,5,20),tblDaily[WardCode],"FAE")=0,"",SUMIFS(tblDaily[Admissions],tblDaily[EntryDate],DATE(2026,5,20),tblDaily[WardCode],"FAE")),"")</f>
        <v/>
      </c>
      <c r="J187" s="14" t="str">
        <f>IFERROR(IF(SUMIFS(tblDaily[Discharges],tblDaily[EntryDate],DATE(2026,5,20),tblDaily[WardCode],"FAE")=0,"",SUMIFS(tblDaily[Discharges],tblDaily[EntryDate],DATE(2026,5,20),tblDaily[WardCode],"FAE")),"")</f>
        <v/>
      </c>
      <c r="K187" s="14" t="str">
        <f>IFERROR(IF(SUMIFS(tblDaily[Deaths],tblDaily[EntryDate],DATE(2026,5,20),tblDaily[WardCode],"FAE")=0,"",SUMIFS(tblDaily[Deaths],tblDaily[EntryDate],DATE(2026,5,20),tblDaily[WardCode],"FAE")),"")</f>
        <v/>
      </c>
      <c r="L187" s="14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14" t="str">
        <f>IFERROR(IF(SUMIFS(tblDaily[TransfersIn],tblDaily[EntryDate],DATE(2026,5,20),tblDaily[WardCode],"FAE")=0,"",SUMIFS(tblDaily[TransfersIn],tblDaily[EntryDate],DATE(2026,5,20),tblDaily[WardCode],"FAE")),"")</f>
        <v/>
      </c>
      <c r="N187" s="14" t="str">
        <f>IFERROR(IF(SUMIFS(tblDaily[TransfersOut],tblDaily[EntryDate],DATE(2026,5,20),tblDaily[WardCode],"FAE")=0,"",SUMIFS(tblDaily[TransfersOut],tblDaily[EntryDate],DATE(2026,5,20),tblDaily[WardCode],"FAE")),"")</f>
        <v/>
      </c>
      <c r="O187" s="14" t="str">
        <f>IFERROR(IF(SUMIFS(tblDaily[Remaining],tblDaily[EntryDate],DATE(2026,5,20),tblDaily[WardCode],"FAE")=0,"",SUMIFS(tblDaily[Remaining],tblDaily[EntryDate],DATE(2026,5,20),tblDaily[WardCode],"FAE")),"")</f>
        <v/>
      </c>
      <c r="P187" s="15" t="str">
        <f t="shared" si="4"/>
        <v/>
      </c>
    </row>
    <row r="188" spans="1:16" x14ac:dyDescent="0.25">
      <c r="A188" s="14">
        <v>21</v>
      </c>
      <c r="B188" s="14" t="str">
        <f>IFERROR(IF(SUMIFS(tblDaily[Admissions],tblDaily[EntryDate],DATE(2026,5,21),tblDaily[WardCode],"MAE")=0,"",SUMIFS(tblDaily[Admissions],tblDaily[EntryDate],DATE(2026,5,21),tblDaily[WardCode],"MAE")),"")</f>
        <v/>
      </c>
      <c r="C188" s="14" t="str">
        <f>IFERROR(IF(SUMIFS(tblDaily[Discharges],tblDaily[EntryDate],DATE(2026,5,21),tblDaily[WardCode],"MAE")=0,"",SUMIFS(tblDaily[Discharges],tblDaily[EntryDate],DATE(2026,5,21),tblDaily[WardCode],"MAE")),"")</f>
        <v/>
      </c>
      <c r="D188" s="14" t="str">
        <f>IFERROR(IF(SUMIFS(tblDaily[Deaths],tblDaily[EntryDate],DATE(2026,5,21),tblDaily[WardCode],"MAE")=0,"",SUMIFS(tblDaily[Deaths],tblDaily[EntryDate],DATE(2026,5,21),tblDaily[WardCode],"MAE")),"")</f>
        <v/>
      </c>
      <c r="E188" s="14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14" t="str">
        <f>IFERROR(IF(SUMIFS(tblDaily[TransfersIn],tblDaily[EntryDate],DATE(2026,5,21),tblDaily[WardCode],"MAE")=0,"",SUMIFS(tblDaily[TransfersIn],tblDaily[EntryDate],DATE(2026,5,21),tblDaily[WardCode],"MAE")),"")</f>
        <v/>
      </c>
      <c r="G188" s="14" t="str">
        <f>IFERROR(IF(SUMIFS(tblDaily[TransfersOut],tblDaily[EntryDate],DATE(2026,5,21),tblDaily[WardCode],"MAE")=0,"",SUMIFS(tblDaily[TransfersOut],tblDaily[EntryDate],DATE(2026,5,21),tblDaily[WardCode],"MAE")),"")</f>
        <v/>
      </c>
      <c r="H188" s="14" t="str">
        <f>IFERROR(IF(SUMIFS(tblDaily[Remaining],tblDaily[EntryDate],DATE(2026,5,21),tblDaily[WardCode],"MAE")=0,"",SUMIFS(tblDaily[Remaining],tblDaily[EntryDate],DATE(2026,5,21),tblDaily[WardCode],"MAE")),"")</f>
        <v/>
      </c>
      <c r="I188" s="14" t="str">
        <f>IFERROR(IF(SUMIFS(tblDaily[Admissions],tblDaily[EntryDate],DATE(2026,5,21),tblDaily[WardCode],"FAE")=0,"",SUMIFS(tblDaily[Admissions],tblDaily[EntryDate],DATE(2026,5,21),tblDaily[WardCode],"FAE")),"")</f>
        <v/>
      </c>
      <c r="J188" s="14" t="str">
        <f>IFERROR(IF(SUMIFS(tblDaily[Discharges],tblDaily[EntryDate],DATE(2026,5,21),tblDaily[WardCode],"FAE")=0,"",SUMIFS(tblDaily[Discharges],tblDaily[EntryDate],DATE(2026,5,21),tblDaily[WardCode],"FAE")),"")</f>
        <v/>
      </c>
      <c r="K188" s="14" t="str">
        <f>IFERROR(IF(SUMIFS(tblDaily[Deaths],tblDaily[EntryDate],DATE(2026,5,21),tblDaily[WardCode],"FAE")=0,"",SUMIFS(tblDaily[Deaths],tblDaily[EntryDate],DATE(2026,5,21),tblDaily[WardCode],"FAE")),"")</f>
        <v/>
      </c>
      <c r="L188" s="14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14" t="str">
        <f>IFERROR(IF(SUMIFS(tblDaily[TransfersIn],tblDaily[EntryDate],DATE(2026,5,21),tblDaily[WardCode],"FAE")=0,"",SUMIFS(tblDaily[TransfersIn],tblDaily[EntryDate],DATE(2026,5,21),tblDaily[WardCode],"FAE")),"")</f>
        <v/>
      </c>
      <c r="N188" s="14" t="str">
        <f>IFERROR(IF(SUMIFS(tblDaily[TransfersOut],tblDaily[EntryDate],DATE(2026,5,21),tblDaily[WardCode],"FAE")=0,"",SUMIFS(tblDaily[TransfersOut],tblDaily[EntryDate],DATE(2026,5,21),tblDaily[WardCode],"FAE")),"")</f>
        <v/>
      </c>
      <c r="O188" s="14" t="str">
        <f>IFERROR(IF(SUMIFS(tblDaily[Remaining],tblDaily[EntryDate],DATE(2026,5,21),tblDaily[WardCode],"FAE")=0,"",SUMIFS(tblDaily[Remaining],tblDaily[EntryDate],DATE(2026,5,21),tblDaily[WardCode],"FAE")),"")</f>
        <v/>
      </c>
      <c r="P188" s="15" t="str">
        <f t="shared" si="4"/>
        <v/>
      </c>
    </row>
    <row r="189" spans="1:16" x14ac:dyDescent="0.25">
      <c r="A189" s="14">
        <v>22</v>
      </c>
      <c r="B189" s="14" t="str">
        <f>IFERROR(IF(SUMIFS(tblDaily[Admissions],tblDaily[EntryDate],DATE(2026,5,22),tblDaily[WardCode],"MAE")=0,"",SUMIFS(tblDaily[Admissions],tblDaily[EntryDate],DATE(2026,5,22),tblDaily[WardCode],"MAE")),"")</f>
        <v/>
      </c>
      <c r="C189" s="14" t="str">
        <f>IFERROR(IF(SUMIFS(tblDaily[Discharges],tblDaily[EntryDate],DATE(2026,5,22),tblDaily[WardCode],"MAE")=0,"",SUMIFS(tblDaily[Discharges],tblDaily[EntryDate],DATE(2026,5,22),tblDaily[WardCode],"MAE")),"")</f>
        <v/>
      </c>
      <c r="D189" s="14" t="str">
        <f>IFERROR(IF(SUMIFS(tblDaily[Deaths],tblDaily[EntryDate],DATE(2026,5,22),tblDaily[WardCode],"MAE")=0,"",SUMIFS(tblDaily[Deaths],tblDaily[EntryDate],DATE(2026,5,22),tblDaily[WardCode],"MAE")),"")</f>
        <v/>
      </c>
      <c r="E189" s="14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14" t="str">
        <f>IFERROR(IF(SUMIFS(tblDaily[TransfersIn],tblDaily[EntryDate],DATE(2026,5,22),tblDaily[WardCode],"MAE")=0,"",SUMIFS(tblDaily[TransfersIn],tblDaily[EntryDate],DATE(2026,5,22),tblDaily[WardCode],"MAE")),"")</f>
        <v/>
      </c>
      <c r="G189" s="14" t="str">
        <f>IFERROR(IF(SUMIFS(tblDaily[TransfersOut],tblDaily[EntryDate],DATE(2026,5,22),tblDaily[WardCode],"MAE")=0,"",SUMIFS(tblDaily[TransfersOut],tblDaily[EntryDate],DATE(2026,5,22),tblDaily[WardCode],"MAE")),"")</f>
        <v/>
      </c>
      <c r="H189" s="14" t="str">
        <f>IFERROR(IF(SUMIFS(tblDaily[Remaining],tblDaily[EntryDate],DATE(2026,5,22),tblDaily[WardCode],"MAE")=0,"",SUMIFS(tblDaily[Remaining],tblDaily[EntryDate],DATE(2026,5,22),tblDaily[WardCode],"MAE")),"")</f>
        <v/>
      </c>
      <c r="I189" s="14" t="str">
        <f>IFERROR(IF(SUMIFS(tblDaily[Admissions],tblDaily[EntryDate],DATE(2026,5,22),tblDaily[WardCode],"FAE")=0,"",SUMIFS(tblDaily[Admissions],tblDaily[EntryDate],DATE(2026,5,22),tblDaily[WardCode],"FAE")),"")</f>
        <v/>
      </c>
      <c r="J189" s="14" t="str">
        <f>IFERROR(IF(SUMIFS(tblDaily[Discharges],tblDaily[EntryDate],DATE(2026,5,22),tblDaily[WardCode],"FAE")=0,"",SUMIFS(tblDaily[Discharges],tblDaily[EntryDate],DATE(2026,5,22),tblDaily[WardCode],"FAE")),"")</f>
        <v/>
      </c>
      <c r="K189" s="14" t="str">
        <f>IFERROR(IF(SUMIFS(tblDaily[Deaths],tblDaily[EntryDate],DATE(2026,5,22),tblDaily[WardCode],"FAE")=0,"",SUMIFS(tblDaily[Deaths],tblDaily[EntryDate],DATE(2026,5,22),tblDaily[WardCode],"FAE")),"")</f>
        <v/>
      </c>
      <c r="L189" s="14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14" t="str">
        <f>IFERROR(IF(SUMIFS(tblDaily[TransfersIn],tblDaily[EntryDate],DATE(2026,5,22),tblDaily[WardCode],"FAE")=0,"",SUMIFS(tblDaily[TransfersIn],tblDaily[EntryDate],DATE(2026,5,22),tblDaily[WardCode],"FAE")),"")</f>
        <v/>
      </c>
      <c r="N189" s="14" t="str">
        <f>IFERROR(IF(SUMIFS(tblDaily[TransfersOut],tblDaily[EntryDate],DATE(2026,5,22),tblDaily[WardCode],"FAE")=0,"",SUMIFS(tblDaily[TransfersOut],tblDaily[EntryDate],DATE(2026,5,22),tblDaily[WardCode],"FAE")),"")</f>
        <v/>
      </c>
      <c r="O189" s="14" t="str">
        <f>IFERROR(IF(SUMIFS(tblDaily[Remaining],tblDaily[EntryDate],DATE(2026,5,22),tblDaily[WardCode],"FAE")=0,"",SUMIFS(tblDaily[Remaining],tblDaily[EntryDate],DATE(2026,5,22),tblDaily[WardCode],"FAE")),"")</f>
        <v/>
      </c>
      <c r="P189" s="15" t="str">
        <f t="shared" si="4"/>
        <v/>
      </c>
    </row>
    <row r="190" spans="1:16" x14ac:dyDescent="0.25">
      <c r="A190" s="14">
        <v>23</v>
      </c>
      <c r="B190" s="14" t="str">
        <f>IFERROR(IF(SUMIFS(tblDaily[Admissions],tblDaily[EntryDate],DATE(2026,5,23),tblDaily[WardCode],"MAE")=0,"",SUMIFS(tblDaily[Admissions],tblDaily[EntryDate],DATE(2026,5,23),tblDaily[WardCode],"MAE")),"")</f>
        <v/>
      </c>
      <c r="C190" s="14" t="str">
        <f>IFERROR(IF(SUMIFS(tblDaily[Discharges],tblDaily[EntryDate],DATE(2026,5,23),tblDaily[WardCode],"MAE")=0,"",SUMIFS(tblDaily[Discharges],tblDaily[EntryDate],DATE(2026,5,23),tblDaily[WardCode],"MAE")),"")</f>
        <v/>
      </c>
      <c r="D190" s="14" t="str">
        <f>IFERROR(IF(SUMIFS(tblDaily[Deaths],tblDaily[EntryDate],DATE(2026,5,23),tblDaily[WardCode],"MAE")=0,"",SUMIFS(tblDaily[Deaths],tblDaily[EntryDate],DATE(2026,5,23),tblDaily[WardCode],"MAE")),"")</f>
        <v/>
      </c>
      <c r="E190" s="14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14" t="str">
        <f>IFERROR(IF(SUMIFS(tblDaily[TransfersIn],tblDaily[EntryDate],DATE(2026,5,23),tblDaily[WardCode],"MAE")=0,"",SUMIFS(tblDaily[TransfersIn],tblDaily[EntryDate],DATE(2026,5,23),tblDaily[WardCode],"MAE")),"")</f>
        <v/>
      </c>
      <c r="G190" s="14" t="str">
        <f>IFERROR(IF(SUMIFS(tblDaily[TransfersOut],tblDaily[EntryDate],DATE(2026,5,23),tblDaily[WardCode],"MAE")=0,"",SUMIFS(tblDaily[TransfersOut],tblDaily[EntryDate],DATE(2026,5,23),tblDaily[WardCode],"MAE")),"")</f>
        <v/>
      </c>
      <c r="H190" s="14" t="str">
        <f>IFERROR(IF(SUMIFS(tblDaily[Remaining],tblDaily[EntryDate],DATE(2026,5,23),tblDaily[WardCode],"MAE")=0,"",SUMIFS(tblDaily[Remaining],tblDaily[EntryDate],DATE(2026,5,23),tblDaily[WardCode],"MAE")),"")</f>
        <v/>
      </c>
      <c r="I190" s="14" t="str">
        <f>IFERROR(IF(SUMIFS(tblDaily[Admissions],tblDaily[EntryDate],DATE(2026,5,23),tblDaily[WardCode],"FAE")=0,"",SUMIFS(tblDaily[Admissions],tblDaily[EntryDate],DATE(2026,5,23),tblDaily[WardCode],"FAE")),"")</f>
        <v/>
      </c>
      <c r="J190" s="14" t="str">
        <f>IFERROR(IF(SUMIFS(tblDaily[Discharges],tblDaily[EntryDate],DATE(2026,5,23),tblDaily[WardCode],"FAE")=0,"",SUMIFS(tblDaily[Discharges],tblDaily[EntryDate],DATE(2026,5,23),tblDaily[WardCode],"FAE")),"")</f>
        <v/>
      </c>
      <c r="K190" s="14" t="str">
        <f>IFERROR(IF(SUMIFS(tblDaily[Deaths],tblDaily[EntryDate],DATE(2026,5,23),tblDaily[WardCode],"FAE")=0,"",SUMIFS(tblDaily[Deaths],tblDaily[EntryDate],DATE(2026,5,23),tblDaily[WardCode],"FAE")),"")</f>
        <v/>
      </c>
      <c r="L190" s="14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14" t="str">
        <f>IFERROR(IF(SUMIFS(tblDaily[TransfersIn],tblDaily[EntryDate],DATE(2026,5,23),tblDaily[WardCode],"FAE")=0,"",SUMIFS(tblDaily[TransfersIn],tblDaily[EntryDate],DATE(2026,5,23),tblDaily[WardCode],"FAE")),"")</f>
        <v/>
      </c>
      <c r="N190" s="14" t="str">
        <f>IFERROR(IF(SUMIFS(tblDaily[TransfersOut],tblDaily[EntryDate],DATE(2026,5,23),tblDaily[WardCode],"FAE")=0,"",SUMIFS(tblDaily[TransfersOut],tblDaily[EntryDate],DATE(2026,5,23),tblDaily[WardCode],"FAE")),"")</f>
        <v/>
      </c>
      <c r="O190" s="14" t="str">
        <f>IFERROR(IF(SUMIFS(tblDaily[Remaining],tblDaily[EntryDate],DATE(2026,5,23),tblDaily[WardCode],"FAE")=0,"",SUMIFS(tblDaily[Remaining],tblDaily[EntryDate],DATE(2026,5,23),tblDaily[WardCode],"FAE")),"")</f>
        <v/>
      </c>
      <c r="P190" s="15" t="str">
        <f t="shared" si="4"/>
        <v/>
      </c>
    </row>
    <row r="191" spans="1:16" x14ac:dyDescent="0.25">
      <c r="A191" s="14">
        <v>24</v>
      </c>
      <c r="B191" s="14" t="str">
        <f>IFERROR(IF(SUMIFS(tblDaily[Admissions],tblDaily[EntryDate],DATE(2026,5,24),tblDaily[WardCode],"MAE")=0,"",SUMIFS(tblDaily[Admissions],tblDaily[EntryDate],DATE(2026,5,24),tblDaily[WardCode],"MAE")),"")</f>
        <v/>
      </c>
      <c r="C191" s="14" t="str">
        <f>IFERROR(IF(SUMIFS(tblDaily[Discharges],tblDaily[EntryDate],DATE(2026,5,24),tblDaily[WardCode],"MAE")=0,"",SUMIFS(tblDaily[Discharges],tblDaily[EntryDate],DATE(2026,5,24),tblDaily[WardCode],"MAE")),"")</f>
        <v/>
      </c>
      <c r="D191" s="14" t="str">
        <f>IFERROR(IF(SUMIFS(tblDaily[Deaths],tblDaily[EntryDate],DATE(2026,5,24),tblDaily[WardCode],"MAE")=0,"",SUMIFS(tblDaily[Deaths],tblDaily[EntryDate],DATE(2026,5,24),tblDaily[WardCode],"MAE")),"")</f>
        <v/>
      </c>
      <c r="E191" s="14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14" t="str">
        <f>IFERROR(IF(SUMIFS(tblDaily[TransfersIn],tblDaily[EntryDate],DATE(2026,5,24),tblDaily[WardCode],"MAE")=0,"",SUMIFS(tblDaily[TransfersIn],tblDaily[EntryDate],DATE(2026,5,24),tblDaily[WardCode],"MAE")),"")</f>
        <v/>
      </c>
      <c r="G191" s="14" t="str">
        <f>IFERROR(IF(SUMIFS(tblDaily[TransfersOut],tblDaily[EntryDate],DATE(2026,5,24),tblDaily[WardCode],"MAE")=0,"",SUMIFS(tblDaily[TransfersOut],tblDaily[EntryDate],DATE(2026,5,24),tblDaily[WardCode],"MAE")),"")</f>
        <v/>
      </c>
      <c r="H191" s="14" t="str">
        <f>IFERROR(IF(SUMIFS(tblDaily[Remaining],tblDaily[EntryDate],DATE(2026,5,24),tblDaily[WardCode],"MAE")=0,"",SUMIFS(tblDaily[Remaining],tblDaily[EntryDate],DATE(2026,5,24),tblDaily[WardCode],"MAE")),"")</f>
        <v/>
      </c>
      <c r="I191" s="14" t="str">
        <f>IFERROR(IF(SUMIFS(tblDaily[Admissions],tblDaily[EntryDate],DATE(2026,5,24),tblDaily[WardCode],"FAE")=0,"",SUMIFS(tblDaily[Admissions],tblDaily[EntryDate],DATE(2026,5,24),tblDaily[WardCode],"FAE")),"")</f>
        <v/>
      </c>
      <c r="J191" s="14" t="str">
        <f>IFERROR(IF(SUMIFS(tblDaily[Discharges],tblDaily[EntryDate],DATE(2026,5,24),tblDaily[WardCode],"FAE")=0,"",SUMIFS(tblDaily[Discharges],tblDaily[EntryDate],DATE(2026,5,24),tblDaily[WardCode],"FAE")),"")</f>
        <v/>
      </c>
      <c r="K191" s="14" t="str">
        <f>IFERROR(IF(SUMIFS(tblDaily[Deaths],tblDaily[EntryDate],DATE(2026,5,24),tblDaily[WardCode],"FAE")=0,"",SUMIFS(tblDaily[Deaths],tblDaily[EntryDate],DATE(2026,5,24),tblDaily[WardCode],"FAE")),"")</f>
        <v/>
      </c>
      <c r="L191" s="14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14" t="str">
        <f>IFERROR(IF(SUMIFS(tblDaily[TransfersIn],tblDaily[EntryDate],DATE(2026,5,24),tblDaily[WardCode],"FAE")=0,"",SUMIFS(tblDaily[TransfersIn],tblDaily[EntryDate],DATE(2026,5,24),tblDaily[WardCode],"FAE")),"")</f>
        <v/>
      </c>
      <c r="N191" s="14" t="str">
        <f>IFERROR(IF(SUMIFS(tblDaily[TransfersOut],tblDaily[EntryDate],DATE(2026,5,24),tblDaily[WardCode],"FAE")=0,"",SUMIFS(tblDaily[TransfersOut],tblDaily[EntryDate],DATE(2026,5,24),tblDaily[WardCode],"FAE")),"")</f>
        <v/>
      </c>
      <c r="O191" s="14" t="str">
        <f>IFERROR(IF(SUMIFS(tblDaily[Remaining],tblDaily[EntryDate],DATE(2026,5,24),tblDaily[WardCode],"FAE")=0,"",SUMIFS(tblDaily[Remaining],tblDaily[EntryDate],DATE(2026,5,24),tblDaily[WardCode],"FAE")),"")</f>
        <v/>
      </c>
      <c r="P191" s="15" t="str">
        <f t="shared" si="4"/>
        <v/>
      </c>
    </row>
    <row r="192" spans="1:16" x14ac:dyDescent="0.25">
      <c r="A192" s="14">
        <v>25</v>
      </c>
      <c r="B192" s="14" t="str">
        <f>IFERROR(IF(SUMIFS(tblDaily[Admissions],tblDaily[EntryDate],DATE(2026,5,25),tblDaily[WardCode],"MAE")=0,"",SUMIFS(tblDaily[Admissions],tblDaily[EntryDate],DATE(2026,5,25),tblDaily[WardCode],"MAE")),"")</f>
        <v/>
      </c>
      <c r="C192" s="14" t="str">
        <f>IFERROR(IF(SUMIFS(tblDaily[Discharges],tblDaily[EntryDate],DATE(2026,5,25),tblDaily[WardCode],"MAE")=0,"",SUMIFS(tblDaily[Discharges],tblDaily[EntryDate],DATE(2026,5,25),tblDaily[WardCode],"MAE")),"")</f>
        <v/>
      </c>
      <c r="D192" s="14" t="str">
        <f>IFERROR(IF(SUMIFS(tblDaily[Deaths],tblDaily[EntryDate],DATE(2026,5,25),tblDaily[WardCode],"MAE")=0,"",SUMIFS(tblDaily[Deaths],tblDaily[EntryDate],DATE(2026,5,25),tblDaily[WardCode],"MAE")),"")</f>
        <v/>
      </c>
      <c r="E192" s="14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14" t="str">
        <f>IFERROR(IF(SUMIFS(tblDaily[TransfersIn],tblDaily[EntryDate],DATE(2026,5,25),tblDaily[WardCode],"MAE")=0,"",SUMIFS(tblDaily[TransfersIn],tblDaily[EntryDate],DATE(2026,5,25),tblDaily[WardCode],"MAE")),"")</f>
        <v/>
      </c>
      <c r="G192" s="14" t="str">
        <f>IFERROR(IF(SUMIFS(tblDaily[TransfersOut],tblDaily[EntryDate],DATE(2026,5,25),tblDaily[WardCode],"MAE")=0,"",SUMIFS(tblDaily[TransfersOut],tblDaily[EntryDate],DATE(2026,5,25),tblDaily[WardCode],"MAE")),"")</f>
        <v/>
      </c>
      <c r="H192" s="14" t="str">
        <f>IFERROR(IF(SUMIFS(tblDaily[Remaining],tblDaily[EntryDate],DATE(2026,5,25),tblDaily[WardCode],"MAE")=0,"",SUMIFS(tblDaily[Remaining],tblDaily[EntryDate],DATE(2026,5,25),tblDaily[WardCode],"MAE")),"")</f>
        <v/>
      </c>
      <c r="I192" s="14" t="str">
        <f>IFERROR(IF(SUMIFS(tblDaily[Admissions],tblDaily[EntryDate],DATE(2026,5,25),tblDaily[WardCode],"FAE")=0,"",SUMIFS(tblDaily[Admissions],tblDaily[EntryDate],DATE(2026,5,25),tblDaily[WardCode],"FAE")),"")</f>
        <v/>
      </c>
      <c r="J192" s="14" t="str">
        <f>IFERROR(IF(SUMIFS(tblDaily[Discharges],tblDaily[EntryDate],DATE(2026,5,25),tblDaily[WardCode],"FAE")=0,"",SUMIFS(tblDaily[Discharges],tblDaily[EntryDate],DATE(2026,5,25),tblDaily[WardCode],"FAE")),"")</f>
        <v/>
      </c>
      <c r="K192" s="14" t="str">
        <f>IFERROR(IF(SUMIFS(tblDaily[Deaths],tblDaily[EntryDate],DATE(2026,5,25),tblDaily[WardCode],"FAE")=0,"",SUMIFS(tblDaily[Deaths],tblDaily[EntryDate],DATE(2026,5,25),tblDaily[WardCode],"FAE")),"")</f>
        <v/>
      </c>
      <c r="L192" s="14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14" t="str">
        <f>IFERROR(IF(SUMIFS(tblDaily[TransfersIn],tblDaily[EntryDate],DATE(2026,5,25),tblDaily[WardCode],"FAE")=0,"",SUMIFS(tblDaily[TransfersIn],tblDaily[EntryDate],DATE(2026,5,25),tblDaily[WardCode],"FAE")),"")</f>
        <v/>
      </c>
      <c r="N192" s="14" t="str">
        <f>IFERROR(IF(SUMIFS(tblDaily[TransfersOut],tblDaily[EntryDate],DATE(2026,5,25),tblDaily[WardCode],"FAE")=0,"",SUMIFS(tblDaily[TransfersOut],tblDaily[EntryDate],DATE(2026,5,25),tblDaily[WardCode],"FAE")),"")</f>
        <v/>
      </c>
      <c r="O192" s="14" t="str">
        <f>IFERROR(IF(SUMIFS(tblDaily[Remaining],tblDaily[EntryDate],DATE(2026,5,25),tblDaily[WardCode],"FAE")=0,"",SUMIFS(tblDaily[Remaining],tblDaily[EntryDate],DATE(2026,5,25),tblDaily[WardCode],"FAE")),"")</f>
        <v/>
      </c>
      <c r="P192" s="15" t="str">
        <f t="shared" si="4"/>
        <v/>
      </c>
    </row>
    <row r="193" spans="1:16" x14ac:dyDescent="0.25">
      <c r="A193" s="14">
        <v>26</v>
      </c>
      <c r="B193" s="14" t="str">
        <f>IFERROR(IF(SUMIFS(tblDaily[Admissions],tblDaily[EntryDate],DATE(2026,5,26),tblDaily[WardCode],"MAE")=0,"",SUMIFS(tblDaily[Admissions],tblDaily[EntryDate],DATE(2026,5,26),tblDaily[WardCode],"MAE")),"")</f>
        <v/>
      </c>
      <c r="C193" s="14" t="str">
        <f>IFERROR(IF(SUMIFS(tblDaily[Discharges],tblDaily[EntryDate],DATE(2026,5,26),tblDaily[WardCode],"MAE")=0,"",SUMIFS(tblDaily[Discharges],tblDaily[EntryDate],DATE(2026,5,26),tblDaily[WardCode],"MAE")),"")</f>
        <v/>
      </c>
      <c r="D193" s="14" t="str">
        <f>IFERROR(IF(SUMIFS(tblDaily[Deaths],tblDaily[EntryDate],DATE(2026,5,26),tblDaily[WardCode],"MAE")=0,"",SUMIFS(tblDaily[Deaths],tblDaily[EntryDate],DATE(2026,5,26),tblDaily[WardCode],"MAE")),"")</f>
        <v/>
      </c>
      <c r="E193" s="14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14" t="str">
        <f>IFERROR(IF(SUMIFS(tblDaily[TransfersIn],tblDaily[EntryDate],DATE(2026,5,26),tblDaily[WardCode],"MAE")=0,"",SUMIFS(tblDaily[TransfersIn],tblDaily[EntryDate],DATE(2026,5,26),tblDaily[WardCode],"MAE")),"")</f>
        <v/>
      </c>
      <c r="G193" s="14" t="str">
        <f>IFERROR(IF(SUMIFS(tblDaily[TransfersOut],tblDaily[EntryDate],DATE(2026,5,26),tblDaily[WardCode],"MAE")=0,"",SUMIFS(tblDaily[TransfersOut],tblDaily[EntryDate],DATE(2026,5,26),tblDaily[WardCode],"MAE")),"")</f>
        <v/>
      </c>
      <c r="H193" s="14" t="str">
        <f>IFERROR(IF(SUMIFS(tblDaily[Remaining],tblDaily[EntryDate],DATE(2026,5,26),tblDaily[WardCode],"MAE")=0,"",SUMIFS(tblDaily[Remaining],tblDaily[EntryDate],DATE(2026,5,26),tblDaily[WardCode],"MAE")),"")</f>
        <v/>
      </c>
      <c r="I193" s="14" t="str">
        <f>IFERROR(IF(SUMIFS(tblDaily[Admissions],tblDaily[EntryDate],DATE(2026,5,26),tblDaily[WardCode],"FAE")=0,"",SUMIFS(tblDaily[Admissions],tblDaily[EntryDate],DATE(2026,5,26),tblDaily[WardCode],"FAE")),"")</f>
        <v/>
      </c>
      <c r="J193" s="14" t="str">
        <f>IFERROR(IF(SUMIFS(tblDaily[Discharges],tblDaily[EntryDate],DATE(2026,5,26),tblDaily[WardCode],"FAE")=0,"",SUMIFS(tblDaily[Discharges],tblDaily[EntryDate],DATE(2026,5,26),tblDaily[WardCode],"FAE")),"")</f>
        <v/>
      </c>
      <c r="K193" s="14" t="str">
        <f>IFERROR(IF(SUMIFS(tblDaily[Deaths],tblDaily[EntryDate],DATE(2026,5,26),tblDaily[WardCode],"FAE")=0,"",SUMIFS(tblDaily[Deaths],tblDaily[EntryDate],DATE(2026,5,26),tblDaily[WardCode],"FAE")),"")</f>
        <v/>
      </c>
      <c r="L193" s="14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14" t="str">
        <f>IFERROR(IF(SUMIFS(tblDaily[TransfersIn],tblDaily[EntryDate],DATE(2026,5,26),tblDaily[WardCode],"FAE")=0,"",SUMIFS(tblDaily[TransfersIn],tblDaily[EntryDate],DATE(2026,5,26),tblDaily[WardCode],"FAE")),"")</f>
        <v/>
      </c>
      <c r="N193" s="14" t="str">
        <f>IFERROR(IF(SUMIFS(tblDaily[TransfersOut],tblDaily[EntryDate],DATE(2026,5,26),tblDaily[WardCode],"FAE")=0,"",SUMIFS(tblDaily[TransfersOut],tblDaily[EntryDate],DATE(2026,5,26),tblDaily[WardCode],"FAE")),"")</f>
        <v/>
      </c>
      <c r="O193" s="14" t="str">
        <f>IFERROR(IF(SUMIFS(tblDaily[Remaining],tblDaily[EntryDate],DATE(2026,5,26),tblDaily[WardCode],"FAE")=0,"",SUMIFS(tblDaily[Remaining],tblDaily[EntryDate],DATE(2026,5,26),tblDaily[WardCode],"FAE")),"")</f>
        <v/>
      </c>
      <c r="P193" s="15" t="str">
        <f t="shared" si="4"/>
        <v/>
      </c>
    </row>
    <row r="194" spans="1:16" x14ac:dyDescent="0.25">
      <c r="A194" s="14">
        <v>27</v>
      </c>
      <c r="B194" s="14" t="str">
        <f>IFERROR(IF(SUMIFS(tblDaily[Admissions],tblDaily[EntryDate],DATE(2026,5,27),tblDaily[WardCode],"MAE")=0,"",SUMIFS(tblDaily[Admissions],tblDaily[EntryDate],DATE(2026,5,27),tblDaily[WardCode],"MAE")),"")</f>
        <v/>
      </c>
      <c r="C194" s="14" t="str">
        <f>IFERROR(IF(SUMIFS(tblDaily[Discharges],tblDaily[EntryDate],DATE(2026,5,27),tblDaily[WardCode],"MAE")=0,"",SUMIFS(tblDaily[Discharges],tblDaily[EntryDate],DATE(2026,5,27),tblDaily[WardCode],"MAE")),"")</f>
        <v/>
      </c>
      <c r="D194" s="14" t="str">
        <f>IFERROR(IF(SUMIFS(tblDaily[Deaths],tblDaily[EntryDate],DATE(2026,5,27),tblDaily[WardCode],"MAE")=0,"",SUMIFS(tblDaily[Deaths],tblDaily[EntryDate],DATE(2026,5,27),tblDaily[WardCode],"MAE")),"")</f>
        <v/>
      </c>
      <c r="E194" s="14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14" t="str">
        <f>IFERROR(IF(SUMIFS(tblDaily[TransfersIn],tblDaily[EntryDate],DATE(2026,5,27),tblDaily[WardCode],"MAE")=0,"",SUMIFS(tblDaily[TransfersIn],tblDaily[EntryDate],DATE(2026,5,27),tblDaily[WardCode],"MAE")),"")</f>
        <v/>
      </c>
      <c r="G194" s="14" t="str">
        <f>IFERROR(IF(SUMIFS(tblDaily[TransfersOut],tblDaily[EntryDate],DATE(2026,5,27),tblDaily[WardCode],"MAE")=0,"",SUMIFS(tblDaily[TransfersOut],tblDaily[EntryDate],DATE(2026,5,27),tblDaily[WardCode],"MAE")),"")</f>
        <v/>
      </c>
      <c r="H194" s="14" t="str">
        <f>IFERROR(IF(SUMIFS(tblDaily[Remaining],tblDaily[EntryDate],DATE(2026,5,27),tblDaily[WardCode],"MAE")=0,"",SUMIFS(tblDaily[Remaining],tblDaily[EntryDate],DATE(2026,5,27),tblDaily[WardCode],"MAE")),"")</f>
        <v/>
      </c>
      <c r="I194" s="14" t="str">
        <f>IFERROR(IF(SUMIFS(tblDaily[Admissions],tblDaily[EntryDate],DATE(2026,5,27),tblDaily[WardCode],"FAE")=0,"",SUMIFS(tblDaily[Admissions],tblDaily[EntryDate],DATE(2026,5,27),tblDaily[WardCode],"FAE")),"")</f>
        <v/>
      </c>
      <c r="J194" s="14" t="str">
        <f>IFERROR(IF(SUMIFS(tblDaily[Discharges],tblDaily[EntryDate],DATE(2026,5,27),tblDaily[WardCode],"FAE")=0,"",SUMIFS(tblDaily[Discharges],tblDaily[EntryDate],DATE(2026,5,27),tblDaily[WardCode],"FAE")),"")</f>
        <v/>
      </c>
      <c r="K194" s="14" t="str">
        <f>IFERROR(IF(SUMIFS(tblDaily[Deaths],tblDaily[EntryDate],DATE(2026,5,27),tblDaily[WardCode],"FAE")=0,"",SUMIFS(tblDaily[Deaths],tblDaily[EntryDate],DATE(2026,5,27),tblDaily[WardCode],"FAE")),"")</f>
        <v/>
      </c>
      <c r="L194" s="14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14" t="str">
        <f>IFERROR(IF(SUMIFS(tblDaily[TransfersIn],tblDaily[EntryDate],DATE(2026,5,27),tblDaily[WardCode],"FAE")=0,"",SUMIFS(tblDaily[TransfersIn],tblDaily[EntryDate],DATE(2026,5,27),tblDaily[WardCode],"FAE")),"")</f>
        <v/>
      </c>
      <c r="N194" s="14" t="str">
        <f>IFERROR(IF(SUMIFS(tblDaily[TransfersOut],tblDaily[EntryDate],DATE(2026,5,27),tblDaily[WardCode],"FAE")=0,"",SUMIFS(tblDaily[TransfersOut],tblDaily[EntryDate],DATE(2026,5,27),tblDaily[WardCode],"FAE")),"")</f>
        <v/>
      </c>
      <c r="O194" s="14" t="str">
        <f>IFERROR(IF(SUMIFS(tblDaily[Remaining],tblDaily[EntryDate],DATE(2026,5,27),tblDaily[WardCode],"FAE")=0,"",SUMIFS(tblDaily[Remaining],tblDaily[EntryDate],DATE(2026,5,27),tblDaily[WardCode],"FAE")),"")</f>
        <v/>
      </c>
      <c r="P194" s="15" t="str">
        <f t="shared" si="4"/>
        <v/>
      </c>
    </row>
    <row r="195" spans="1:16" x14ac:dyDescent="0.25">
      <c r="A195" s="14">
        <v>28</v>
      </c>
      <c r="B195" s="14" t="str">
        <f>IFERROR(IF(SUMIFS(tblDaily[Admissions],tblDaily[EntryDate],DATE(2026,5,28),tblDaily[WardCode],"MAE")=0,"",SUMIFS(tblDaily[Admissions],tblDaily[EntryDate],DATE(2026,5,28),tblDaily[WardCode],"MAE")),"")</f>
        <v/>
      </c>
      <c r="C195" s="14" t="str">
        <f>IFERROR(IF(SUMIFS(tblDaily[Discharges],tblDaily[EntryDate],DATE(2026,5,28),tblDaily[WardCode],"MAE")=0,"",SUMIFS(tblDaily[Discharges],tblDaily[EntryDate],DATE(2026,5,28),tblDaily[WardCode],"MAE")),"")</f>
        <v/>
      </c>
      <c r="D195" s="14" t="str">
        <f>IFERROR(IF(SUMIFS(tblDaily[Deaths],tblDaily[EntryDate],DATE(2026,5,28),tblDaily[WardCode],"MAE")=0,"",SUMIFS(tblDaily[Deaths],tblDaily[EntryDate],DATE(2026,5,28),tblDaily[WardCode],"MAE")),"")</f>
        <v/>
      </c>
      <c r="E195" s="14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14" t="str">
        <f>IFERROR(IF(SUMIFS(tblDaily[TransfersIn],tblDaily[EntryDate],DATE(2026,5,28),tblDaily[WardCode],"MAE")=0,"",SUMIFS(tblDaily[TransfersIn],tblDaily[EntryDate],DATE(2026,5,28),tblDaily[WardCode],"MAE")),"")</f>
        <v/>
      </c>
      <c r="G195" s="14" t="str">
        <f>IFERROR(IF(SUMIFS(tblDaily[TransfersOut],tblDaily[EntryDate],DATE(2026,5,28),tblDaily[WardCode],"MAE")=0,"",SUMIFS(tblDaily[TransfersOut],tblDaily[EntryDate],DATE(2026,5,28),tblDaily[WardCode],"MAE")),"")</f>
        <v/>
      </c>
      <c r="H195" s="14" t="str">
        <f>IFERROR(IF(SUMIFS(tblDaily[Remaining],tblDaily[EntryDate],DATE(2026,5,28),tblDaily[WardCode],"MAE")=0,"",SUMIFS(tblDaily[Remaining],tblDaily[EntryDate],DATE(2026,5,28),tblDaily[WardCode],"MAE")),"")</f>
        <v/>
      </c>
      <c r="I195" s="14" t="str">
        <f>IFERROR(IF(SUMIFS(tblDaily[Admissions],tblDaily[EntryDate],DATE(2026,5,28),tblDaily[WardCode],"FAE")=0,"",SUMIFS(tblDaily[Admissions],tblDaily[EntryDate],DATE(2026,5,28),tblDaily[WardCode],"FAE")),"")</f>
        <v/>
      </c>
      <c r="J195" s="14" t="str">
        <f>IFERROR(IF(SUMIFS(tblDaily[Discharges],tblDaily[EntryDate],DATE(2026,5,28),tblDaily[WardCode],"FAE")=0,"",SUMIFS(tblDaily[Discharges],tblDaily[EntryDate],DATE(2026,5,28),tblDaily[WardCode],"FAE")),"")</f>
        <v/>
      </c>
      <c r="K195" s="14" t="str">
        <f>IFERROR(IF(SUMIFS(tblDaily[Deaths],tblDaily[EntryDate],DATE(2026,5,28),tblDaily[WardCode],"FAE")=0,"",SUMIFS(tblDaily[Deaths],tblDaily[EntryDate],DATE(2026,5,28),tblDaily[WardCode],"FAE")),"")</f>
        <v/>
      </c>
      <c r="L195" s="14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14" t="str">
        <f>IFERROR(IF(SUMIFS(tblDaily[TransfersIn],tblDaily[EntryDate],DATE(2026,5,28),tblDaily[WardCode],"FAE")=0,"",SUMIFS(tblDaily[TransfersIn],tblDaily[EntryDate],DATE(2026,5,28),tblDaily[WardCode],"FAE")),"")</f>
        <v/>
      </c>
      <c r="N195" s="14" t="str">
        <f>IFERROR(IF(SUMIFS(tblDaily[TransfersOut],tblDaily[EntryDate],DATE(2026,5,28),tblDaily[WardCode],"FAE")=0,"",SUMIFS(tblDaily[TransfersOut],tblDaily[EntryDate],DATE(2026,5,28),tblDaily[WardCode],"FAE")),"")</f>
        <v/>
      </c>
      <c r="O195" s="14" t="str">
        <f>IFERROR(IF(SUMIFS(tblDaily[Remaining],tblDaily[EntryDate],DATE(2026,5,28),tblDaily[WardCode],"FAE")=0,"",SUMIFS(tblDaily[Remaining],tblDaily[EntryDate],DATE(2026,5,28),tblDaily[WardCode],"FAE")),"")</f>
        <v/>
      </c>
      <c r="P195" s="15" t="str">
        <f t="shared" si="4"/>
        <v/>
      </c>
    </row>
    <row r="196" spans="1:16" x14ac:dyDescent="0.25">
      <c r="A196" s="14">
        <v>29</v>
      </c>
      <c r="B196" s="14" t="str">
        <f>IFERROR(IF(SUMIFS(tblDaily[Admissions],tblDaily[EntryDate],DATE(2026,5,29),tblDaily[WardCode],"MAE")=0,"",SUMIFS(tblDaily[Admissions],tblDaily[EntryDate],DATE(2026,5,29),tblDaily[WardCode],"MAE")),"")</f>
        <v/>
      </c>
      <c r="C196" s="14" t="str">
        <f>IFERROR(IF(SUMIFS(tblDaily[Discharges],tblDaily[EntryDate],DATE(2026,5,29),tblDaily[WardCode],"MAE")=0,"",SUMIFS(tblDaily[Discharges],tblDaily[EntryDate],DATE(2026,5,29),tblDaily[WardCode],"MAE")),"")</f>
        <v/>
      </c>
      <c r="D196" s="14" t="str">
        <f>IFERROR(IF(SUMIFS(tblDaily[Deaths],tblDaily[EntryDate],DATE(2026,5,29),tblDaily[WardCode],"MAE")=0,"",SUMIFS(tblDaily[Deaths],tblDaily[EntryDate],DATE(2026,5,29),tblDaily[WardCode],"MAE")),"")</f>
        <v/>
      </c>
      <c r="E196" s="14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14" t="str">
        <f>IFERROR(IF(SUMIFS(tblDaily[TransfersIn],tblDaily[EntryDate],DATE(2026,5,29),tblDaily[WardCode],"MAE")=0,"",SUMIFS(tblDaily[TransfersIn],tblDaily[EntryDate],DATE(2026,5,29),tblDaily[WardCode],"MAE")),"")</f>
        <v/>
      </c>
      <c r="G196" s="14" t="str">
        <f>IFERROR(IF(SUMIFS(tblDaily[TransfersOut],tblDaily[EntryDate],DATE(2026,5,29),tblDaily[WardCode],"MAE")=0,"",SUMIFS(tblDaily[TransfersOut],tblDaily[EntryDate],DATE(2026,5,29),tblDaily[WardCode],"MAE")),"")</f>
        <v/>
      </c>
      <c r="H196" s="14" t="str">
        <f>IFERROR(IF(SUMIFS(tblDaily[Remaining],tblDaily[EntryDate],DATE(2026,5,29),tblDaily[WardCode],"MAE")=0,"",SUMIFS(tblDaily[Remaining],tblDaily[EntryDate],DATE(2026,5,29),tblDaily[WardCode],"MAE")),"")</f>
        <v/>
      </c>
      <c r="I196" s="14" t="str">
        <f>IFERROR(IF(SUMIFS(tblDaily[Admissions],tblDaily[EntryDate],DATE(2026,5,29),tblDaily[WardCode],"FAE")=0,"",SUMIFS(tblDaily[Admissions],tblDaily[EntryDate],DATE(2026,5,29),tblDaily[WardCode],"FAE")),"")</f>
        <v/>
      </c>
      <c r="J196" s="14" t="str">
        <f>IFERROR(IF(SUMIFS(tblDaily[Discharges],tblDaily[EntryDate],DATE(2026,5,29),tblDaily[WardCode],"FAE")=0,"",SUMIFS(tblDaily[Discharges],tblDaily[EntryDate],DATE(2026,5,29),tblDaily[WardCode],"FAE")),"")</f>
        <v/>
      </c>
      <c r="K196" s="14" t="str">
        <f>IFERROR(IF(SUMIFS(tblDaily[Deaths],tblDaily[EntryDate],DATE(2026,5,29),tblDaily[WardCode],"FAE")=0,"",SUMIFS(tblDaily[Deaths],tblDaily[EntryDate],DATE(2026,5,29),tblDaily[WardCode],"FAE")),"")</f>
        <v/>
      </c>
      <c r="L196" s="14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14" t="str">
        <f>IFERROR(IF(SUMIFS(tblDaily[TransfersIn],tblDaily[EntryDate],DATE(2026,5,29),tblDaily[WardCode],"FAE")=0,"",SUMIFS(tblDaily[TransfersIn],tblDaily[EntryDate],DATE(2026,5,29),tblDaily[WardCode],"FAE")),"")</f>
        <v/>
      </c>
      <c r="N196" s="14" t="str">
        <f>IFERROR(IF(SUMIFS(tblDaily[TransfersOut],tblDaily[EntryDate],DATE(2026,5,29),tblDaily[WardCode],"FAE")=0,"",SUMIFS(tblDaily[TransfersOut],tblDaily[EntryDate],DATE(2026,5,29),tblDaily[WardCode],"FAE")),"")</f>
        <v/>
      </c>
      <c r="O196" s="14" t="str">
        <f>IFERROR(IF(SUMIFS(tblDaily[Remaining],tblDaily[EntryDate],DATE(2026,5,29),tblDaily[WardCode],"FAE")=0,"",SUMIFS(tblDaily[Remaining],tblDaily[EntryDate],DATE(2026,5,29),tblDaily[WardCode],"FAE")),"")</f>
        <v/>
      </c>
      <c r="P196" s="15" t="str">
        <f t="shared" si="4"/>
        <v/>
      </c>
    </row>
    <row r="197" spans="1:16" x14ac:dyDescent="0.25">
      <c r="A197" s="14">
        <v>30</v>
      </c>
      <c r="B197" s="14" t="str">
        <f>IFERROR(IF(SUMIFS(tblDaily[Admissions],tblDaily[EntryDate],DATE(2026,5,30),tblDaily[WardCode],"MAE")=0,"",SUMIFS(tblDaily[Admissions],tblDaily[EntryDate],DATE(2026,5,30),tblDaily[WardCode],"MAE")),"")</f>
        <v/>
      </c>
      <c r="C197" s="14" t="str">
        <f>IFERROR(IF(SUMIFS(tblDaily[Discharges],tblDaily[EntryDate],DATE(2026,5,30),tblDaily[WardCode],"MAE")=0,"",SUMIFS(tblDaily[Discharges],tblDaily[EntryDate],DATE(2026,5,30),tblDaily[WardCode],"MAE")),"")</f>
        <v/>
      </c>
      <c r="D197" s="14" t="str">
        <f>IFERROR(IF(SUMIFS(tblDaily[Deaths],tblDaily[EntryDate],DATE(2026,5,30),tblDaily[WardCode],"MAE")=0,"",SUMIFS(tblDaily[Deaths],tblDaily[EntryDate],DATE(2026,5,30),tblDaily[WardCode],"MAE")),"")</f>
        <v/>
      </c>
      <c r="E197" s="14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14" t="str">
        <f>IFERROR(IF(SUMIFS(tblDaily[TransfersIn],tblDaily[EntryDate],DATE(2026,5,30),tblDaily[WardCode],"MAE")=0,"",SUMIFS(tblDaily[TransfersIn],tblDaily[EntryDate],DATE(2026,5,30),tblDaily[WardCode],"MAE")),"")</f>
        <v/>
      </c>
      <c r="G197" s="14" t="str">
        <f>IFERROR(IF(SUMIFS(tblDaily[TransfersOut],tblDaily[EntryDate],DATE(2026,5,30),tblDaily[WardCode],"MAE")=0,"",SUMIFS(tblDaily[TransfersOut],tblDaily[EntryDate],DATE(2026,5,30),tblDaily[WardCode],"MAE")),"")</f>
        <v/>
      </c>
      <c r="H197" s="14" t="str">
        <f>IFERROR(IF(SUMIFS(tblDaily[Remaining],tblDaily[EntryDate],DATE(2026,5,30),tblDaily[WardCode],"MAE")=0,"",SUMIFS(tblDaily[Remaining],tblDaily[EntryDate],DATE(2026,5,30),tblDaily[WardCode],"MAE")),"")</f>
        <v/>
      </c>
      <c r="I197" s="14" t="str">
        <f>IFERROR(IF(SUMIFS(tblDaily[Admissions],tblDaily[EntryDate],DATE(2026,5,30),tblDaily[WardCode],"FAE")=0,"",SUMIFS(tblDaily[Admissions],tblDaily[EntryDate],DATE(2026,5,30),tblDaily[WardCode],"FAE")),"")</f>
        <v/>
      </c>
      <c r="J197" s="14" t="str">
        <f>IFERROR(IF(SUMIFS(tblDaily[Discharges],tblDaily[EntryDate],DATE(2026,5,30),tblDaily[WardCode],"FAE")=0,"",SUMIFS(tblDaily[Discharges],tblDaily[EntryDate],DATE(2026,5,30),tblDaily[WardCode],"FAE")),"")</f>
        <v/>
      </c>
      <c r="K197" s="14" t="str">
        <f>IFERROR(IF(SUMIFS(tblDaily[Deaths],tblDaily[EntryDate],DATE(2026,5,30),tblDaily[WardCode],"FAE")=0,"",SUMIFS(tblDaily[Deaths],tblDaily[EntryDate],DATE(2026,5,30),tblDaily[WardCode],"FAE")),"")</f>
        <v/>
      </c>
      <c r="L197" s="14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14" t="str">
        <f>IFERROR(IF(SUMIFS(tblDaily[TransfersIn],tblDaily[EntryDate],DATE(2026,5,30),tblDaily[WardCode],"FAE")=0,"",SUMIFS(tblDaily[TransfersIn],tblDaily[EntryDate],DATE(2026,5,30),tblDaily[WardCode],"FAE")),"")</f>
        <v/>
      </c>
      <c r="N197" s="14" t="str">
        <f>IFERROR(IF(SUMIFS(tblDaily[TransfersOut],tblDaily[EntryDate],DATE(2026,5,30),tblDaily[WardCode],"FAE")=0,"",SUMIFS(tblDaily[TransfersOut],tblDaily[EntryDate],DATE(2026,5,30),tblDaily[WardCode],"FAE")),"")</f>
        <v/>
      </c>
      <c r="O197" s="14" t="str">
        <f>IFERROR(IF(SUMIFS(tblDaily[Remaining],tblDaily[EntryDate],DATE(2026,5,30),tblDaily[WardCode],"FAE")=0,"",SUMIFS(tblDaily[Remaining],tblDaily[EntryDate],DATE(2026,5,30),tblDaily[WardCode],"FAE")),"")</f>
        <v/>
      </c>
      <c r="P197" s="15" t="str">
        <f t="shared" si="4"/>
        <v/>
      </c>
    </row>
    <row r="198" spans="1:16" x14ac:dyDescent="0.25">
      <c r="A198" s="14">
        <v>31</v>
      </c>
      <c r="B198" s="14" t="str">
        <f>IFERROR(IF(SUMIFS(tblDaily[Admissions],tblDaily[EntryDate],DATE(2026,5,31),tblDaily[WardCode],"MAE")=0,"",SUMIFS(tblDaily[Admissions],tblDaily[EntryDate],DATE(2026,5,31),tblDaily[WardCode],"MAE")),"")</f>
        <v/>
      </c>
      <c r="C198" s="14" t="str">
        <f>IFERROR(IF(SUMIFS(tblDaily[Discharges],tblDaily[EntryDate],DATE(2026,5,31),tblDaily[WardCode],"MAE")=0,"",SUMIFS(tblDaily[Discharges],tblDaily[EntryDate],DATE(2026,5,31),tblDaily[WardCode],"MAE")),"")</f>
        <v/>
      </c>
      <c r="D198" s="14" t="str">
        <f>IFERROR(IF(SUMIFS(tblDaily[Deaths],tblDaily[EntryDate],DATE(2026,5,31),tblDaily[WardCode],"MAE")=0,"",SUMIFS(tblDaily[Deaths],tblDaily[EntryDate],DATE(2026,5,31),tblDaily[WardCode],"MAE")),"")</f>
        <v/>
      </c>
      <c r="E198" s="14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14" t="str">
        <f>IFERROR(IF(SUMIFS(tblDaily[TransfersIn],tblDaily[EntryDate],DATE(2026,5,31),tblDaily[WardCode],"MAE")=0,"",SUMIFS(tblDaily[TransfersIn],tblDaily[EntryDate],DATE(2026,5,31),tblDaily[WardCode],"MAE")),"")</f>
        <v/>
      </c>
      <c r="G198" s="14" t="str">
        <f>IFERROR(IF(SUMIFS(tblDaily[TransfersOut],tblDaily[EntryDate],DATE(2026,5,31),tblDaily[WardCode],"MAE")=0,"",SUMIFS(tblDaily[TransfersOut],tblDaily[EntryDate],DATE(2026,5,31),tblDaily[WardCode],"MAE")),"")</f>
        <v/>
      </c>
      <c r="H198" s="14" t="str">
        <f>IFERROR(IF(SUMIFS(tblDaily[Remaining],tblDaily[EntryDate],DATE(2026,5,31),tblDaily[WardCode],"MAE")=0,"",SUMIFS(tblDaily[Remaining],tblDaily[EntryDate],DATE(2026,5,31),tblDaily[WardCode],"MAE")),"")</f>
        <v/>
      </c>
      <c r="I198" s="14" t="str">
        <f>IFERROR(IF(SUMIFS(tblDaily[Admissions],tblDaily[EntryDate],DATE(2026,5,31),tblDaily[WardCode],"FAE")=0,"",SUMIFS(tblDaily[Admissions],tblDaily[EntryDate],DATE(2026,5,31),tblDaily[WardCode],"FAE")),"")</f>
        <v/>
      </c>
      <c r="J198" s="14" t="str">
        <f>IFERROR(IF(SUMIFS(tblDaily[Discharges],tblDaily[EntryDate],DATE(2026,5,31),tblDaily[WardCode],"FAE")=0,"",SUMIFS(tblDaily[Discharges],tblDaily[EntryDate],DATE(2026,5,31),tblDaily[WardCode],"FAE")),"")</f>
        <v/>
      </c>
      <c r="K198" s="14" t="str">
        <f>IFERROR(IF(SUMIFS(tblDaily[Deaths],tblDaily[EntryDate],DATE(2026,5,31),tblDaily[WardCode],"FAE")=0,"",SUMIFS(tblDaily[Deaths],tblDaily[EntryDate],DATE(2026,5,31),tblDaily[WardCode],"FAE")),"")</f>
        <v/>
      </c>
      <c r="L198" s="14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14" t="str">
        <f>IFERROR(IF(SUMIFS(tblDaily[TransfersIn],tblDaily[EntryDate],DATE(2026,5,31),tblDaily[WardCode],"FAE")=0,"",SUMIFS(tblDaily[TransfersIn],tblDaily[EntryDate],DATE(2026,5,31),tblDaily[WardCode],"FAE")),"")</f>
        <v/>
      </c>
      <c r="N198" s="14" t="str">
        <f>IFERROR(IF(SUMIFS(tblDaily[TransfersOut],tblDaily[EntryDate],DATE(2026,5,31),tblDaily[WardCode],"FAE")=0,"",SUMIFS(tblDaily[TransfersOut],tblDaily[EntryDate],DATE(2026,5,31),tblDaily[WardCode],"FAE")),"")</f>
        <v/>
      </c>
      <c r="O198" s="14" t="str">
        <f>IFERROR(IF(SUMIFS(tblDaily[Remaining],tblDaily[EntryDate],DATE(2026,5,31),tblDaily[WardCode],"FAE")=0,"",SUMIFS(tblDaily[Remaining],tblDaily[EntryDate],DATE(2026,5,31),tblDaily[WardCode],"FAE")),"")</f>
        <v/>
      </c>
      <c r="P198" s="15" t="str">
        <f t="shared" si="4"/>
        <v/>
      </c>
    </row>
    <row r="199" spans="1:16" x14ac:dyDescent="0.25">
      <c r="A199" s="9" t="s">
        <v>112</v>
      </c>
      <c r="B199" s="9">
        <f>SUMIFS(tblDaily[Admissions],tblDaily[Month],5,tblDaily[WardCode],"MAE") - SUMIFS(tblDaily[DeathsUnder24Hrs],tblDaily[Month],5,tblDaily[WardCode],"MAE")</f>
        <v>0</v>
      </c>
      <c r="C199" s="9">
        <f>SUMIFS(tblDaily[Discharges],tblDaily[Month],5,tblDaily[WardCode],"MAE")</f>
        <v>0</v>
      </c>
      <c r="D199" s="9">
        <f>SUMIFS(tblDaily[Deaths],tblDaily[Month],5,tblDaily[WardCode],"MAE")</f>
        <v>0</v>
      </c>
      <c r="E199" s="9">
        <f>SUMIFS(tblDaily[DeathsUnder24Hrs],tblDaily[Month],5,tblDaily[WardCode],"MAE")</f>
        <v>0</v>
      </c>
      <c r="F199" s="9">
        <f>SUMIFS(tblDaily[TransfersIn],tblDaily[Month],5,tblDaily[WardCode],"MAE")</f>
        <v>0</v>
      </c>
      <c r="G199" s="9">
        <f>SUMIFS(tblDaily[TransfersOut],tblDaily[Month],5,tblDaily[WardCode],"MAE")</f>
        <v>0</v>
      </c>
      <c r="H199" s="9">
        <f>SUMIFS(tblDaily[Remaining],tblDaily[Month],5,tblDaily[WardCode],"MAE")</f>
        <v>0</v>
      </c>
      <c r="I199" s="9">
        <f>SUMIFS(tblDaily[Admissions],tblDaily[Month],5,tblDaily[WardCode],"FAE") - SUMIFS(tblDaily[DeathsUnder24Hrs],tblDaily[Month],5,tblDaily[WardCode],"FAE")</f>
        <v>0</v>
      </c>
      <c r="J199" s="9">
        <f>SUMIFS(tblDaily[Discharges],tblDaily[Month],5,tblDaily[WardCode],"FAE")</f>
        <v>0</v>
      </c>
      <c r="K199" s="9">
        <f>SUMIFS(tblDaily[Deaths],tblDaily[Month],5,tblDaily[WardCode],"FAE")</f>
        <v>0</v>
      </c>
      <c r="L199" s="9">
        <f>SUMIFS(tblDaily[DeathsUnder24Hrs],tblDaily[Month],5,tblDaily[WardCode],"FAE")</f>
        <v>0</v>
      </c>
      <c r="M199" s="9">
        <f>SUMIFS(tblDaily[TransfersIn],tblDaily[Month],5,tblDaily[WardCode],"FAE")</f>
        <v>0</v>
      </c>
      <c r="N199" s="9">
        <f>SUMIFS(tblDaily[TransfersOut],tblDaily[Month],5,tblDaily[WardCode],"FAE")</f>
        <v>0</v>
      </c>
      <c r="O199" s="9">
        <f>SUMIFS(tblDaily[Remaining],tblDaily[Month],5,tblDaily[WardCode],"FAE")</f>
        <v>0</v>
      </c>
      <c r="P199" s="9">
        <f>H199 + O199</f>
        <v>0</v>
      </c>
    </row>
    <row r="201" spans="1:16" ht="18.75" x14ac:dyDescent="0.25">
      <c r="A201" s="39" t="s">
        <v>0</v>
      </c>
      <c r="B201" s="29"/>
      <c r="C201" s="2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</row>
    <row r="202" spans="1:16" ht="15.75" x14ac:dyDescent="0.25">
      <c r="A202" s="35" t="s">
        <v>101</v>
      </c>
      <c r="B202" s="29"/>
      <c r="C202" s="2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</row>
    <row r="203" spans="1:16" x14ac:dyDescent="0.25">
      <c r="A203" s="1" t="s">
        <v>4</v>
      </c>
      <c r="B203" s="2" t="s">
        <v>2</v>
      </c>
      <c r="E203" s="1" t="s">
        <v>102</v>
      </c>
      <c r="F203" s="1" t="s">
        <v>121</v>
      </c>
      <c r="M203" s="1" t="s">
        <v>104</v>
      </c>
      <c r="N203" s="1" t="s">
        <v>65</v>
      </c>
    </row>
    <row r="204" spans="1:16" x14ac:dyDescent="0.25">
      <c r="A204" s="1" t="s">
        <v>105</v>
      </c>
      <c r="B204" s="11">
        <f>IFERROR(SUMIFS(tblDaily[Remaining],tblDaily[EntryDate],DATE(2026,5,31),tblDaily[WardCode],"MAE"),0)</f>
        <v>0</v>
      </c>
      <c r="I204" s="11">
        <f>IFERROR(SUMIFS(tblDaily[Remaining],tblDaily[EntryDate],DATE(2026,5,31),tblDaily[WardCode],"FAE"),0)</f>
        <v>0</v>
      </c>
    </row>
    <row r="205" spans="1:16" x14ac:dyDescent="0.25">
      <c r="A205" s="1" t="s">
        <v>106</v>
      </c>
      <c r="B205" s="11">
        <f>IFERROR(INDEX(tblWardConfig[BedComplement],MATCH("MAE",tblWardConfig[WardCode],0)),0)</f>
        <v>10</v>
      </c>
      <c r="I205" s="11">
        <f>IFERROR(INDEX(tblWardConfig[BedComplement],MATCH("FAE",tblWardConfig[WardCode],0)),0)</f>
        <v>10</v>
      </c>
      <c r="O205" s="12">
        <f>B205+I205</f>
        <v>20</v>
      </c>
    </row>
    <row r="206" spans="1:16" x14ac:dyDescent="0.25">
      <c r="A206" s="3" t="s">
        <v>122</v>
      </c>
      <c r="B206" s="38" t="s">
        <v>119</v>
      </c>
      <c r="C206" s="29"/>
      <c r="D206" s="29"/>
      <c r="E206" s="29"/>
      <c r="F206" s="29"/>
      <c r="G206" s="29"/>
      <c r="H206" s="29"/>
      <c r="I206" s="40" t="s">
        <v>120</v>
      </c>
      <c r="J206" s="29"/>
      <c r="K206" s="29"/>
      <c r="L206" s="29"/>
      <c r="M206" s="29"/>
      <c r="N206" s="29"/>
      <c r="O206" s="29"/>
      <c r="P206" s="13" t="s">
        <v>112</v>
      </c>
    </row>
    <row r="207" spans="1:16" x14ac:dyDescent="0.25">
      <c r="A207" s="3" t="s">
        <v>122</v>
      </c>
      <c r="B207" s="3" t="s">
        <v>123</v>
      </c>
      <c r="C207" s="3" t="s">
        <v>124</v>
      </c>
      <c r="D207" s="3" t="s">
        <v>125</v>
      </c>
      <c r="E207" s="3" t="s">
        <v>126</v>
      </c>
      <c r="F207" s="3" t="s">
        <v>127</v>
      </c>
      <c r="G207" s="3" t="s">
        <v>128</v>
      </c>
      <c r="H207" s="3" t="s">
        <v>129</v>
      </c>
      <c r="I207" s="3" t="s">
        <v>123</v>
      </c>
      <c r="J207" s="3" t="s">
        <v>124</v>
      </c>
      <c r="K207" s="3" t="s">
        <v>125</v>
      </c>
      <c r="L207" s="3" t="s">
        <v>126</v>
      </c>
      <c r="M207" s="3" t="s">
        <v>127</v>
      </c>
      <c r="N207" s="3" t="s">
        <v>128</v>
      </c>
      <c r="O207" s="3" t="s">
        <v>129</v>
      </c>
      <c r="P207" s="3" t="s">
        <v>130</v>
      </c>
    </row>
    <row r="208" spans="1:16" x14ac:dyDescent="0.25">
      <c r="A208" s="14">
        <v>1</v>
      </c>
      <c r="B208" s="14" t="str">
        <f>IFERROR(IF(SUMIFS(tblDaily[Admissions],tblDaily[EntryDate],DATE(2026,6,1),tblDaily[WardCode],"MAE")=0,"",SUMIFS(tblDaily[Admissions],tblDaily[EntryDate],DATE(2026,6,1),tblDaily[WardCode],"MAE")),"")</f>
        <v/>
      </c>
      <c r="C208" s="14" t="str">
        <f>IFERROR(IF(SUMIFS(tblDaily[Discharges],tblDaily[EntryDate],DATE(2026,6,1),tblDaily[WardCode],"MAE")=0,"",SUMIFS(tblDaily[Discharges],tblDaily[EntryDate],DATE(2026,6,1),tblDaily[WardCode],"MAE")),"")</f>
        <v/>
      </c>
      <c r="D208" s="14" t="str">
        <f>IFERROR(IF(SUMIFS(tblDaily[Deaths],tblDaily[EntryDate],DATE(2026,6,1),tblDaily[WardCode],"MAE")=0,"",SUMIFS(tblDaily[Deaths],tblDaily[EntryDate],DATE(2026,6,1),tblDaily[WardCode],"MAE")),"")</f>
        <v/>
      </c>
      <c r="E208" s="14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14" t="str">
        <f>IFERROR(IF(SUMIFS(tblDaily[TransfersIn],tblDaily[EntryDate],DATE(2026,6,1),tblDaily[WardCode],"MAE")=0,"",SUMIFS(tblDaily[TransfersIn],tblDaily[EntryDate],DATE(2026,6,1),tblDaily[WardCode],"MAE")),"")</f>
        <v/>
      </c>
      <c r="G208" s="14" t="str">
        <f>IFERROR(IF(SUMIFS(tblDaily[TransfersOut],tblDaily[EntryDate],DATE(2026,6,1),tblDaily[WardCode],"MAE")=0,"",SUMIFS(tblDaily[TransfersOut],tblDaily[EntryDate],DATE(2026,6,1),tblDaily[WardCode],"MAE")),"")</f>
        <v/>
      </c>
      <c r="H208" s="14" t="str">
        <f>IFERROR(IF(SUMIFS(tblDaily[Remaining],tblDaily[EntryDate],DATE(2026,6,1),tblDaily[WardCode],"MAE")=0,"",SUMIFS(tblDaily[Remaining],tblDaily[EntryDate],DATE(2026,6,1),tblDaily[WardCode],"MAE")),"")</f>
        <v/>
      </c>
      <c r="I208" s="14" t="str">
        <f>IFERROR(IF(SUMIFS(tblDaily[Admissions],tblDaily[EntryDate],DATE(2026,6,1),tblDaily[WardCode],"FAE")=0,"",SUMIFS(tblDaily[Admissions],tblDaily[EntryDate],DATE(2026,6,1),tblDaily[WardCode],"FAE")),"")</f>
        <v/>
      </c>
      <c r="J208" s="14" t="str">
        <f>IFERROR(IF(SUMIFS(tblDaily[Discharges],tblDaily[EntryDate],DATE(2026,6,1),tblDaily[WardCode],"FAE")=0,"",SUMIFS(tblDaily[Discharges],tblDaily[EntryDate],DATE(2026,6,1),tblDaily[WardCode],"FAE")),"")</f>
        <v/>
      </c>
      <c r="K208" s="14" t="str">
        <f>IFERROR(IF(SUMIFS(tblDaily[Deaths],tblDaily[EntryDate],DATE(2026,6,1),tblDaily[WardCode],"FAE")=0,"",SUMIFS(tblDaily[Deaths],tblDaily[EntryDate],DATE(2026,6,1),tblDaily[WardCode],"FAE")),"")</f>
        <v/>
      </c>
      <c r="L208" s="14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14" t="str">
        <f>IFERROR(IF(SUMIFS(tblDaily[TransfersIn],tblDaily[EntryDate],DATE(2026,6,1),tblDaily[WardCode],"FAE")=0,"",SUMIFS(tblDaily[TransfersIn],tblDaily[EntryDate],DATE(2026,6,1),tblDaily[WardCode],"FAE")),"")</f>
        <v/>
      </c>
      <c r="N208" s="14" t="str">
        <f>IFERROR(IF(SUMIFS(tblDaily[TransfersOut],tblDaily[EntryDate],DATE(2026,6,1),tblDaily[WardCode],"FAE")=0,"",SUMIFS(tblDaily[TransfersOut],tblDaily[EntryDate],DATE(2026,6,1),tblDaily[WardCode],"FAE")),"")</f>
        <v/>
      </c>
      <c r="O208" s="14" t="str">
        <f>IFERROR(IF(SUMIFS(tblDaily[Remaining],tblDaily[EntryDate],DATE(2026,6,1),tblDaily[WardCode],"FAE")=0,"",SUMIFS(tblDaily[Remaining],tblDaily[EntryDate],DATE(2026,6,1),tblDaily[WardCode],"FAE")),"")</f>
        <v/>
      </c>
      <c r="P208" s="15" t="str">
        <f t="shared" ref="P208:P237" si="5">IF(AND(H208="", O208=""), "", N(H208) + N(O208))</f>
        <v/>
      </c>
    </row>
    <row r="209" spans="1:16" x14ac:dyDescent="0.25">
      <c r="A209" s="14">
        <v>2</v>
      </c>
      <c r="B209" s="14" t="str">
        <f>IFERROR(IF(SUMIFS(tblDaily[Admissions],tblDaily[EntryDate],DATE(2026,6,2),tblDaily[WardCode],"MAE")=0,"",SUMIFS(tblDaily[Admissions],tblDaily[EntryDate],DATE(2026,6,2),tblDaily[WardCode],"MAE")),"")</f>
        <v/>
      </c>
      <c r="C209" s="14" t="str">
        <f>IFERROR(IF(SUMIFS(tblDaily[Discharges],tblDaily[EntryDate],DATE(2026,6,2),tblDaily[WardCode],"MAE")=0,"",SUMIFS(tblDaily[Discharges],tblDaily[EntryDate],DATE(2026,6,2),tblDaily[WardCode],"MAE")),"")</f>
        <v/>
      </c>
      <c r="D209" s="14" t="str">
        <f>IFERROR(IF(SUMIFS(tblDaily[Deaths],tblDaily[EntryDate],DATE(2026,6,2),tblDaily[WardCode],"MAE")=0,"",SUMIFS(tblDaily[Deaths],tblDaily[EntryDate],DATE(2026,6,2),tblDaily[WardCode],"MAE")),"")</f>
        <v/>
      </c>
      <c r="E209" s="14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14" t="str">
        <f>IFERROR(IF(SUMIFS(tblDaily[TransfersIn],tblDaily[EntryDate],DATE(2026,6,2),tblDaily[WardCode],"MAE")=0,"",SUMIFS(tblDaily[TransfersIn],tblDaily[EntryDate],DATE(2026,6,2),tblDaily[WardCode],"MAE")),"")</f>
        <v/>
      </c>
      <c r="G209" s="14" t="str">
        <f>IFERROR(IF(SUMIFS(tblDaily[TransfersOut],tblDaily[EntryDate],DATE(2026,6,2),tblDaily[WardCode],"MAE")=0,"",SUMIFS(tblDaily[TransfersOut],tblDaily[EntryDate],DATE(2026,6,2),tblDaily[WardCode],"MAE")),"")</f>
        <v/>
      </c>
      <c r="H209" s="14" t="str">
        <f>IFERROR(IF(SUMIFS(tblDaily[Remaining],tblDaily[EntryDate],DATE(2026,6,2),tblDaily[WardCode],"MAE")=0,"",SUMIFS(tblDaily[Remaining],tblDaily[EntryDate],DATE(2026,6,2),tblDaily[WardCode],"MAE")),"")</f>
        <v/>
      </c>
      <c r="I209" s="14" t="str">
        <f>IFERROR(IF(SUMIFS(tblDaily[Admissions],tblDaily[EntryDate],DATE(2026,6,2),tblDaily[WardCode],"FAE")=0,"",SUMIFS(tblDaily[Admissions],tblDaily[EntryDate],DATE(2026,6,2),tblDaily[WardCode],"FAE")),"")</f>
        <v/>
      </c>
      <c r="J209" s="14" t="str">
        <f>IFERROR(IF(SUMIFS(tblDaily[Discharges],tblDaily[EntryDate],DATE(2026,6,2),tblDaily[WardCode],"FAE")=0,"",SUMIFS(tblDaily[Discharges],tblDaily[EntryDate],DATE(2026,6,2),tblDaily[WardCode],"FAE")),"")</f>
        <v/>
      </c>
      <c r="K209" s="14" t="str">
        <f>IFERROR(IF(SUMIFS(tblDaily[Deaths],tblDaily[EntryDate],DATE(2026,6,2),tblDaily[WardCode],"FAE")=0,"",SUMIFS(tblDaily[Deaths],tblDaily[EntryDate],DATE(2026,6,2),tblDaily[WardCode],"FAE")),"")</f>
        <v/>
      </c>
      <c r="L209" s="14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14" t="str">
        <f>IFERROR(IF(SUMIFS(tblDaily[TransfersIn],tblDaily[EntryDate],DATE(2026,6,2),tblDaily[WardCode],"FAE")=0,"",SUMIFS(tblDaily[TransfersIn],tblDaily[EntryDate],DATE(2026,6,2),tblDaily[WardCode],"FAE")),"")</f>
        <v/>
      </c>
      <c r="N209" s="14" t="str">
        <f>IFERROR(IF(SUMIFS(tblDaily[TransfersOut],tblDaily[EntryDate],DATE(2026,6,2),tblDaily[WardCode],"FAE")=0,"",SUMIFS(tblDaily[TransfersOut],tblDaily[EntryDate],DATE(2026,6,2),tblDaily[WardCode],"FAE")),"")</f>
        <v/>
      </c>
      <c r="O209" s="14" t="str">
        <f>IFERROR(IF(SUMIFS(tblDaily[Remaining],tblDaily[EntryDate],DATE(2026,6,2),tblDaily[WardCode],"FAE")=0,"",SUMIFS(tblDaily[Remaining],tblDaily[EntryDate],DATE(2026,6,2),tblDaily[WardCode],"FAE")),"")</f>
        <v/>
      </c>
      <c r="P209" s="15" t="str">
        <f t="shared" si="5"/>
        <v/>
      </c>
    </row>
    <row r="210" spans="1:16" x14ac:dyDescent="0.25">
      <c r="A210" s="14">
        <v>3</v>
      </c>
      <c r="B210" s="14" t="str">
        <f>IFERROR(IF(SUMIFS(tblDaily[Admissions],tblDaily[EntryDate],DATE(2026,6,3),tblDaily[WardCode],"MAE")=0,"",SUMIFS(tblDaily[Admissions],tblDaily[EntryDate],DATE(2026,6,3),tblDaily[WardCode],"MAE")),"")</f>
        <v/>
      </c>
      <c r="C210" s="14" t="str">
        <f>IFERROR(IF(SUMIFS(tblDaily[Discharges],tblDaily[EntryDate],DATE(2026,6,3),tblDaily[WardCode],"MAE")=0,"",SUMIFS(tblDaily[Discharges],tblDaily[EntryDate],DATE(2026,6,3),tblDaily[WardCode],"MAE")),"")</f>
        <v/>
      </c>
      <c r="D210" s="14" t="str">
        <f>IFERROR(IF(SUMIFS(tblDaily[Deaths],tblDaily[EntryDate],DATE(2026,6,3),tblDaily[WardCode],"MAE")=0,"",SUMIFS(tblDaily[Deaths],tblDaily[EntryDate],DATE(2026,6,3),tblDaily[WardCode],"MAE")),"")</f>
        <v/>
      </c>
      <c r="E210" s="14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14" t="str">
        <f>IFERROR(IF(SUMIFS(tblDaily[TransfersIn],tblDaily[EntryDate],DATE(2026,6,3),tblDaily[WardCode],"MAE")=0,"",SUMIFS(tblDaily[TransfersIn],tblDaily[EntryDate],DATE(2026,6,3),tblDaily[WardCode],"MAE")),"")</f>
        <v/>
      </c>
      <c r="G210" s="14" t="str">
        <f>IFERROR(IF(SUMIFS(tblDaily[TransfersOut],tblDaily[EntryDate],DATE(2026,6,3),tblDaily[WardCode],"MAE")=0,"",SUMIFS(tblDaily[TransfersOut],tblDaily[EntryDate],DATE(2026,6,3),tblDaily[WardCode],"MAE")),"")</f>
        <v/>
      </c>
      <c r="H210" s="14" t="str">
        <f>IFERROR(IF(SUMIFS(tblDaily[Remaining],tblDaily[EntryDate],DATE(2026,6,3),tblDaily[WardCode],"MAE")=0,"",SUMIFS(tblDaily[Remaining],tblDaily[EntryDate],DATE(2026,6,3),tblDaily[WardCode],"MAE")),"")</f>
        <v/>
      </c>
      <c r="I210" s="14" t="str">
        <f>IFERROR(IF(SUMIFS(tblDaily[Admissions],tblDaily[EntryDate],DATE(2026,6,3),tblDaily[WardCode],"FAE")=0,"",SUMIFS(tblDaily[Admissions],tblDaily[EntryDate],DATE(2026,6,3),tblDaily[WardCode],"FAE")),"")</f>
        <v/>
      </c>
      <c r="J210" s="14" t="str">
        <f>IFERROR(IF(SUMIFS(tblDaily[Discharges],tblDaily[EntryDate],DATE(2026,6,3),tblDaily[WardCode],"FAE")=0,"",SUMIFS(tblDaily[Discharges],tblDaily[EntryDate],DATE(2026,6,3),tblDaily[WardCode],"FAE")),"")</f>
        <v/>
      </c>
      <c r="K210" s="14" t="str">
        <f>IFERROR(IF(SUMIFS(tblDaily[Deaths],tblDaily[EntryDate],DATE(2026,6,3),tblDaily[WardCode],"FAE")=0,"",SUMIFS(tblDaily[Deaths],tblDaily[EntryDate],DATE(2026,6,3),tblDaily[WardCode],"FAE")),"")</f>
        <v/>
      </c>
      <c r="L210" s="14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14" t="str">
        <f>IFERROR(IF(SUMIFS(tblDaily[TransfersIn],tblDaily[EntryDate],DATE(2026,6,3),tblDaily[WardCode],"FAE")=0,"",SUMIFS(tblDaily[TransfersIn],tblDaily[EntryDate],DATE(2026,6,3),tblDaily[WardCode],"FAE")),"")</f>
        <v/>
      </c>
      <c r="N210" s="14" t="str">
        <f>IFERROR(IF(SUMIFS(tblDaily[TransfersOut],tblDaily[EntryDate],DATE(2026,6,3),tblDaily[WardCode],"FAE")=0,"",SUMIFS(tblDaily[TransfersOut],tblDaily[EntryDate],DATE(2026,6,3),tblDaily[WardCode],"FAE")),"")</f>
        <v/>
      </c>
      <c r="O210" s="14" t="str">
        <f>IFERROR(IF(SUMIFS(tblDaily[Remaining],tblDaily[EntryDate],DATE(2026,6,3),tblDaily[WardCode],"FAE")=0,"",SUMIFS(tblDaily[Remaining],tblDaily[EntryDate],DATE(2026,6,3),tblDaily[WardCode],"FAE")),"")</f>
        <v/>
      </c>
      <c r="P210" s="15" t="str">
        <f t="shared" si="5"/>
        <v/>
      </c>
    </row>
    <row r="211" spans="1:16" x14ac:dyDescent="0.25">
      <c r="A211" s="14">
        <v>4</v>
      </c>
      <c r="B211" s="14" t="str">
        <f>IFERROR(IF(SUMIFS(tblDaily[Admissions],tblDaily[EntryDate],DATE(2026,6,4),tblDaily[WardCode],"MAE")=0,"",SUMIFS(tblDaily[Admissions],tblDaily[EntryDate],DATE(2026,6,4),tblDaily[WardCode],"MAE")),"")</f>
        <v/>
      </c>
      <c r="C211" s="14" t="str">
        <f>IFERROR(IF(SUMIFS(tblDaily[Discharges],tblDaily[EntryDate],DATE(2026,6,4),tblDaily[WardCode],"MAE")=0,"",SUMIFS(tblDaily[Discharges],tblDaily[EntryDate],DATE(2026,6,4),tblDaily[WardCode],"MAE")),"")</f>
        <v/>
      </c>
      <c r="D211" s="14" t="str">
        <f>IFERROR(IF(SUMIFS(tblDaily[Deaths],tblDaily[EntryDate],DATE(2026,6,4),tblDaily[WardCode],"MAE")=0,"",SUMIFS(tblDaily[Deaths],tblDaily[EntryDate],DATE(2026,6,4),tblDaily[WardCode],"MAE")),"")</f>
        <v/>
      </c>
      <c r="E211" s="14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14" t="str">
        <f>IFERROR(IF(SUMIFS(tblDaily[TransfersIn],tblDaily[EntryDate],DATE(2026,6,4),tblDaily[WardCode],"MAE")=0,"",SUMIFS(tblDaily[TransfersIn],tblDaily[EntryDate],DATE(2026,6,4),tblDaily[WardCode],"MAE")),"")</f>
        <v/>
      </c>
      <c r="G211" s="14" t="str">
        <f>IFERROR(IF(SUMIFS(tblDaily[TransfersOut],tblDaily[EntryDate],DATE(2026,6,4),tblDaily[WardCode],"MAE")=0,"",SUMIFS(tblDaily[TransfersOut],tblDaily[EntryDate],DATE(2026,6,4),tblDaily[WardCode],"MAE")),"")</f>
        <v/>
      </c>
      <c r="H211" s="14" t="str">
        <f>IFERROR(IF(SUMIFS(tblDaily[Remaining],tblDaily[EntryDate],DATE(2026,6,4),tblDaily[WardCode],"MAE")=0,"",SUMIFS(tblDaily[Remaining],tblDaily[EntryDate],DATE(2026,6,4),tblDaily[WardCode],"MAE")),"")</f>
        <v/>
      </c>
      <c r="I211" s="14" t="str">
        <f>IFERROR(IF(SUMIFS(tblDaily[Admissions],tblDaily[EntryDate],DATE(2026,6,4),tblDaily[WardCode],"FAE")=0,"",SUMIFS(tblDaily[Admissions],tblDaily[EntryDate],DATE(2026,6,4),tblDaily[WardCode],"FAE")),"")</f>
        <v/>
      </c>
      <c r="J211" s="14" t="str">
        <f>IFERROR(IF(SUMIFS(tblDaily[Discharges],tblDaily[EntryDate],DATE(2026,6,4),tblDaily[WardCode],"FAE")=0,"",SUMIFS(tblDaily[Discharges],tblDaily[EntryDate],DATE(2026,6,4),tblDaily[WardCode],"FAE")),"")</f>
        <v/>
      </c>
      <c r="K211" s="14" t="str">
        <f>IFERROR(IF(SUMIFS(tblDaily[Deaths],tblDaily[EntryDate],DATE(2026,6,4),tblDaily[WardCode],"FAE")=0,"",SUMIFS(tblDaily[Deaths],tblDaily[EntryDate],DATE(2026,6,4),tblDaily[WardCode],"FAE")),"")</f>
        <v/>
      </c>
      <c r="L211" s="14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14" t="str">
        <f>IFERROR(IF(SUMIFS(tblDaily[TransfersIn],tblDaily[EntryDate],DATE(2026,6,4),tblDaily[WardCode],"FAE")=0,"",SUMIFS(tblDaily[TransfersIn],tblDaily[EntryDate],DATE(2026,6,4),tblDaily[WardCode],"FAE")),"")</f>
        <v/>
      </c>
      <c r="N211" s="14" t="str">
        <f>IFERROR(IF(SUMIFS(tblDaily[TransfersOut],tblDaily[EntryDate],DATE(2026,6,4),tblDaily[WardCode],"FAE")=0,"",SUMIFS(tblDaily[TransfersOut],tblDaily[EntryDate],DATE(2026,6,4),tblDaily[WardCode],"FAE")),"")</f>
        <v/>
      </c>
      <c r="O211" s="14" t="str">
        <f>IFERROR(IF(SUMIFS(tblDaily[Remaining],tblDaily[EntryDate],DATE(2026,6,4),tblDaily[WardCode],"FAE")=0,"",SUMIFS(tblDaily[Remaining],tblDaily[EntryDate],DATE(2026,6,4),tblDaily[WardCode],"FAE")),"")</f>
        <v/>
      </c>
      <c r="P211" s="15" t="str">
        <f t="shared" si="5"/>
        <v/>
      </c>
    </row>
    <row r="212" spans="1:16" x14ac:dyDescent="0.25">
      <c r="A212" s="14">
        <v>5</v>
      </c>
      <c r="B212" s="14" t="str">
        <f>IFERROR(IF(SUMIFS(tblDaily[Admissions],tblDaily[EntryDate],DATE(2026,6,5),tblDaily[WardCode],"MAE")=0,"",SUMIFS(tblDaily[Admissions],tblDaily[EntryDate],DATE(2026,6,5),tblDaily[WardCode],"MAE")),"")</f>
        <v/>
      </c>
      <c r="C212" s="14" t="str">
        <f>IFERROR(IF(SUMIFS(tblDaily[Discharges],tblDaily[EntryDate],DATE(2026,6,5),tblDaily[WardCode],"MAE")=0,"",SUMIFS(tblDaily[Discharges],tblDaily[EntryDate],DATE(2026,6,5),tblDaily[WardCode],"MAE")),"")</f>
        <v/>
      </c>
      <c r="D212" s="14" t="str">
        <f>IFERROR(IF(SUMIFS(tblDaily[Deaths],tblDaily[EntryDate],DATE(2026,6,5),tblDaily[WardCode],"MAE")=0,"",SUMIFS(tblDaily[Deaths],tblDaily[EntryDate],DATE(2026,6,5),tblDaily[WardCode],"MAE")),"")</f>
        <v/>
      </c>
      <c r="E212" s="14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14" t="str">
        <f>IFERROR(IF(SUMIFS(tblDaily[TransfersIn],tblDaily[EntryDate],DATE(2026,6,5),tblDaily[WardCode],"MAE")=0,"",SUMIFS(tblDaily[TransfersIn],tblDaily[EntryDate],DATE(2026,6,5),tblDaily[WardCode],"MAE")),"")</f>
        <v/>
      </c>
      <c r="G212" s="14" t="str">
        <f>IFERROR(IF(SUMIFS(tblDaily[TransfersOut],tblDaily[EntryDate],DATE(2026,6,5),tblDaily[WardCode],"MAE")=0,"",SUMIFS(tblDaily[TransfersOut],tblDaily[EntryDate],DATE(2026,6,5),tblDaily[WardCode],"MAE")),"")</f>
        <v/>
      </c>
      <c r="H212" s="14" t="str">
        <f>IFERROR(IF(SUMIFS(tblDaily[Remaining],tblDaily[EntryDate],DATE(2026,6,5),tblDaily[WardCode],"MAE")=0,"",SUMIFS(tblDaily[Remaining],tblDaily[EntryDate],DATE(2026,6,5),tblDaily[WardCode],"MAE")),"")</f>
        <v/>
      </c>
      <c r="I212" s="14" t="str">
        <f>IFERROR(IF(SUMIFS(tblDaily[Admissions],tblDaily[EntryDate],DATE(2026,6,5),tblDaily[WardCode],"FAE")=0,"",SUMIFS(tblDaily[Admissions],tblDaily[EntryDate],DATE(2026,6,5),tblDaily[WardCode],"FAE")),"")</f>
        <v/>
      </c>
      <c r="J212" s="14" t="str">
        <f>IFERROR(IF(SUMIFS(tblDaily[Discharges],tblDaily[EntryDate],DATE(2026,6,5),tblDaily[WardCode],"FAE")=0,"",SUMIFS(tblDaily[Discharges],tblDaily[EntryDate],DATE(2026,6,5),tblDaily[WardCode],"FAE")),"")</f>
        <v/>
      </c>
      <c r="K212" s="14" t="str">
        <f>IFERROR(IF(SUMIFS(tblDaily[Deaths],tblDaily[EntryDate],DATE(2026,6,5),tblDaily[WardCode],"FAE")=0,"",SUMIFS(tblDaily[Deaths],tblDaily[EntryDate],DATE(2026,6,5),tblDaily[WardCode],"FAE")),"")</f>
        <v/>
      </c>
      <c r="L212" s="14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14" t="str">
        <f>IFERROR(IF(SUMIFS(tblDaily[TransfersIn],tblDaily[EntryDate],DATE(2026,6,5),tblDaily[WardCode],"FAE")=0,"",SUMIFS(tblDaily[TransfersIn],tblDaily[EntryDate],DATE(2026,6,5),tblDaily[WardCode],"FAE")),"")</f>
        <v/>
      </c>
      <c r="N212" s="14" t="str">
        <f>IFERROR(IF(SUMIFS(tblDaily[TransfersOut],tblDaily[EntryDate],DATE(2026,6,5),tblDaily[WardCode],"FAE")=0,"",SUMIFS(tblDaily[TransfersOut],tblDaily[EntryDate],DATE(2026,6,5),tblDaily[WardCode],"FAE")),"")</f>
        <v/>
      </c>
      <c r="O212" s="14" t="str">
        <f>IFERROR(IF(SUMIFS(tblDaily[Remaining],tblDaily[EntryDate],DATE(2026,6,5),tblDaily[WardCode],"FAE")=0,"",SUMIFS(tblDaily[Remaining],tblDaily[EntryDate],DATE(2026,6,5),tblDaily[WardCode],"FAE")),"")</f>
        <v/>
      </c>
      <c r="P212" s="15" t="str">
        <f t="shared" si="5"/>
        <v/>
      </c>
    </row>
    <row r="213" spans="1:16" x14ac:dyDescent="0.25">
      <c r="A213" s="14">
        <v>6</v>
      </c>
      <c r="B213" s="14" t="str">
        <f>IFERROR(IF(SUMIFS(tblDaily[Admissions],tblDaily[EntryDate],DATE(2026,6,6),tblDaily[WardCode],"MAE")=0,"",SUMIFS(tblDaily[Admissions],tblDaily[EntryDate],DATE(2026,6,6),tblDaily[WardCode],"MAE")),"")</f>
        <v/>
      </c>
      <c r="C213" s="14" t="str">
        <f>IFERROR(IF(SUMIFS(tblDaily[Discharges],tblDaily[EntryDate],DATE(2026,6,6),tblDaily[WardCode],"MAE")=0,"",SUMIFS(tblDaily[Discharges],tblDaily[EntryDate],DATE(2026,6,6),tblDaily[WardCode],"MAE")),"")</f>
        <v/>
      </c>
      <c r="D213" s="14" t="str">
        <f>IFERROR(IF(SUMIFS(tblDaily[Deaths],tblDaily[EntryDate],DATE(2026,6,6),tblDaily[WardCode],"MAE")=0,"",SUMIFS(tblDaily[Deaths],tblDaily[EntryDate],DATE(2026,6,6),tblDaily[WardCode],"MAE")),"")</f>
        <v/>
      </c>
      <c r="E213" s="14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14" t="str">
        <f>IFERROR(IF(SUMIFS(tblDaily[TransfersIn],tblDaily[EntryDate],DATE(2026,6,6),tblDaily[WardCode],"MAE")=0,"",SUMIFS(tblDaily[TransfersIn],tblDaily[EntryDate],DATE(2026,6,6),tblDaily[WardCode],"MAE")),"")</f>
        <v/>
      </c>
      <c r="G213" s="14" t="str">
        <f>IFERROR(IF(SUMIFS(tblDaily[TransfersOut],tblDaily[EntryDate],DATE(2026,6,6),tblDaily[WardCode],"MAE")=0,"",SUMIFS(tblDaily[TransfersOut],tblDaily[EntryDate],DATE(2026,6,6),tblDaily[WardCode],"MAE")),"")</f>
        <v/>
      </c>
      <c r="H213" s="14" t="str">
        <f>IFERROR(IF(SUMIFS(tblDaily[Remaining],tblDaily[EntryDate],DATE(2026,6,6),tblDaily[WardCode],"MAE")=0,"",SUMIFS(tblDaily[Remaining],tblDaily[EntryDate],DATE(2026,6,6),tblDaily[WardCode],"MAE")),"")</f>
        <v/>
      </c>
      <c r="I213" s="14" t="str">
        <f>IFERROR(IF(SUMIFS(tblDaily[Admissions],tblDaily[EntryDate],DATE(2026,6,6),tblDaily[WardCode],"FAE")=0,"",SUMIFS(tblDaily[Admissions],tblDaily[EntryDate],DATE(2026,6,6),tblDaily[WardCode],"FAE")),"")</f>
        <v/>
      </c>
      <c r="J213" s="14" t="str">
        <f>IFERROR(IF(SUMIFS(tblDaily[Discharges],tblDaily[EntryDate],DATE(2026,6,6),tblDaily[WardCode],"FAE")=0,"",SUMIFS(tblDaily[Discharges],tblDaily[EntryDate],DATE(2026,6,6),tblDaily[WardCode],"FAE")),"")</f>
        <v/>
      </c>
      <c r="K213" s="14" t="str">
        <f>IFERROR(IF(SUMIFS(tblDaily[Deaths],tblDaily[EntryDate],DATE(2026,6,6),tblDaily[WardCode],"FAE")=0,"",SUMIFS(tblDaily[Deaths],tblDaily[EntryDate],DATE(2026,6,6),tblDaily[WardCode],"FAE")),"")</f>
        <v/>
      </c>
      <c r="L213" s="14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14" t="str">
        <f>IFERROR(IF(SUMIFS(tblDaily[TransfersIn],tblDaily[EntryDate],DATE(2026,6,6),tblDaily[WardCode],"FAE")=0,"",SUMIFS(tblDaily[TransfersIn],tblDaily[EntryDate],DATE(2026,6,6),tblDaily[WardCode],"FAE")),"")</f>
        <v/>
      </c>
      <c r="N213" s="14" t="str">
        <f>IFERROR(IF(SUMIFS(tblDaily[TransfersOut],tblDaily[EntryDate],DATE(2026,6,6),tblDaily[WardCode],"FAE")=0,"",SUMIFS(tblDaily[TransfersOut],tblDaily[EntryDate],DATE(2026,6,6),tblDaily[WardCode],"FAE")),"")</f>
        <v/>
      </c>
      <c r="O213" s="14" t="str">
        <f>IFERROR(IF(SUMIFS(tblDaily[Remaining],tblDaily[EntryDate],DATE(2026,6,6),tblDaily[WardCode],"FAE")=0,"",SUMIFS(tblDaily[Remaining],tblDaily[EntryDate],DATE(2026,6,6),tblDaily[WardCode],"FAE")),"")</f>
        <v/>
      </c>
      <c r="P213" s="15" t="str">
        <f t="shared" si="5"/>
        <v/>
      </c>
    </row>
    <row r="214" spans="1:16" x14ac:dyDescent="0.25">
      <c r="A214" s="14">
        <v>7</v>
      </c>
      <c r="B214" s="14" t="str">
        <f>IFERROR(IF(SUMIFS(tblDaily[Admissions],tblDaily[EntryDate],DATE(2026,6,7),tblDaily[WardCode],"MAE")=0,"",SUMIFS(tblDaily[Admissions],tblDaily[EntryDate],DATE(2026,6,7),tblDaily[WardCode],"MAE")),"")</f>
        <v/>
      </c>
      <c r="C214" s="14" t="str">
        <f>IFERROR(IF(SUMIFS(tblDaily[Discharges],tblDaily[EntryDate],DATE(2026,6,7),tblDaily[WardCode],"MAE")=0,"",SUMIFS(tblDaily[Discharges],tblDaily[EntryDate],DATE(2026,6,7),tblDaily[WardCode],"MAE")),"")</f>
        <v/>
      </c>
      <c r="D214" s="14" t="str">
        <f>IFERROR(IF(SUMIFS(tblDaily[Deaths],tblDaily[EntryDate],DATE(2026,6,7),tblDaily[WardCode],"MAE")=0,"",SUMIFS(tblDaily[Deaths],tblDaily[EntryDate],DATE(2026,6,7),tblDaily[WardCode],"MAE")),"")</f>
        <v/>
      </c>
      <c r="E214" s="14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14" t="str">
        <f>IFERROR(IF(SUMIFS(tblDaily[TransfersIn],tblDaily[EntryDate],DATE(2026,6,7),tblDaily[WardCode],"MAE")=0,"",SUMIFS(tblDaily[TransfersIn],tblDaily[EntryDate],DATE(2026,6,7),tblDaily[WardCode],"MAE")),"")</f>
        <v/>
      </c>
      <c r="G214" s="14" t="str">
        <f>IFERROR(IF(SUMIFS(tblDaily[TransfersOut],tblDaily[EntryDate],DATE(2026,6,7),tblDaily[WardCode],"MAE")=0,"",SUMIFS(tblDaily[TransfersOut],tblDaily[EntryDate],DATE(2026,6,7),tblDaily[WardCode],"MAE")),"")</f>
        <v/>
      </c>
      <c r="H214" s="14" t="str">
        <f>IFERROR(IF(SUMIFS(tblDaily[Remaining],tblDaily[EntryDate],DATE(2026,6,7),tblDaily[WardCode],"MAE")=0,"",SUMIFS(tblDaily[Remaining],tblDaily[EntryDate],DATE(2026,6,7),tblDaily[WardCode],"MAE")),"")</f>
        <v/>
      </c>
      <c r="I214" s="14" t="str">
        <f>IFERROR(IF(SUMIFS(tblDaily[Admissions],tblDaily[EntryDate],DATE(2026,6,7),tblDaily[WardCode],"FAE")=0,"",SUMIFS(tblDaily[Admissions],tblDaily[EntryDate],DATE(2026,6,7),tblDaily[WardCode],"FAE")),"")</f>
        <v/>
      </c>
      <c r="J214" s="14" t="str">
        <f>IFERROR(IF(SUMIFS(tblDaily[Discharges],tblDaily[EntryDate],DATE(2026,6,7),tblDaily[WardCode],"FAE")=0,"",SUMIFS(tblDaily[Discharges],tblDaily[EntryDate],DATE(2026,6,7),tblDaily[WardCode],"FAE")),"")</f>
        <v/>
      </c>
      <c r="K214" s="14" t="str">
        <f>IFERROR(IF(SUMIFS(tblDaily[Deaths],tblDaily[EntryDate],DATE(2026,6,7),tblDaily[WardCode],"FAE")=0,"",SUMIFS(tblDaily[Deaths],tblDaily[EntryDate],DATE(2026,6,7),tblDaily[WardCode],"FAE")),"")</f>
        <v/>
      </c>
      <c r="L214" s="14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14" t="str">
        <f>IFERROR(IF(SUMIFS(tblDaily[TransfersIn],tblDaily[EntryDate],DATE(2026,6,7),tblDaily[WardCode],"FAE")=0,"",SUMIFS(tblDaily[TransfersIn],tblDaily[EntryDate],DATE(2026,6,7),tblDaily[WardCode],"FAE")),"")</f>
        <v/>
      </c>
      <c r="N214" s="14" t="str">
        <f>IFERROR(IF(SUMIFS(tblDaily[TransfersOut],tblDaily[EntryDate],DATE(2026,6,7),tblDaily[WardCode],"FAE")=0,"",SUMIFS(tblDaily[TransfersOut],tblDaily[EntryDate],DATE(2026,6,7),tblDaily[WardCode],"FAE")),"")</f>
        <v/>
      </c>
      <c r="O214" s="14" t="str">
        <f>IFERROR(IF(SUMIFS(tblDaily[Remaining],tblDaily[EntryDate],DATE(2026,6,7),tblDaily[WardCode],"FAE")=0,"",SUMIFS(tblDaily[Remaining],tblDaily[EntryDate],DATE(2026,6,7),tblDaily[WardCode],"FAE")),"")</f>
        <v/>
      </c>
      <c r="P214" s="15" t="str">
        <f t="shared" si="5"/>
        <v/>
      </c>
    </row>
    <row r="215" spans="1:16" x14ac:dyDescent="0.25">
      <c r="A215" s="14">
        <v>8</v>
      </c>
      <c r="B215" s="14" t="str">
        <f>IFERROR(IF(SUMIFS(tblDaily[Admissions],tblDaily[EntryDate],DATE(2026,6,8),tblDaily[WardCode],"MAE")=0,"",SUMIFS(tblDaily[Admissions],tblDaily[EntryDate],DATE(2026,6,8),tblDaily[WardCode],"MAE")),"")</f>
        <v/>
      </c>
      <c r="C215" s="14" t="str">
        <f>IFERROR(IF(SUMIFS(tblDaily[Discharges],tblDaily[EntryDate],DATE(2026,6,8),tblDaily[WardCode],"MAE")=0,"",SUMIFS(tblDaily[Discharges],tblDaily[EntryDate],DATE(2026,6,8),tblDaily[WardCode],"MAE")),"")</f>
        <v/>
      </c>
      <c r="D215" s="14" t="str">
        <f>IFERROR(IF(SUMIFS(tblDaily[Deaths],tblDaily[EntryDate],DATE(2026,6,8),tblDaily[WardCode],"MAE")=0,"",SUMIFS(tblDaily[Deaths],tblDaily[EntryDate],DATE(2026,6,8),tblDaily[WardCode],"MAE")),"")</f>
        <v/>
      </c>
      <c r="E215" s="14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14" t="str">
        <f>IFERROR(IF(SUMIFS(tblDaily[TransfersIn],tblDaily[EntryDate],DATE(2026,6,8),tblDaily[WardCode],"MAE")=0,"",SUMIFS(tblDaily[TransfersIn],tblDaily[EntryDate],DATE(2026,6,8),tblDaily[WardCode],"MAE")),"")</f>
        <v/>
      </c>
      <c r="G215" s="14" t="str">
        <f>IFERROR(IF(SUMIFS(tblDaily[TransfersOut],tblDaily[EntryDate],DATE(2026,6,8),tblDaily[WardCode],"MAE")=0,"",SUMIFS(tblDaily[TransfersOut],tblDaily[EntryDate],DATE(2026,6,8),tblDaily[WardCode],"MAE")),"")</f>
        <v/>
      </c>
      <c r="H215" s="14" t="str">
        <f>IFERROR(IF(SUMIFS(tblDaily[Remaining],tblDaily[EntryDate],DATE(2026,6,8),tblDaily[WardCode],"MAE")=0,"",SUMIFS(tblDaily[Remaining],tblDaily[EntryDate],DATE(2026,6,8),tblDaily[WardCode],"MAE")),"")</f>
        <v/>
      </c>
      <c r="I215" s="14" t="str">
        <f>IFERROR(IF(SUMIFS(tblDaily[Admissions],tblDaily[EntryDate],DATE(2026,6,8),tblDaily[WardCode],"FAE")=0,"",SUMIFS(tblDaily[Admissions],tblDaily[EntryDate],DATE(2026,6,8),tblDaily[WardCode],"FAE")),"")</f>
        <v/>
      </c>
      <c r="J215" s="14" t="str">
        <f>IFERROR(IF(SUMIFS(tblDaily[Discharges],tblDaily[EntryDate],DATE(2026,6,8),tblDaily[WardCode],"FAE")=0,"",SUMIFS(tblDaily[Discharges],tblDaily[EntryDate],DATE(2026,6,8),tblDaily[WardCode],"FAE")),"")</f>
        <v/>
      </c>
      <c r="K215" s="14" t="str">
        <f>IFERROR(IF(SUMIFS(tblDaily[Deaths],tblDaily[EntryDate],DATE(2026,6,8),tblDaily[WardCode],"FAE")=0,"",SUMIFS(tblDaily[Deaths],tblDaily[EntryDate],DATE(2026,6,8),tblDaily[WardCode],"FAE")),"")</f>
        <v/>
      </c>
      <c r="L215" s="14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14" t="str">
        <f>IFERROR(IF(SUMIFS(tblDaily[TransfersIn],tblDaily[EntryDate],DATE(2026,6,8),tblDaily[WardCode],"FAE")=0,"",SUMIFS(tblDaily[TransfersIn],tblDaily[EntryDate],DATE(2026,6,8),tblDaily[WardCode],"FAE")),"")</f>
        <v/>
      </c>
      <c r="N215" s="14" t="str">
        <f>IFERROR(IF(SUMIFS(tblDaily[TransfersOut],tblDaily[EntryDate],DATE(2026,6,8),tblDaily[WardCode],"FAE")=0,"",SUMIFS(tblDaily[TransfersOut],tblDaily[EntryDate],DATE(2026,6,8),tblDaily[WardCode],"FAE")),"")</f>
        <v/>
      </c>
      <c r="O215" s="14" t="str">
        <f>IFERROR(IF(SUMIFS(tblDaily[Remaining],tblDaily[EntryDate],DATE(2026,6,8),tblDaily[WardCode],"FAE")=0,"",SUMIFS(tblDaily[Remaining],tblDaily[EntryDate],DATE(2026,6,8),tblDaily[WardCode],"FAE")),"")</f>
        <v/>
      </c>
      <c r="P215" s="15" t="str">
        <f t="shared" si="5"/>
        <v/>
      </c>
    </row>
    <row r="216" spans="1:16" x14ac:dyDescent="0.25">
      <c r="A216" s="14">
        <v>9</v>
      </c>
      <c r="B216" s="14" t="str">
        <f>IFERROR(IF(SUMIFS(tblDaily[Admissions],tblDaily[EntryDate],DATE(2026,6,9),tblDaily[WardCode],"MAE")=0,"",SUMIFS(tblDaily[Admissions],tblDaily[EntryDate],DATE(2026,6,9),tblDaily[WardCode],"MAE")),"")</f>
        <v/>
      </c>
      <c r="C216" s="14" t="str">
        <f>IFERROR(IF(SUMIFS(tblDaily[Discharges],tblDaily[EntryDate],DATE(2026,6,9),tblDaily[WardCode],"MAE")=0,"",SUMIFS(tblDaily[Discharges],tblDaily[EntryDate],DATE(2026,6,9),tblDaily[WardCode],"MAE")),"")</f>
        <v/>
      </c>
      <c r="D216" s="14" t="str">
        <f>IFERROR(IF(SUMIFS(tblDaily[Deaths],tblDaily[EntryDate],DATE(2026,6,9),tblDaily[WardCode],"MAE")=0,"",SUMIFS(tblDaily[Deaths],tblDaily[EntryDate],DATE(2026,6,9),tblDaily[WardCode],"MAE")),"")</f>
        <v/>
      </c>
      <c r="E216" s="14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14" t="str">
        <f>IFERROR(IF(SUMIFS(tblDaily[TransfersIn],tblDaily[EntryDate],DATE(2026,6,9),tblDaily[WardCode],"MAE")=0,"",SUMIFS(tblDaily[TransfersIn],tblDaily[EntryDate],DATE(2026,6,9),tblDaily[WardCode],"MAE")),"")</f>
        <v/>
      </c>
      <c r="G216" s="14" t="str">
        <f>IFERROR(IF(SUMIFS(tblDaily[TransfersOut],tblDaily[EntryDate],DATE(2026,6,9),tblDaily[WardCode],"MAE")=0,"",SUMIFS(tblDaily[TransfersOut],tblDaily[EntryDate],DATE(2026,6,9),tblDaily[WardCode],"MAE")),"")</f>
        <v/>
      </c>
      <c r="H216" s="14" t="str">
        <f>IFERROR(IF(SUMIFS(tblDaily[Remaining],tblDaily[EntryDate],DATE(2026,6,9),tblDaily[WardCode],"MAE")=0,"",SUMIFS(tblDaily[Remaining],tblDaily[EntryDate],DATE(2026,6,9),tblDaily[WardCode],"MAE")),"")</f>
        <v/>
      </c>
      <c r="I216" s="14" t="str">
        <f>IFERROR(IF(SUMIFS(tblDaily[Admissions],tblDaily[EntryDate],DATE(2026,6,9),tblDaily[WardCode],"FAE")=0,"",SUMIFS(tblDaily[Admissions],tblDaily[EntryDate],DATE(2026,6,9),tblDaily[WardCode],"FAE")),"")</f>
        <v/>
      </c>
      <c r="J216" s="14" t="str">
        <f>IFERROR(IF(SUMIFS(tblDaily[Discharges],tblDaily[EntryDate],DATE(2026,6,9),tblDaily[WardCode],"FAE")=0,"",SUMIFS(tblDaily[Discharges],tblDaily[EntryDate],DATE(2026,6,9),tblDaily[WardCode],"FAE")),"")</f>
        <v/>
      </c>
      <c r="K216" s="14" t="str">
        <f>IFERROR(IF(SUMIFS(tblDaily[Deaths],tblDaily[EntryDate],DATE(2026,6,9),tblDaily[WardCode],"FAE")=0,"",SUMIFS(tblDaily[Deaths],tblDaily[EntryDate],DATE(2026,6,9),tblDaily[WardCode],"FAE")),"")</f>
        <v/>
      </c>
      <c r="L216" s="14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14" t="str">
        <f>IFERROR(IF(SUMIFS(tblDaily[TransfersIn],tblDaily[EntryDate],DATE(2026,6,9),tblDaily[WardCode],"FAE")=0,"",SUMIFS(tblDaily[TransfersIn],tblDaily[EntryDate],DATE(2026,6,9),tblDaily[WardCode],"FAE")),"")</f>
        <v/>
      </c>
      <c r="N216" s="14" t="str">
        <f>IFERROR(IF(SUMIFS(tblDaily[TransfersOut],tblDaily[EntryDate],DATE(2026,6,9),tblDaily[WardCode],"FAE")=0,"",SUMIFS(tblDaily[TransfersOut],tblDaily[EntryDate],DATE(2026,6,9),tblDaily[WardCode],"FAE")),"")</f>
        <v/>
      </c>
      <c r="O216" s="14" t="str">
        <f>IFERROR(IF(SUMIFS(tblDaily[Remaining],tblDaily[EntryDate],DATE(2026,6,9),tblDaily[WardCode],"FAE")=0,"",SUMIFS(tblDaily[Remaining],tblDaily[EntryDate],DATE(2026,6,9),tblDaily[WardCode],"FAE")),"")</f>
        <v/>
      </c>
      <c r="P216" s="15" t="str">
        <f t="shared" si="5"/>
        <v/>
      </c>
    </row>
    <row r="217" spans="1:16" x14ac:dyDescent="0.25">
      <c r="A217" s="14">
        <v>10</v>
      </c>
      <c r="B217" s="14" t="str">
        <f>IFERROR(IF(SUMIFS(tblDaily[Admissions],tblDaily[EntryDate],DATE(2026,6,10),tblDaily[WardCode],"MAE")=0,"",SUMIFS(tblDaily[Admissions],tblDaily[EntryDate],DATE(2026,6,10),tblDaily[WardCode],"MAE")),"")</f>
        <v/>
      </c>
      <c r="C217" s="14" t="str">
        <f>IFERROR(IF(SUMIFS(tblDaily[Discharges],tblDaily[EntryDate],DATE(2026,6,10),tblDaily[WardCode],"MAE")=0,"",SUMIFS(tblDaily[Discharges],tblDaily[EntryDate],DATE(2026,6,10),tblDaily[WardCode],"MAE")),"")</f>
        <v/>
      </c>
      <c r="D217" s="14" t="str">
        <f>IFERROR(IF(SUMIFS(tblDaily[Deaths],tblDaily[EntryDate],DATE(2026,6,10),tblDaily[WardCode],"MAE")=0,"",SUMIFS(tblDaily[Deaths],tblDaily[EntryDate],DATE(2026,6,10),tblDaily[WardCode],"MAE")),"")</f>
        <v/>
      </c>
      <c r="E217" s="14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14" t="str">
        <f>IFERROR(IF(SUMIFS(tblDaily[TransfersIn],tblDaily[EntryDate],DATE(2026,6,10),tblDaily[WardCode],"MAE")=0,"",SUMIFS(tblDaily[TransfersIn],tblDaily[EntryDate],DATE(2026,6,10),tblDaily[WardCode],"MAE")),"")</f>
        <v/>
      </c>
      <c r="G217" s="14" t="str">
        <f>IFERROR(IF(SUMIFS(tblDaily[TransfersOut],tblDaily[EntryDate],DATE(2026,6,10),tblDaily[WardCode],"MAE")=0,"",SUMIFS(tblDaily[TransfersOut],tblDaily[EntryDate],DATE(2026,6,10),tblDaily[WardCode],"MAE")),"")</f>
        <v/>
      </c>
      <c r="H217" s="14" t="str">
        <f>IFERROR(IF(SUMIFS(tblDaily[Remaining],tblDaily[EntryDate],DATE(2026,6,10),tblDaily[WardCode],"MAE")=0,"",SUMIFS(tblDaily[Remaining],tblDaily[EntryDate],DATE(2026,6,10),tblDaily[WardCode],"MAE")),"")</f>
        <v/>
      </c>
      <c r="I217" s="14" t="str">
        <f>IFERROR(IF(SUMIFS(tblDaily[Admissions],tblDaily[EntryDate],DATE(2026,6,10),tblDaily[WardCode],"FAE")=0,"",SUMIFS(tblDaily[Admissions],tblDaily[EntryDate],DATE(2026,6,10),tblDaily[WardCode],"FAE")),"")</f>
        <v/>
      </c>
      <c r="J217" s="14" t="str">
        <f>IFERROR(IF(SUMIFS(tblDaily[Discharges],tblDaily[EntryDate],DATE(2026,6,10),tblDaily[WardCode],"FAE")=0,"",SUMIFS(tblDaily[Discharges],tblDaily[EntryDate],DATE(2026,6,10),tblDaily[WardCode],"FAE")),"")</f>
        <v/>
      </c>
      <c r="K217" s="14" t="str">
        <f>IFERROR(IF(SUMIFS(tblDaily[Deaths],tblDaily[EntryDate],DATE(2026,6,10),tblDaily[WardCode],"FAE")=0,"",SUMIFS(tblDaily[Deaths],tblDaily[EntryDate],DATE(2026,6,10),tblDaily[WardCode],"FAE")),"")</f>
        <v/>
      </c>
      <c r="L217" s="14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14" t="str">
        <f>IFERROR(IF(SUMIFS(tblDaily[TransfersIn],tblDaily[EntryDate],DATE(2026,6,10),tblDaily[WardCode],"FAE")=0,"",SUMIFS(tblDaily[TransfersIn],tblDaily[EntryDate],DATE(2026,6,10),tblDaily[WardCode],"FAE")),"")</f>
        <v/>
      </c>
      <c r="N217" s="14" t="str">
        <f>IFERROR(IF(SUMIFS(tblDaily[TransfersOut],tblDaily[EntryDate],DATE(2026,6,10),tblDaily[WardCode],"FAE")=0,"",SUMIFS(tblDaily[TransfersOut],tblDaily[EntryDate],DATE(2026,6,10),tblDaily[WardCode],"FAE")),"")</f>
        <v/>
      </c>
      <c r="O217" s="14" t="str">
        <f>IFERROR(IF(SUMIFS(tblDaily[Remaining],tblDaily[EntryDate],DATE(2026,6,10),tblDaily[WardCode],"FAE")=0,"",SUMIFS(tblDaily[Remaining],tblDaily[EntryDate],DATE(2026,6,10),tblDaily[WardCode],"FAE")),"")</f>
        <v/>
      </c>
      <c r="P217" s="15" t="str">
        <f t="shared" si="5"/>
        <v/>
      </c>
    </row>
    <row r="218" spans="1:16" x14ac:dyDescent="0.25">
      <c r="A218" s="14">
        <v>11</v>
      </c>
      <c r="B218" s="14" t="str">
        <f>IFERROR(IF(SUMIFS(tblDaily[Admissions],tblDaily[EntryDate],DATE(2026,6,11),tblDaily[WardCode],"MAE")=0,"",SUMIFS(tblDaily[Admissions],tblDaily[EntryDate],DATE(2026,6,11),tblDaily[WardCode],"MAE")),"")</f>
        <v/>
      </c>
      <c r="C218" s="14" t="str">
        <f>IFERROR(IF(SUMIFS(tblDaily[Discharges],tblDaily[EntryDate],DATE(2026,6,11),tblDaily[WardCode],"MAE")=0,"",SUMIFS(tblDaily[Discharges],tblDaily[EntryDate],DATE(2026,6,11),tblDaily[WardCode],"MAE")),"")</f>
        <v/>
      </c>
      <c r="D218" s="14" t="str">
        <f>IFERROR(IF(SUMIFS(tblDaily[Deaths],tblDaily[EntryDate],DATE(2026,6,11),tblDaily[WardCode],"MAE")=0,"",SUMIFS(tblDaily[Deaths],tblDaily[EntryDate],DATE(2026,6,11),tblDaily[WardCode],"MAE")),"")</f>
        <v/>
      </c>
      <c r="E218" s="14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14" t="str">
        <f>IFERROR(IF(SUMIFS(tblDaily[TransfersIn],tblDaily[EntryDate],DATE(2026,6,11),tblDaily[WardCode],"MAE")=0,"",SUMIFS(tblDaily[TransfersIn],tblDaily[EntryDate],DATE(2026,6,11),tblDaily[WardCode],"MAE")),"")</f>
        <v/>
      </c>
      <c r="G218" s="14" t="str">
        <f>IFERROR(IF(SUMIFS(tblDaily[TransfersOut],tblDaily[EntryDate],DATE(2026,6,11),tblDaily[WardCode],"MAE")=0,"",SUMIFS(tblDaily[TransfersOut],tblDaily[EntryDate],DATE(2026,6,11),tblDaily[WardCode],"MAE")),"")</f>
        <v/>
      </c>
      <c r="H218" s="14" t="str">
        <f>IFERROR(IF(SUMIFS(tblDaily[Remaining],tblDaily[EntryDate],DATE(2026,6,11),tblDaily[WardCode],"MAE")=0,"",SUMIFS(tblDaily[Remaining],tblDaily[EntryDate],DATE(2026,6,11),tblDaily[WardCode],"MAE")),"")</f>
        <v/>
      </c>
      <c r="I218" s="14" t="str">
        <f>IFERROR(IF(SUMIFS(tblDaily[Admissions],tblDaily[EntryDate],DATE(2026,6,11),tblDaily[WardCode],"FAE")=0,"",SUMIFS(tblDaily[Admissions],tblDaily[EntryDate],DATE(2026,6,11),tblDaily[WardCode],"FAE")),"")</f>
        <v/>
      </c>
      <c r="J218" s="14" t="str">
        <f>IFERROR(IF(SUMIFS(tblDaily[Discharges],tblDaily[EntryDate],DATE(2026,6,11),tblDaily[WardCode],"FAE")=0,"",SUMIFS(tblDaily[Discharges],tblDaily[EntryDate],DATE(2026,6,11),tblDaily[WardCode],"FAE")),"")</f>
        <v/>
      </c>
      <c r="K218" s="14" t="str">
        <f>IFERROR(IF(SUMIFS(tblDaily[Deaths],tblDaily[EntryDate],DATE(2026,6,11),tblDaily[WardCode],"FAE")=0,"",SUMIFS(tblDaily[Deaths],tblDaily[EntryDate],DATE(2026,6,11),tblDaily[WardCode],"FAE")),"")</f>
        <v/>
      </c>
      <c r="L218" s="14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14" t="str">
        <f>IFERROR(IF(SUMIFS(tblDaily[TransfersIn],tblDaily[EntryDate],DATE(2026,6,11),tblDaily[WardCode],"FAE")=0,"",SUMIFS(tblDaily[TransfersIn],tblDaily[EntryDate],DATE(2026,6,11),tblDaily[WardCode],"FAE")),"")</f>
        <v/>
      </c>
      <c r="N218" s="14" t="str">
        <f>IFERROR(IF(SUMIFS(tblDaily[TransfersOut],tblDaily[EntryDate],DATE(2026,6,11),tblDaily[WardCode],"FAE")=0,"",SUMIFS(tblDaily[TransfersOut],tblDaily[EntryDate],DATE(2026,6,11),tblDaily[WardCode],"FAE")),"")</f>
        <v/>
      </c>
      <c r="O218" s="14" t="str">
        <f>IFERROR(IF(SUMIFS(tblDaily[Remaining],tblDaily[EntryDate],DATE(2026,6,11),tblDaily[WardCode],"FAE")=0,"",SUMIFS(tblDaily[Remaining],tblDaily[EntryDate],DATE(2026,6,11),tblDaily[WardCode],"FAE")),"")</f>
        <v/>
      </c>
      <c r="P218" s="15" t="str">
        <f t="shared" si="5"/>
        <v/>
      </c>
    </row>
    <row r="219" spans="1:16" x14ac:dyDescent="0.25">
      <c r="A219" s="14">
        <v>12</v>
      </c>
      <c r="B219" s="14" t="str">
        <f>IFERROR(IF(SUMIFS(tblDaily[Admissions],tblDaily[EntryDate],DATE(2026,6,12),tblDaily[WardCode],"MAE")=0,"",SUMIFS(tblDaily[Admissions],tblDaily[EntryDate],DATE(2026,6,12),tblDaily[WardCode],"MAE")),"")</f>
        <v/>
      </c>
      <c r="C219" s="14" t="str">
        <f>IFERROR(IF(SUMIFS(tblDaily[Discharges],tblDaily[EntryDate],DATE(2026,6,12),tblDaily[WardCode],"MAE")=0,"",SUMIFS(tblDaily[Discharges],tblDaily[EntryDate],DATE(2026,6,12),tblDaily[WardCode],"MAE")),"")</f>
        <v/>
      </c>
      <c r="D219" s="14" t="str">
        <f>IFERROR(IF(SUMIFS(tblDaily[Deaths],tblDaily[EntryDate],DATE(2026,6,12),tblDaily[WardCode],"MAE")=0,"",SUMIFS(tblDaily[Deaths],tblDaily[EntryDate],DATE(2026,6,12),tblDaily[WardCode],"MAE")),"")</f>
        <v/>
      </c>
      <c r="E219" s="14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14" t="str">
        <f>IFERROR(IF(SUMIFS(tblDaily[TransfersIn],tblDaily[EntryDate],DATE(2026,6,12),tblDaily[WardCode],"MAE")=0,"",SUMIFS(tblDaily[TransfersIn],tblDaily[EntryDate],DATE(2026,6,12),tblDaily[WardCode],"MAE")),"")</f>
        <v/>
      </c>
      <c r="G219" s="14" t="str">
        <f>IFERROR(IF(SUMIFS(tblDaily[TransfersOut],tblDaily[EntryDate],DATE(2026,6,12),tblDaily[WardCode],"MAE")=0,"",SUMIFS(tblDaily[TransfersOut],tblDaily[EntryDate],DATE(2026,6,12),tblDaily[WardCode],"MAE")),"")</f>
        <v/>
      </c>
      <c r="H219" s="14" t="str">
        <f>IFERROR(IF(SUMIFS(tblDaily[Remaining],tblDaily[EntryDate],DATE(2026,6,12),tblDaily[WardCode],"MAE")=0,"",SUMIFS(tblDaily[Remaining],tblDaily[EntryDate],DATE(2026,6,12),tblDaily[WardCode],"MAE")),"")</f>
        <v/>
      </c>
      <c r="I219" s="14" t="str">
        <f>IFERROR(IF(SUMIFS(tblDaily[Admissions],tblDaily[EntryDate],DATE(2026,6,12),tblDaily[WardCode],"FAE")=0,"",SUMIFS(tblDaily[Admissions],tblDaily[EntryDate],DATE(2026,6,12),tblDaily[WardCode],"FAE")),"")</f>
        <v/>
      </c>
      <c r="J219" s="14" t="str">
        <f>IFERROR(IF(SUMIFS(tblDaily[Discharges],tblDaily[EntryDate],DATE(2026,6,12),tblDaily[WardCode],"FAE")=0,"",SUMIFS(tblDaily[Discharges],tblDaily[EntryDate],DATE(2026,6,12),tblDaily[WardCode],"FAE")),"")</f>
        <v/>
      </c>
      <c r="K219" s="14" t="str">
        <f>IFERROR(IF(SUMIFS(tblDaily[Deaths],tblDaily[EntryDate],DATE(2026,6,12),tblDaily[WardCode],"FAE")=0,"",SUMIFS(tblDaily[Deaths],tblDaily[EntryDate],DATE(2026,6,12),tblDaily[WardCode],"FAE")),"")</f>
        <v/>
      </c>
      <c r="L219" s="14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14" t="str">
        <f>IFERROR(IF(SUMIFS(tblDaily[TransfersIn],tblDaily[EntryDate],DATE(2026,6,12),tblDaily[WardCode],"FAE")=0,"",SUMIFS(tblDaily[TransfersIn],tblDaily[EntryDate],DATE(2026,6,12),tblDaily[WardCode],"FAE")),"")</f>
        <v/>
      </c>
      <c r="N219" s="14" t="str">
        <f>IFERROR(IF(SUMIFS(tblDaily[TransfersOut],tblDaily[EntryDate],DATE(2026,6,12),tblDaily[WardCode],"FAE")=0,"",SUMIFS(tblDaily[TransfersOut],tblDaily[EntryDate],DATE(2026,6,12),tblDaily[WardCode],"FAE")),"")</f>
        <v/>
      </c>
      <c r="O219" s="14" t="str">
        <f>IFERROR(IF(SUMIFS(tblDaily[Remaining],tblDaily[EntryDate],DATE(2026,6,12),tblDaily[WardCode],"FAE")=0,"",SUMIFS(tblDaily[Remaining],tblDaily[EntryDate],DATE(2026,6,12),tblDaily[WardCode],"FAE")),"")</f>
        <v/>
      </c>
      <c r="P219" s="15" t="str">
        <f t="shared" si="5"/>
        <v/>
      </c>
    </row>
    <row r="220" spans="1:16" x14ac:dyDescent="0.25">
      <c r="A220" s="14">
        <v>13</v>
      </c>
      <c r="B220" s="14" t="str">
        <f>IFERROR(IF(SUMIFS(tblDaily[Admissions],tblDaily[EntryDate],DATE(2026,6,13),tblDaily[WardCode],"MAE")=0,"",SUMIFS(tblDaily[Admissions],tblDaily[EntryDate],DATE(2026,6,13),tblDaily[WardCode],"MAE")),"")</f>
        <v/>
      </c>
      <c r="C220" s="14" t="str">
        <f>IFERROR(IF(SUMIFS(tblDaily[Discharges],tblDaily[EntryDate],DATE(2026,6,13),tblDaily[WardCode],"MAE")=0,"",SUMIFS(tblDaily[Discharges],tblDaily[EntryDate],DATE(2026,6,13),tblDaily[WardCode],"MAE")),"")</f>
        <v/>
      </c>
      <c r="D220" s="14" t="str">
        <f>IFERROR(IF(SUMIFS(tblDaily[Deaths],tblDaily[EntryDate],DATE(2026,6,13),tblDaily[WardCode],"MAE")=0,"",SUMIFS(tblDaily[Deaths],tblDaily[EntryDate],DATE(2026,6,13),tblDaily[WardCode],"MAE")),"")</f>
        <v/>
      </c>
      <c r="E220" s="14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14" t="str">
        <f>IFERROR(IF(SUMIFS(tblDaily[TransfersIn],tblDaily[EntryDate],DATE(2026,6,13),tblDaily[WardCode],"MAE")=0,"",SUMIFS(tblDaily[TransfersIn],tblDaily[EntryDate],DATE(2026,6,13),tblDaily[WardCode],"MAE")),"")</f>
        <v/>
      </c>
      <c r="G220" s="14" t="str">
        <f>IFERROR(IF(SUMIFS(tblDaily[TransfersOut],tblDaily[EntryDate],DATE(2026,6,13),tblDaily[WardCode],"MAE")=0,"",SUMIFS(tblDaily[TransfersOut],tblDaily[EntryDate],DATE(2026,6,13),tblDaily[WardCode],"MAE")),"")</f>
        <v/>
      </c>
      <c r="H220" s="14" t="str">
        <f>IFERROR(IF(SUMIFS(tblDaily[Remaining],tblDaily[EntryDate],DATE(2026,6,13),tblDaily[WardCode],"MAE")=0,"",SUMIFS(tblDaily[Remaining],tblDaily[EntryDate],DATE(2026,6,13),tblDaily[WardCode],"MAE")),"")</f>
        <v/>
      </c>
      <c r="I220" s="14" t="str">
        <f>IFERROR(IF(SUMIFS(tblDaily[Admissions],tblDaily[EntryDate],DATE(2026,6,13),tblDaily[WardCode],"FAE")=0,"",SUMIFS(tblDaily[Admissions],tblDaily[EntryDate],DATE(2026,6,13),tblDaily[WardCode],"FAE")),"")</f>
        <v/>
      </c>
      <c r="J220" s="14" t="str">
        <f>IFERROR(IF(SUMIFS(tblDaily[Discharges],tblDaily[EntryDate],DATE(2026,6,13),tblDaily[WardCode],"FAE")=0,"",SUMIFS(tblDaily[Discharges],tblDaily[EntryDate],DATE(2026,6,13),tblDaily[WardCode],"FAE")),"")</f>
        <v/>
      </c>
      <c r="K220" s="14" t="str">
        <f>IFERROR(IF(SUMIFS(tblDaily[Deaths],tblDaily[EntryDate],DATE(2026,6,13),tblDaily[WardCode],"FAE")=0,"",SUMIFS(tblDaily[Deaths],tblDaily[EntryDate],DATE(2026,6,13),tblDaily[WardCode],"FAE")),"")</f>
        <v/>
      </c>
      <c r="L220" s="14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14" t="str">
        <f>IFERROR(IF(SUMIFS(tblDaily[TransfersIn],tblDaily[EntryDate],DATE(2026,6,13),tblDaily[WardCode],"FAE")=0,"",SUMIFS(tblDaily[TransfersIn],tblDaily[EntryDate],DATE(2026,6,13),tblDaily[WardCode],"FAE")),"")</f>
        <v/>
      </c>
      <c r="N220" s="14" t="str">
        <f>IFERROR(IF(SUMIFS(tblDaily[TransfersOut],tblDaily[EntryDate],DATE(2026,6,13),tblDaily[WardCode],"FAE")=0,"",SUMIFS(tblDaily[TransfersOut],tblDaily[EntryDate],DATE(2026,6,13),tblDaily[WardCode],"FAE")),"")</f>
        <v/>
      </c>
      <c r="O220" s="14" t="str">
        <f>IFERROR(IF(SUMIFS(tblDaily[Remaining],tblDaily[EntryDate],DATE(2026,6,13),tblDaily[WardCode],"FAE")=0,"",SUMIFS(tblDaily[Remaining],tblDaily[EntryDate],DATE(2026,6,13),tblDaily[WardCode],"FAE")),"")</f>
        <v/>
      </c>
      <c r="P220" s="15" t="str">
        <f t="shared" si="5"/>
        <v/>
      </c>
    </row>
    <row r="221" spans="1:16" x14ac:dyDescent="0.25">
      <c r="A221" s="14">
        <v>14</v>
      </c>
      <c r="B221" s="14" t="str">
        <f>IFERROR(IF(SUMIFS(tblDaily[Admissions],tblDaily[EntryDate],DATE(2026,6,14),tblDaily[WardCode],"MAE")=0,"",SUMIFS(tblDaily[Admissions],tblDaily[EntryDate],DATE(2026,6,14),tblDaily[WardCode],"MAE")),"")</f>
        <v/>
      </c>
      <c r="C221" s="14" t="str">
        <f>IFERROR(IF(SUMIFS(tblDaily[Discharges],tblDaily[EntryDate],DATE(2026,6,14),tblDaily[WardCode],"MAE")=0,"",SUMIFS(tblDaily[Discharges],tblDaily[EntryDate],DATE(2026,6,14),tblDaily[WardCode],"MAE")),"")</f>
        <v/>
      </c>
      <c r="D221" s="14" t="str">
        <f>IFERROR(IF(SUMIFS(tblDaily[Deaths],tblDaily[EntryDate],DATE(2026,6,14),tblDaily[WardCode],"MAE")=0,"",SUMIFS(tblDaily[Deaths],tblDaily[EntryDate],DATE(2026,6,14),tblDaily[WardCode],"MAE")),"")</f>
        <v/>
      </c>
      <c r="E221" s="14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14" t="str">
        <f>IFERROR(IF(SUMIFS(tblDaily[TransfersIn],tblDaily[EntryDate],DATE(2026,6,14),tblDaily[WardCode],"MAE")=0,"",SUMIFS(tblDaily[TransfersIn],tblDaily[EntryDate],DATE(2026,6,14),tblDaily[WardCode],"MAE")),"")</f>
        <v/>
      </c>
      <c r="G221" s="14" t="str">
        <f>IFERROR(IF(SUMIFS(tblDaily[TransfersOut],tblDaily[EntryDate],DATE(2026,6,14),tblDaily[WardCode],"MAE")=0,"",SUMIFS(tblDaily[TransfersOut],tblDaily[EntryDate],DATE(2026,6,14),tblDaily[WardCode],"MAE")),"")</f>
        <v/>
      </c>
      <c r="H221" s="14" t="str">
        <f>IFERROR(IF(SUMIFS(tblDaily[Remaining],tblDaily[EntryDate],DATE(2026,6,14),tblDaily[WardCode],"MAE")=0,"",SUMIFS(tblDaily[Remaining],tblDaily[EntryDate],DATE(2026,6,14),tblDaily[WardCode],"MAE")),"")</f>
        <v/>
      </c>
      <c r="I221" s="14" t="str">
        <f>IFERROR(IF(SUMIFS(tblDaily[Admissions],tblDaily[EntryDate],DATE(2026,6,14),tblDaily[WardCode],"FAE")=0,"",SUMIFS(tblDaily[Admissions],tblDaily[EntryDate],DATE(2026,6,14),tblDaily[WardCode],"FAE")),"")</f>
        <v/>
      </c>
      <c r="J221" s="14" t="str">
        <f>IFERROR(IF(SUMIFS(tblDaily[Discharges],tblDaily[EntryDate],DATE(2026,6,14),tblDaily[WardCode],"FAE")=0,"",SUMIFS(tblDaily[Discharges],tblDaily[EntryDate],DATE(2026,6,14),tblDaily[WardCode],"FAE")),"")</f>
        <v/>
      </c>
      <c r="K221" s="14" t="str">
        <f>IFERROR(IF(SUMIFS(tblDaily[Deaths],tblDaily[EntryDate],DATE(2026,6,14),tblDaily[WardCode],"FAE")=0,"",SUMIFS(tblDaily[Deaths],tblDaily[EntryDate],DATE(2026,6,14),tblDaily[WardCode],"FAE")),"")</f>
        <v/>
      </c>
      <c r="L221" s="14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14" t="str">
        <f>IFERROR(IF(SUMIFS(tblDaily[TransfersIn],tblDaily[EntryDate],DATE(2026,6,14),tblDaily[WardCode],"FAE")=0,"",SUMIFS(tblDaily[TransfersIn],tblDaily[EntryDate],DATE(2026,6,14),tblDaily[WardCode],"FAE")),"")</f>
        <v/>
      </c>
      <c r="N221" s="14" t="str">
        <f>IFERROR(IF(SUMIFS(tblDaily[TransfersOut],tblDaily[EntryDate],DATE(2026,6,14),tblDaily[WardCode],"FAE")=0,"",SUMIFS(tblDaily[TransfersOut],tblDaily[EntryDate],DATE(2026,6,14),tblDaily[WardCode],"FAE")),"")</f>
        <v/>
      </c>
      <c r="O221" s="14" t="str">
        <f>IFERROR(IF(SUMIFS(tblDaily[Remaining],tblDaily[EntryDate],DATE(2026,6,14),tblDaily[WardCode],"FAE")=0,"",SUMIFS(tblDaily[Remaining],tblDaily[EntryDate],DATE(2026,6,14),tblDaily[WardCode],"FAE")),"")</f>
        <v/>
      </c>
      <c r="P221" s="15" t="str">
        <f t="shared" si="5"/>
        <v/>
      </c>
    </row>
    <row r="222" spans="1:16" x14ac:dyDescent="0.25">
      <c r="A222" s="14">
        <v>15</v>
      </c>
      <c r="B222" s="14" t="str">
        <f>IFERROR(IF(SUMIFS(tblDaily[Admissions],tblDaily[EntryDate],DATE(2026,6,15),tblDaily[WardCode],"MAE")=0,"",SUMIFS(tblDaily[Admissions],tblDaily[EntryDate],DATE(2026,6,15),tblDaily[WardCode],"MAE")),"")</f>
        <v/>
      </c>
      <c r="C222" s="14" t="str">
        <f>IFERROR(IF(SUMIFS(tblDaily[Discharges],tblDaily[EntryDate],DATE(2026,6,15),tblDaily[WardCode],"MAE")=0,"",SUMIFS(tblDaily[Discharges],tblDaily[EntryDate],DATE(2026,6,15),tblDaily[WardCode],"MAE")),"")</f>
        <v/>
      </c>
      <c r="D222" s="14" t="str">
        <f>IFERROR(IF(SUMIFS(tblDaily[Deaths],tblDaily[EntryDate],DATE(2026,6,15),tblDaily[WardCode],"MAE")=0,"",SUMIFS(tblDaily[Deaths],tblDaily[EntryDate],DATE(2026,6,15),tblDaily[WardCode],"MAE")),"")</f>
        <v/>
      </c>
      <c r="E222" s="14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14" t="str">
        <f>IFERROR(IF(SUMIFS(tblDaily[TransfersIn],tblDaily[EntryDate],DATE(2026,6,15),tblDaily[WardCode],"MAE")=0,"",SUMIFS(tblDaily[TransfersIn],tblDaily[EntryDate],DATE(2026,6,15),tblDaily[WardCode],"MAE")),"")</f>
        <v/>
      </c>
      <c r="G222" s="14" t="str">
        <f>IFERROR(IF(SUMIFS(tblDaily[TransfersOut],tblDaily[EntryDate],DATE(2026,6,15),tblDaily[WardCode],"MAE")=0,"",SUMIFS(tblDaily[TransfersOut],tblDaily[EntryDate],DATE(2026,6,15),tblDaily[WardCode],"MAE")),"")</f>
        <v/>
      </c>
      <c r="H222" s="14" t="str">
        <f>IFERROR(IF(SUMIFS(tblDaily[Remaining],tblDaily[EntryDate],DATE(2026,6,15),tblDaily[WardCode],"MAE")=0,"",SUMIFS(tblDaily[Remaining],tblDaily[EntryDate],DATE(2026,6,15),tblDaily[WardCode],"MAE")),"")</f>
        <v/>
      </c>
      <c r="I222" s="14" t="str">
        <f>IFERROR(IF(SUMIFS(tblDaily[Admissions],tblDaily[EntryDate],DATE(2026,6,15),tblDaily[WardCode],"FAE")=0,"",SUMIFS(tblDaily[Admissions],tblDaily[EntryDate],DATE(2026,6,15),tblDaily[WardCode],"FAE")),"")</f>
        <v/>
      </c>
      <c r="J222" s="14" t="str">
        <f>IFERROR(IF(SUMIFS(tblDaily[Discharges],tblDaily[EntryDate],DATE(2026,6,15),tblDaily[WardCode],"FAE")=0,"",SUMIFS(tblDaily[Discharges],tblDaily[EntryDate],DATE(2026,6,15),tblDaily[WardCode],"FAE")),"")</f>
        <v/>
      </c>
      <c r="K222" s="14" t="str">
        <f>IFERROR(IF(SUMIFS(tblDaily[Deaths],tblDaily[EntryDate],DATE(2026,6,15),tblDaily[WardCode],"FAE")=0,"",SUMIFS(tblDaily[Deaths],tblDaily[EntryDate],DATE(2026,6,15),tblDaily[WardCode],"FAE")),"")</f>
        <v/>
      </c>
      <c r="L222" s="14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14" t="str">
        <f>IFERROR(IF(SUMIFS(tblDaily[TransfersIn],tblDaily[EntryDate],DATE(2026,6,15),tblDaily[WardCode],"FAE")=0,"",SUMIFS(tblDaily[TransfersIn],tblDaily[EntryDate],DATE(2026,6,15),tblDaily[WardCode],"FAE")),"")</f>
        <v/>
      </c>
      <c r="N222" s="14" t="str">
        <f>IFERROR(IF(SUMIFS(tblDaily[TransfersOut],tblDaily[EntryDate],DATE(2026,6,15),tblDaily[WardCode],"FAE")=0,"",SUMIFS(tblDaily[TransfersOut],tblDaily[EntryDate],DATE(2026,6,15),tblDaily[WardCode],"FAE")),"")</f>
        <v/>
      </c>
      <c r="O222" s="14" t="str">
        <f>IFERROR(IF(SUMIFS(tblDaily[Remaining],tblDaily[EntryDate],DATE(2026,6,15),tblDaily[WardCode],"FAE")=0,"",SUMIFS(tblDaily[Remaining],tblDaily[EntryDate],DATE(2026,6,15),tblDaily[WardCode],"FAE")),"")</f>
        <v/>
      </c>
      <c r="P222" s="15" t="str">
        <f t="shared" si="5"/>
        <v/>
      </c>
    </row>
    <row r="223" spans="1:16" x14ac:dyDescent="0.25">
      <c r="A223" s="14">
        <v>16</v>
      </c>
      <c r="B223" s="14" t="str">
        <f>IFERROR(IF(SUMIFS(tblDaily[Admissions],tblDaily[EntryDate],DATE(2026,6,16),tblDaily[WardCode],"MAE")=0,"",SUMIFS(tblDaily[Admissions],tblDaily[EntryDate],DATE(2026,6,16),tblDaily[WardCode],"MAE")),"")</f>
        <v/>
      </c>
      <c r="C223" s="14" t="str">
        <f>IFERROR(IF(SUMIFS(tblDaily[Discharges],tblDaily[EntryDate],DATE(2026,6,16),tblDaily[WardCode],"MAE")=0,"",SUMIFS(tblDaily[Discharges],tblDaily[EntryDate],DATE(2026,6,16),tblDaily[WardCode],"MAE")),"")</f>
        <v/>
      </c>
      <c r="D223" s="14" t="str">
        <f>IFERROR(IF(SUMIFS(tblDaily[Deaths],tblDaily[EntryDate],DATE(2026,6,16),tblDaily[WardCode],"MAE")=0,"",SUMIFS(tblDaily[Deaths],tblDaily[EntryDate],DATE(2026,6,16),tblDaily[WardCode],"MAE")),"")</f>
        <v/>
      </c>
      <c r="E223" s="14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14" t="str">
        <f>IFERROR(IF(SUMIFS(tblDaily[TransfersIn],tblDaily[EntryDate],DATE(2026,6,16),tblDaily[WardCode],"MAE")=0,"",SUMIFS(tblDaily[TransfersIn],tblDaily[EntryDate],DATE(2026,6,16),tblDaily[WardCode],"MAE")),"")</f>
        <v/>
      </c>
      <c r="G223" s="14" t="str">
        <f>IFERROR(IF(SUMIFS(tblDaily[TransfersOut],tblDaily[EntryDate],DATE(2026,6,16),tblDaily[WardCode],"MAE")=0,"",SUMIFS(tblDaily[TransfersOut],tblDaily[EntryDate],DATE(2026,6,16),tblDaily[WardCode],"MAE")),"")</f>
        <v/>
      </c>
      <c r="H223" s="14" t="str">
        <f>IFERROR(IF(SUMIFS(tblDaily[Remaining],tblDaily[EntryDate],DATE(2026,6,16),tblDaily[WardCode],"MAE")=0,"",SUMIFS(tblDaily[Remaining],tblDaily[EntryDate],DATE(2026,6,16),tblDaily[WardCode],"MAE")),"")</f>
        <v/>
      </c>
      <c r="I223" s="14" t="str">
        <f>IFERROR(IF(SUMIFS(tblDaily[Admissions],tblDaily[EntryDate],DATE(2026,6,16),tblDaily[WardCode],"FAE")=0,"",SUMIFS(tblDaily[Admissions],tblDaily[EntryDate],DATE(2026,6,16),tblDaily[WardCode],"FAE")),"")</f>
        <v/>
      </c>
      <c r="J223" s="14" t="str">
        <f>IFERROR(IF(SUMIFS(tblDaily[Discharges],tblDaily[EntryDate],DATE(2026,6,16),tblDaily[WardCode],"FAE")=0,"",SUMIFS(tblDaily[Discharges],tblDaily[EntryDate],DATE(2026,6,16),tblDaily[WardCode],"FAE")),"")</f>
        <v/>
      </c>
      <c r="K223" s="14" t="str">
        <f>IFERROR(IF(SUMIFS(tblDaily[Deaths],tblDaily[EntryDate],DATE(2026,6,16),tblDaily[WardCode],"FAE")=0,"",SUMIFS(tblDaily[Deaths],tblDaily[EntryDate],DATE(2026,6,16),tblDaily[WardCode],"FAE")),"")</f>
        <v/>
      </c>
      <c r="L223" s="14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14" t="str">
        <f>IFERROR(IF(SUMIFS(tblDaily[TransfersIn],tblDaily[EntryDate],DATE(2026,6,16),tblDaily[WardCode],"FAE")=0,"",SUMIFS(tblDaily[TransfersIn],tblDaily[EntryDate],DATE(2026,6,16),tblDaily[WardCode],"FAE")),"")</f>
        <v/>
      </c>
      <c r="N223" s="14" t="str">
        <f>IFERROR(IF(SUMIFS(tblDaily[TransfersOut],tblDaily[EntryDate],DATE(2026,6,16),tblDaily[WardCode],"FAE")=0,"",SUMIFS(tblDaily[TransfersOut],tblDaily[EntryDate],DATE(2026,6,16),tblDaily[WardCode],"FAE")),"")</f>
        <v/>
      </c>
      <c r="O223" s="14" t="str">
        <f>IFERROR(IF(SUMIFS(tblDaily[Remaining],tblDaily[EntryDate],DATE(2026,6,16),tblDaily[WardCode],"FAE")=0,"",SUMIFS(tblDaily[Remaining],tblDaily[EntryDate],DATE(2026,6,16),tblDaily[WardCode],"FAE")),"")</f>
        <v/>
      </c>
      <c r="P223" s="15" t="str">
        <f t="shared" si="5"/>
        <v/>
      </c>
    </row>
    <row r="224" spans="1:16" x14ac:dyDescent="0.25">
      <c r="A224" s="14">
        <v>17</v>
      </c>
      <c r="B224" s="14" t="str">
        <f>IFERROR(IF(SUMIFS(tblDaily[Admissions],tblDaily[EntryDate],DATE(2026,6,17),tblDaily[WardCode],"MAE")=0,"",SUMIFS(tblDaily[Admissions],tblDaily[EntryDate],DATE(2026,6,17),tblDaily[WardCode],"MAE")),"")</f>
        <v/>
      </c>
      <c r="C224" s="14" t="str">
        <f>IFERROR(IF(SUMIFS(tblDaily[Discharges],tblDaily[EntryDate],DATE(2026,6,17),tblDaily[WardCode],"MAE")=0,"",SUMIFS(tblDaily[Discharges],tblDaily[EntryDate],DATE(2026,6,17),tblDaily[WardCode],"MAE")),"")</f>
        <v/>
      </c>
      <c r="D224" s="14" t="str">
        <f>IFERROR(IF(SUMIFS(tblDaily[Deaths],tblDaily[EntryDate],DATE(2026,6,17),tblDaily[WardCode],"MAE")=0,"",SUMIFS(tblDaily[Deaths],tblDaily[EntryDate],DATE(2026,6,17),tblDaily[WardCode],"MAE")),"")</f>
        <v/>
      </c>
      <c r="E224" s="14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14" t="str">
        <f>IFERROR(IF(SUMIFS(tblDaily[TransfersIn],tblDaily[EntryDate],DATE(2026,6,17),tblDaily[WardCode],"MAE")=0,"",SUMIFS(tblDaily[TransfersIn],tblDaily[EntryDate],DATE(2026,6,17),tblDaily[WardCode],"MAE")),"")</f>
        <v/>
      </c>
      <c r="G224" s="14" t="str">
        <f>IFERROR(IF(SUMIFS(tblDaily[TransfersOut],tblDaily[EntryDate],DATE(2026,6,17),tblDaily[WardCode],"MAE")=0,"",SUMIFS(tblDaily[TransfersOut],tblDaily[EntryDate],DATE(2026,6,17),tblDaily[WardCode],"MAE")),"")</f>
        <v/>
      </c>
      <c r="H224" s="14" t="str">
        <f>IFERROR(IF(SUMIFS(tblDaily[Remaining],tblDaily[EntryDate],DATE(2026,6,17),tblDaily[WardCode],"MAE")=0,"",SUMIFS(tblDaily[Remaining],tblDaily[EntryDate],DATE(2026,6,17),tblDaily[WardCode],"MAE")),"")</f>
        <v/>
      </c>
      <c r="I224" s="14" t="str">
        <f>IFERROR(IF(SUMIFS(tblDaily[Admissions],tblDaily[EntryDate],DATE(2026,6,17),tblDaily[WardCode],"FAE")=0,"",SUMIFS(tblDaily[Admissions],tblDaily[EntryDate],DATE(2026,6,17),tblDaily[WardCode],"FAE")),"")</f>
        <v/>
      </c>
      <c r="J224" s="14" t="str">
        <f>IFERROR(IF(SUMIFS(tblDaily[Discharges],tblDaily[EntryDate],DATE(2026,6,17),tblDaily[WardCode],"FAE")=0,"",SUMIFS(tblDaily[Discharges],tblDaily[EntryDate],DATE(2026,6,17),tblDaily[WardCode],"FAE")),"")</f>
        <v/>
      </c>
      <c r="K224" s="14" t="str">
        <f>IFERROR(IF(SUMIFS(tblDaily[Deaths],tblDaily[EntryDate],DATE(2026,6,17),tblDaily[WardCode],"FAE")=0,"",SUMIFS(tblDaily[Deaths],tblDaily[EntryDate],DATE(2026,6,17),tblDaily[WardCode],"FAE")),"")</f>
        <v/>
      </c>
      <c r="L224" s="14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14" t="str">
        <f>IFERROR(IF(SUMIFS(tblDaily[TransfersIn],tblDaily[EntryDate],DATE(2026,6,17),tblDaily[WardCode],"FAE")=0,"",SUMIFS(tblDaily[TransfersIn],tblDaily[EntryDate],DATE(2026,6,17),tblDaily[WardCode],"FAE")),"")</f>
        <v/>
      </c>
      <c r="N224" s="14" t="str">
        <f>IFERROR(IF(SUMIFS(tblDaily[TransfersOut],tblDaily[EntryDate],DATE(2026,6,17),tblDaily[WardCode],"FAE")=0,"",SUMIFS(tblDaily[TransfersOut],tblDaily[EntryDate],DATE(2026,6,17),tblDaily[WardCode],"FAE")),"")</f>
        <v/>
      </c>
      <c r="O224" s="14" t="str">
        <f>IFERROR(IF(SUMIFS(tblDaily[Remaining],tblDaily[EntryDate],DATE(2026,6,17),tblDaily[WardCode],"FAE")=0,"",SUMIFS(tblDaily[Remaining],tblDaily[EntryDate],DATE(2026,6,17),tblDaily[WardCode],"FAE")),"")</f>
        <v/>
      </c>
      <c r="P224" s="15" t="str">
        <f t="shared" si="5"/>
        <v/>
      </c>
    </row>
    <row r="225" spans="1:16" x14ac:dyDescent="0.25">
      <c r="A225" s="14">
        <v>18</v>
      </c>
      <c r="B225" s="14" t="str">
        <f>IFERROR(IF(SUMIFS(tblDaily[Admissions],tblDaily[EntryDate],DATE(2026,6,18),tblDaily[WardCode],"MAE")=0,"",SUMIFS(tblDaily[Admissions],tblDaily[EntryDate],DATE(2026,6,18),tblDaily[WardCode],"MAE")),"")</f>
        <v/>
      </c>
      <c r="C225" s="14" t="str">
        <f>IFERROR(IF(SUMIFS(tblDaily[Discharges],tblDaily[EntryDate],DATE(2026,6,18),tblDaily[WardCode],"MAE")=0,"",SUMIFS(tblDaily[Discharges],tblDaily[EntryDate],DATE(2026,6,18),tblDaily[WardCode],"MAE")),"")</f>
        <v/>
      </c>
      <c r="D225" s="14" t="str">
        <f>IFERROR(IF(SUMIFS(tblDaily[Deaths],tblDaily[EntryDate],DATE(2026,6,18),tblDaily[WardCode],"MAE")=0,"",SUMIFS(tblDaily[Deaths],tblDaily[EntryDate],DATE(2026,6,18),tblDaily[WardCode],"MAE")),"")</f>
        <v/>
      </c>
      <c r="E225" s="14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14" t="str">
        <f>IFERROR(IF(SUMIFS(tblDaily[TransfersIn],tblDaily[EntryDate],DATE(2026,6,18),tblDaily[WardCode],"MAE")=0,"",SUMIFS(tblDaily[TransfersIn],tblDaily[EntryDate],DATE(2026,6,18),tblDaily[WardCode],"MAE")),"")</f>
        <v/>
      </c>
      <c r="G225" s="14" t="str">
        <f>IFERROR(IF(SUMIFS(tblDaily[TransfersOut],tblDaily[EntryDate],DATE(2026,6,18),tblDaily[WardCode],"MAE")=0,"",SUMIFS(tblDaily[TransfersOut],tblDaily[EntryDate],DATE(2026,6,18),tblDaily[WardCode],"MAE")),"")</f>
        <v/>
      </c>
      <c r="H225" s="14" t="str">
        <f>IFERROR(IF(SUMIFS(tblDaily[Remaining],tblDaily[EntryDate],DATE(2026,6,18),tblDaily[WardCode],"MAE")=0,"",SUMIFS(tblDaily[Remaining],tblDaily[EntryDate],DATE(2026,6,18),tblDaily[WardCode],"MAE")),"")</f>
        <v/>
      </c>
      <c r="I225" s="14" t="str">
        <f>IFERROR(IF(SUMIFS(tblDaily[Admissions],tblDaily[EntryDate],DATE(2026,6,18),tblDaily[WardCode],"FAE")=0,"",SUMIFS(tblDaily[Admissions],tblDaily[EntryDate],DATE(2026,6,18),tblDaily[WardCode],"FAE")),"")</f>
        <v/>
      </c>
      <c r="J225" s="14" t="str">
        <f>IFERROR(IF(SUMIFS(tblDaily[Discharges],tblDaily[EntryDate],DATE(2026,6,18),tblDaily[WardCode],"FAE")=0,"",SUMIFS(tblDaily[Discharges],tblDaily[EntryDate],DATE(2026,6,18),tblDaily[WardCode],"FAE")),"")</f>
        <v/>
      </c>
      <c r="K225" s="14" t="str">
        <f>IFERROR(IF(SUMIFS(tblDaily[Deaths],tblDaily[EntryDate],DATE(2026,6,18),tblDaily[WardCode],"FAE")=0,"",SUMIFS(tblDaily[Deaths],tblDaily[EntryDate],DATE(2026,6,18),tblDaily[WardCode],"FAE")),"")</f>
        <v/>
      </c>
      <c r="L225" s="14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14" t="str">
        <f>IFERROR(IF(SUMIFS(tblDaily[TransfersIn],tblDaily[EntryDate],DATE(2026,6,18),tblDaily[WardCode],"FAE")=0,"",SUMIFS(tblDaily[TransfersIn],tblDaily[EntryDate],DATE(2026,6,18),tblDaily[WardCode],"FAE")),"")</f>
        <v/>
      </c>
      <c r="N225" s="14" t="str">
        <f>IFERROR(IF(SUMIFS(tblDaily[TransfersOut],tblDaily[EntryDate],DATE(2026,6,18),tblDaily[WardCode],"FAE")=0,"",SUMIFS(tblDaily[TransfersOut],tblDaily[EntryDate],DATE(2026,6,18),tblDaily[WardCode],"FAE")),"")</f>
        <v/>
      </c>
      <c r="O225" s="14" t="str">
        <f>IFERROR(IF(SUMIFS(tblDaily[Remaining],tblDaily[EntryDate],DATE(2026,6,18),tblDaily[WardCode],"FAE")=0,"",SUMIFS(tblDaily[Remaining],tblDaily[EntryDate],DATE(2026,6,18),tblDaily[WardCode],"FAE")),"")</f>
        <v/>
      </c>
      <c r="P225" s="15" t="str">
        <f t="shared" si="5"/>
        <v/>
      </c>
    </row>
    <row r="226" spans="1:16" x14ac:dyDescent="0.25">
      <c r="A226" s="14">
        <v>19</v>
      </c>
      <c r="B226" s="14" t="str">
        <f>IFERROR(IF(SUMIFS(tblDaily[Admissions],tblDaily[EntryDate],DATE(2026,6,19),tblDaily[WardCode],"MAE")=0,"",SUMIFS(tblDaily[Admissions],tblDaily[EntryDate],DATE(2026,6,19),tblDaily[WardCode],"MAE")),"")</f>
        <v/>
      </c>
      <c r="C226" s="14" t="str">
        <f>IFERROR(IF(SUMIFS(tblDaily[Discharges],tblDaily[EntryDate],DATE(2026,6,19),tblDaily[WardCode],"MAE")=0,"",SUMIFS(tblDaily[Discharges],tblDaily[EntryDate],DATE(2026,6,19),tblDaily[WardCode],"MAE")),"")</f>
        <v/>
      </c>
      <c r="D226" s="14" t="str">
        <f>IFERROR(IF(SUMIFS(tblDaily[Deaths],tblDaily[EntryDate],DATE(2026,6,19),tblDaily[WardCode],"MAE")=0,"",SUMIFS(tblDaily[Deaths],tblDaily[EntryDate],DATE(2026,6,19),tblDaily[WardCode],"MAE")),"")</f>
        <v/>
      </c>
      <c r="E226" s="14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14" t="str">
        <f>IFERROR(IF(SUMIFS(tblDaily[TransfersIn],tblDaily[EntryDate],DATE(2026,6,19),tblDaily[WardCode],"MAE")=0,"",SUMIFS(tblDaily[TransfersIn],tblDaily[EntryDate],DATE(2026,6,19),tblDaily[WardCode],"MAE")),"")</f>
        <v/>
      </c>
      <c r="G226" s="14" t="str">
        <f>IFERROR(IF(SUMIFS(tblDaily[TransfersOut],tblDaily[EntryDate],DATE(2026,6,19),tblDaily[WardCode],"MAE")=0,"",SUMIFS(tblDaily[TransfersOut],tblDaily[EntryDate],DATE(2026,6,19),tblDaily[WardCode],"MAE")),"")</f>
        <v/>
      </c>
      <c r="H226" s="14" t="str">
        <f>IFERROR(IF(SUMIFS(tblDaily[Remaining],tblDaily[EntryDate],DATE(2026,6,19),tblDaily[WardCode],"MAE")=0,"",SUMIFS(tblDaily[Remaining],tblDaily[EntryDate],DATE(2026,6,19),tblDaily[WardCode],"MAE")),"")</f>
        <v/>
      </c>
      <c r="I226" s="14" t="str">
        <f>IFERROR(IF(SUMIFS(tblDaily[Admissions],tblDaily[EntryDate],DATE(2026,6,19),tblDaily[WardCode],"FAE")=0,"",SUMIFS(tblDaily[Admissions],tblDaily[EntryDate],DATE(2026,6,19),tblDaily[WardCode],"FAE")),"")</f>
        <v/>
      </c>
      <c r="J226" s="14" t="str">
        <f>IFERROR(IF(SUMIFS(tblDaily[Discharges],tblDaily[EntryDate],DATE(2026,6,19),tblDaily[WardCode],"FAE")=0,"",SUMIFS(tblDaily[Discharges],tblDaily[EntryDate],DATE(2026,6,19),tblDaily[WardCode],"FAE")),"")</f>
        <v/>
      </c>
      <c r="K226" s="14" t="str">
        <f>IFERROR(IF(SUMIFS(tblDaily[Deaths],tblDaily[EntryDate],DATE(2026,6,19),tblDaily[WardCode],"FAE")=0,"",SUMIFS(tblDaily[Deaths],tblDaily[EntryDate],DATE(2026,6,19),tblDaily[WardCode],"FAE")),"")</f>
        <v/>
      </c>
      <c r="L226" s="14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14" t="str">
        <f>IFERROR(IF(SUMIFS(tblDaily[TransfersIn],tblDaily[EntryDate],DATE(2026,6,19),tblDaily[WardCode],"FAE")=0,"",SUMIFS(tblDaily[TransfersIn],tblDaily[EntryDate],DATE(2026,6,19),tblDaily[WardCode],"FAE")),"")</f>
        <v/>
      </c>
      <c r="N226" s="14" t="str">
        <f>IFERROR(IF(SUMIFS(tblDaily[TransfersOut],tblDaily[EntryDate],DATE(2026,6,19),tblDaily[WardCode],"FAE")=0,"",SUMIFS(tblDaily[TransfersOut],tblDaily[EntryDate],DATE(2026,6,19),tblDaily[WardCode],"FAE")),"")</f>
        <v/>
      </c>
      <c r="O226" s="14" t="str">
        <f>IFERROR(IF(SUMIFS(tblDaily[Remaining],tblDaily[EntryDate],DATE(2026,6,19),tblDaily[WardCode],"FAE")=0,"",SUMIFS(tblDaily[Remaining],tblDaily[EntryDate],DATE(2026,6,19),tblDaily[WardCode],"FAE")),"")</f>
        <v/>
      </c>
      <c r="P226" s="15" t="str">
        <f t="shared" si="5"/>
        <v/>
      </c>
    </row>
    <row r="227" spans="1:16" x14ac:dyDescent="0.25">
      <c r="A227" s="14">
        <v>20</v>
      </c>
      <c r="B227" s="14" t="str">
        <f>IFERROR(IF(SUMIFS(tblDaily[Admissions],tblDaily[EntryDate],DATE(2026,6,20),tblDaily[WardCode],"MAE")=0,"",SUMIFS(tblDaily[Admissions],tblDaily[EntryDate],DATE(2026,6,20),tblDaily[WardCode],"MAE")),"")</f>
        <v/>
      </c>
      <c r="C227" s="14" t="str">
        <f>IFERROR(IF(SUMIFS(tblDaily[Discharges],tblDaily[EntryDate],DATE(2026,6,20),tblDaily[WardCode],"MAE")=0,"",SUMIFS(tblDaily[Discharges],tblDaily[EntryDate],DATE(2026,6,20),tblDaily[WardCode],"MAE")),"")</f>
        <v/>
      </c>
      <c r="D227" s="14" t="str">
        <f>IFERROR(IF(SUMIFS(tblDaily[Deaths],tblDaily[EntryDate],DATE(2026,6,20),tblDaily[WardCode],"MAE")=0,"",SUMIFS(tblDaily[Deaths],tblDaily[EntryDate],DATE(2026,6,20),tblDaily[WardCode],"MAE")),"")</f>
        <v/>
      </c>
      <c r="E227" s="14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14" t="str">
        <f>IFERROR(IF(SUMIFS(tblDaily[TransfersIn],tblDaily[EntryDate],DATE(2026,6,20),tblDaily[WardCode],"MAE")=0,"",SUMIFS(tblDaily[TransfersIn],tblDaily[EntryDate],DATE(2026,6,20),tblDaily[WardCode],"MAE")),"")</f>
        <v/>
      </c>
      <c r="G227" s="14" t="str">
        <f>IFERROR(IF(SUMIFS(tblDaily[TransfersOut],tblDaily[EntryDate],DATE(2026,6,20),tblDaily[WardCode],"MAE")=0,"",SUMIFS(tblDaily[TransfersOut],tblDaily[EntryDate],DATE(2026,6,20),tblDaily[WardCode],"MAE")),"")</f>
        <v/>
      </c>
      <c r="H227" s="14" t="str">
        <f>IFERROR(IF(SUMIFS(tblDaily[Remaining],tblDaily[EntryDate],DATE(2026,6,20),tblDaily[WardCode],"MAE")=0,"",SUMIFS(tblDaily[Remaining],tblDaily[EntryDate],DATE(2026,6,20),tblDaily[WardCode],"MAE")),"")</f>
        <v/>
      </c>
      <c r="I227" s="14" t="str">
        <f>IFERROR(IF(SUMIFS(tblDaily[Admissions],tblDaily[EntryDate],DATE(2026,6,20),tblDaily[WardCode],"FAE")=0,"",SUMIFS(tblDaily[Admissions],tblDaily[EntryDate],DATE(2026,6,20),tblDaily[WardCode],"FAE")),"")</f>
        <v/>
      </c>
      <c r="J227" s="14" t="str">
        <f>IFERROR(IF(SUMIFS(tblDaily[Discharges],tblDaily[EntryDate],DATE(2026,6,20),tblDaily[WardCode],"FAE")=0,"",SUMIFS(tblDaily[Discharges],tblDaily[EntryDate],DATE(2026,6,20),tblDaily[WardCode],"FAE")),"")</f>
        <v/>
      </c>
      <c r="K227" s="14" t="str">
        <f>IFERROR(IF(SUMIFS(tblDaily[Deaths],tblDaily[EntryDate],DATE(2026,6,20),tblDaily[WardCode],"FAE")=0,"",SUMIFS(tblDaily[Deaths],tblDaily[EntryDate],DATE(2026,6,20),tblDaily[WardCode],"FAE")),"")</f>
        <v/>
      </c>
      <c r="L227" s="14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14" t="str">
        <f>IFERROR(IF(SUMIFS(tblDaily[TransfersIn],tblDaily[EntryDate],DATE(2026,6,20),tblDaily[WardCode],"FAE")=0,"",SUMIFS(tblDaily[TransfersIn],tblDaily[EntryDate],DATE(2026,6,20),tblDaily[WardCode],"FAE")),"")</f>
        <v/>
      </c>
      <c r="N227" s="14" t="str">
        <f>IFERROR(IF(SUMIFS(tblDaily[TransfersOut],tblDaily[EntryDate],DATE(2026,6,20),tblDaily[WardCode],"FAE")=0,"",SUMIFS(tblDaily[TransfersOut],tblDaily[EntryDate],DATE(2026,6,20),tblDaily[WardCode],"FAE")),"")</f>
        <v/>
      </c>
      <c r="O227" s="14" t="str">
        <f>IFERROR(IF(SUMIFS(tblDaily[Remaining],tblDaily[EntryDate],DATE(2026,6,20),tblDaily[WardCode],"FAE")=0,"",SUMIFS(tblDaily[Remaining],tblDaily[EntryDate],DATE(2026,6,20),tblDaily[WardCode],"FAE")),"")</f>
        <v/>
      </c>
      <c r="P227" s="15" t="str">
        <f t="shared" si="5"/>
        <v/>
      </c>
    </row>
    <row r="228" spans="1:16" x14ac:dyDescent="0.25">
      <c r="A228" s="14">
        <v>21</v>
      </c>
      <c r="B228" s="14" t="str">
        <f>IFERROR(IF(SUMIFS(tblDaily[Admissions],tblDaily[EntryDate],DATE(2026,6,21),tblDaily[WardCode],"MAE")=0,"",SUMIFS(tblDaily[Admissions],tblDaily[EntryDate],DATE(2026,6,21),tblDaily[WardCode],"MAE")),"")</f>
        <v/>
      </c>
      <c r="C228" s="14" t="str">
        <f>IFERROR(IF(SUMIFS(tblDaily[Discharges],tblDaily[EntryDate],DATE(2026,6,21),tblDaily[WardCode],"MAE")=0,"",SUMIFS(tblDaily[Discharges],tblDaily[EntryDate],DATE(2026,6,21),tblDaily[WardCode],"MAE")),"")</f>
        <v/>
      </c>
      <c r="D228" s="14" t="str">
        <f>IFERROR(IF(SUMIFS(tblDaily[Deaths],tblDaily[EntryDate],DATE(2026,6,21),tblDaily[WardCode],"MAE")=0,"",SUMIFS(tblDaily[Deaths],tblDaily[EntryDate],DATE(2026,6,21),tblDaily[WardCode],"MAE")),"")</f>
        <v/>
      </c>
      <c r="E228" s="14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14" t="str">
        <f>IFERROR(IF(SUMIFS(tblDaily[TransfersIn],tblDaily[EntryDate],DATE(2026,6,21),tblDaily[WardCode],"MAE")=0,"",SUMIFS(tblDaily[TransfersIn],tblDaily[EntryDate],DATE(2026,6,21),tblDaily[WardCode],"MAE")),"")</f>
        <v/>
      </c>
      <c r="G228" s="14" t="str">
        <f>IFERROR(IF(SUMIFS(tblDaily[TransfersOut],tblDaily[EntryDate],DATE(2026,6,21),tblDaily[WardCode],"MAE")=0,"",SUMIFS(tblDaily[TransfersOut],tblDaily[EntryDate],DATE(2026,6,21),tblDaily[WardCode],"MAE")),"")</f>
        <v/>
      </c>
      <c r="H228" s="14" t="str">
        <f>IFERROR(IF(SUMIFS(tblDaily[Remaining],tblDaily[EntryDate],DATE(2026,6,21),tblDaily[WardCode],"MAE")=0,"",SUMIFS(tblDaily[Remaining],tblDaily[EntryDate],DATE(2026,6,21),tblDaily[WardCode],"MAE")),"")</f>
        <v/>
      </c>
      <c r="I228" s="14" t="str">
        <f>IFERROR(IF(SUMIFS(tblDaily[Admissions],tblDaily[EntryDate],DATE(2026,6,21),tblDaily[WardCode],"FAE")=0,"",SUMIFS(tblDaily[Admissions],tblDaily[EntryDate],DATE(2026,6,21),tblDaily[WardCode],"FAE")),"")</f>
        <v/>
      </c>
      <c r="J228" s="14" t="str">
        <f>IFERROR(IF(SUMIFS(tblDaily[Discharges],tblDaily[EntryDate],DATE(2026,6,21),tblDaily[WardCode],"FAE")=0,"",SUMIFS(tblDaily[Discharges],tblDaily[EntryDate],DATE(2026,6,21),tblDaily[WardCode],"FAE")),"")</f>
        <v/>
      </c>
      <c r="K228" s="14" t="str">
        <f>IFERROR(IF(SUMIFS(tblDaily[Deaths],tblDaily[EntryDate],DATE(2026,6,21),tblDaily[WardCode],"FAE")=0,"",SUMIFS(tblDaily[Deaths],tblDaily[EntryDate],DATE(2026,6,21),tblDaily[WardCode],"FAE")),"")</f>
        <v/>
      </c>
      <c r="L228" s="14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14" t="str">
        <f>IFERROR(IF(SUMIFS(tblDaily[TransfersIn],tblDaily[EntryDate],DATE(2026,6,21),tblDaily[WardCode],"FAE")=0,"",SUMIFS(tblDaily[TransfersIn],tblDaily[EntryDate],DATE(2026,6,21),tblDaily[WardCode],"FAE")),"")</f>
        <v/>
      </c>
      <c r="N228" s="14" t="str">
        <f>IFERROR(IF(SUMIFS(tblDaily[TransfersOut],tblDaily[EntryDate],DATE(2026,6,21),tblDaily[WardCode],"FAE")=0,"",SUMIFS(tblDaily[TransfersOut],tblDaily[EntryDate],DATE(2026,6,21),tblDaily[WardCode],"FAE")),"")</f>
        <v/>
      </c>
      <c r="O228" s="14" t="str">
        <f>IFERROR(IF(SUMIFS(tblDaily[Remaining],tblDaily[EntryDate],DATE(2026,6,21),tblDaily[WardCode],"FAE")=0,"",SUMIFS(tblDaily[Remaining],tblDaily[EntryDate],DATE(2026,6,21),tblDaily[WardCode],"FAE")),"")</f>
        <v/>
      </c>
      <c r="P228" s="15" t="str">
        <f t="shared" si="5"/>
        <v/>
      </c>
    </row>
    <row r="229" spans="1:16" x14ac:dyDescent="0.25">
      <c r="A229" s="14">
        <v>22</v>
      </c>
      <c r="B229" s="14" t="str">
        <f>IFERROR(IF(SUMIFS(tblDaily[Admissions],tblDaily[EntryDate],DATE(2026,6,22),tblDaily[WardCode],"MAE")=0,"",SUMIFS(tblDaily[Admissions],tblDaily[EntryDate],DATE(2026,6,22),tblDaily[WardCode],"MAE")),"")</f>
        <v/>
      </c>
      <c r="C229" s="14" t="str">
        <f>IFERROR(IF(SUMIFS(tblDaily[Discharges],tblDaily[EntryDate],DATE(2026,6,22),tblDaily[WardCode],"MAE")=0,"",SUMIFS(tblDaily[Discharges],tblDaily[EntryDate],DATE(2026,6,22),tblDaily[WardCode],"MAE")),"")</f>
        <v/>
      </c>
      <c r="D229" s="14" t="str">
        <f>IFERROR(IF(SUMIFS(tblDaily[Deaths],tblDaily[EntryDate],DATE(2026,6,22),tblDaily[WardCode],"MAE")=0,"",SUMIFS(tblDaily[Deaths],tblDaily[EntryDate],DATE(2026,6,22),tblDaily[WardCode],"MAE")),"")</f>
        <v/>
      </c>
      <c r="E229" s="14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14" t="str">
        <f>IFERROR(IF(SUMIFS(tblDaily[TransfersIn],tblDaily[EntryDate],DATE(2026,6,22),tblDaily[WardCode],"MAE")=0,"",SUMIFS(tblDaily[TransfersIn],tblDaily[EntryDate],DATE(2026,6,22),tblDaily[WardCode],"MAE")),"")</f>
        <v/>
      </c>
      <c r="G229" s="14" t="str">
        <f>IFERROR(IF(SUMIFS(tblDaily[TransfersOut],tblDaily[EntryDate],DATE(2026,6,22),tblDaily[WardCode],"MAE")=0,"",SUMIFS(tblDaily[TransfersOut],tblDaily[EntryDate],DATE(2026,6,22),tblDaily[WardCode],"MAE")),"")</f>
        <v/>
      </c>
      <c r="H229" s="14" t="str">
        <f>IFERROR(IF(SUMIFS(tblDaily[Remaining],tblDaily[EntryDate],DATE(2026,6,22),tblDaily[WardCode],"MAE")=0,"",SUMIFS(tblDaily[Remaining],tblDaily[EntryDate],DATE(2026,6,22),tblDaily[WardCode],"MAE")),"")</f>
        <v/>
      </c>
      <c r="I229" s="14" t="str">
        <f>IFERROR(IF(SUMIFS(tblDaily[Admissions],tblDaily[EntryDate],DATE(2026,6,22),tblDaily[WardCode],"FAE")=0,"",SUMIFS(tblDaily[Admissions],tblDaily[EntryDate],DATE(2026,6,22),tblDaily[WardCode],"FAE")),"")</f>
        <v/>
      </c>
      <c r="J229" s="14" t="str">
        <f>IFERROR(IF(SUMIFS(tblDaily[Discharges],tblDaily[EntryDate],DATE(2026,6,22),tblDaily[WardCode],"FAE")=0,"",SUMIFS(tblDaily[Discharges],tblDaily[EntryDate],DATE(2026,6,22),tblDaily[WardCode],"FAE")),"")</f>
        <v/>
      </c>
      <c r="K229" s="14" t="str">
        <f>IFERROR(IF(SUMIFS(tblDaily[Deaths],tblDaily[EntryDate],DATE(2026,6,22),tblDaily[WardCode],"FAE")=0,"",SUMIFS(tblDaily[Deaths],tblDaily[EntryDate],DATE(2026,6,22),tblDaily[WardCode],"FAE")),"")</f>
        <v/>
      </c>
      <c r="L229" s="14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14" t="str">
        <f>IFERROR(IF(SUMIFS(tblDaily[TransfersIn],tblDaily[EntryDate],DATE(2026,6,22),tblDaily[WardCode],"FAE")=0,"",SUMIFS(tblDaily[TransfersIn],tblDaily[EntryDate],DATE(2026,6,22),tblDaily[WardCode],"FAE")),"")</f>
        <v/>
      </c>
      <c r="N229" s="14" t="str">
        <f>IFERROR(IF(SUMIFS(tblDaily[TransfersOut],tblDaily[EntryDate],DATE(2026,6,22),tblDaily[WardCode],"FAE")=0,"",SUMIFS(tblDaily[TransfersOut],tblDaily[EntryDate],DATE(2026,6,22),tblDaily[WardCode],"FAE")),"")</f>
        <v/>
      </c>
      <c r="O229" s="14" t="str">
        <f>IFERROR(IF(SUMIFS(tblDaily[Remaining],tblDaily[EntryDate],DATE(2026,6,22),tblDaily[WardCode],"FAE")=0,"",SUMIFS(tblDaily[Remaining],tblDaily[EntryDate],DATE(2026,6,22),tblDaily[WardCode],"FAE")),"")</f>
        <v/>
      </c>
      <c r="P229" s="15" t="str">
        <f t="shared" si="5"/>
        <v/>
      </c>
    </row>
    <row r="230" spans="1:16" x14ac:dyDescent="0.25">
      <c r="A230" s="14">
        <v>23</v>
      </c>
      <c r="B230" s="14" t="str">
        <f>IFERROR(IF(SUMIFS(tblDaily[Admissions],tblDaily[EntryDate],DATE(2026,6,23),tblDaily[WardCode],"MAE")=0,"",SUMIFS(tblDaily[Admissions],tblDaily[EntryDate],DATE(2026,6,23),tblDaily[WardCode],"MAE")),"")</f>
        <v/>
      </c>
      <c r="C230" s="14" t="str">
        <f>IFERROR(IF(SUMIFS(tblDaily[Discharges],tblDaily[EntryDate],DATE(2026,6,23),tblDaily[WardCode],"MAE")=0,"",SUMIFS(tblDaily[Discharges],tblDaily[EntryDate],DATE(2026,6,23),tblDaily[WardCode],"MAE")),"")</f>
        <v/>
      </c>
      <c r="D230" s="14" t="str">
        <f>IFERROR(IF(SUMIFS(tblDaily[Deaths],tblDaily[EntryDate],DATE(2026,6,23),tblDaily[WardCode],"MAE")=0,"",SUMIFS(tblDaily[Deaths],tblDaily[EntryDate],DATE(2026,6,23),tblDaily[WardCode],"MAE")),"")</f>
        <v/>
      </c>
      <c r="E230" s="14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14" t="str">
        <f>IFERROR(IF(SUMIFS(tblDaily[TransfersIn],tblDaily[EntryDate],DATE(2026,6,23),tblDaily[WardCode],"MAE")=0,"",SUMIFS(tblDaily[TransfersIn],tblDaily[EntryDate],DATE(2026,6,23),tblDaily[WardCode],"MAE")),"")</f>
        <v/>
      </c>
      <c r="G230" s="14" t="str">
        <f>IFERROR(IF(SUMIFS(tblDaily[TransfersOut],tblDaily[EntryDate],DATE(2026,6,23),tblDaily[WardCode],"MAE")=0,"",SUMIFS(tblDaily[TransfersOut],tblDaily[EntryDate],DATE(2026,6,23),tblDaily[WardCode],"MAE")),"")</f>
        <v/>
      </c>
      <c r="H230" s="14" t="str">
        <f>IFERROR(IF(SUMIFS(tblDaily[Remaining],tblDaily[EntryDate],DATE(2026,6,23),tblDaily[WardCode],"MAE")=0,"",SUMIFS(tblDaily[Remaining],tblDaily[EntryDate],DATE(2026,6,23),tblDaily[WardCode],"MAE")),"")</f>
        <v/>
      </c>
      <c r="I230" s="14" t="str">
        <f>IFERROR(IF(SUMIFS(tblDaily[Admissions],tblDaily[EntryDate],DATE(2026,6,23),tblDaily[WardCode],"FAE")=0,"",SUMIFS(tblDaily[Admissions],tblDaily[EntryDate],DATE(2026,6,23),tblDaily[WardCode],"FAE")),"")</f>
        <v/>
      </c>
      <c r="J230" s="14" t="str">
        <f>IFERROR(IF(SUMIFS(tblDaily[Discharges],tblDaily[EntryDate],DATE(2026,6,23),tblDaily[WardCode],"FAE")=0,"",SUMIFS(tblDaily[Discharges],tblDaily[EntryDate],DATE(2026,6,23),tblDaily[WardCode],"FAE")),"")</f>
        <v/>
      </c>
      <c r="K230" s="14" t="str">
        <f>IFERROR(IF(SUMIFS(tblDaily[Deaths],tblDaily[EntryDate],DATE(2026,6,23),tblDaily[WardCode],"FAE")=0,"",SUMIFS(tblDaily[Deaths],tblDaily[EntryDate],DATE(2026,6,23),tblDaily[WardCode],"FAE")),"")</f>
        <v/>
      </c>
      <c r="L230" s="14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14" t="str">
        <f>IFERROR(IF(SUMIFS(tblDaily[TransfersIn],tblDaily[EntryDate],DATE(2026,6,23),tblDaily[WardCode],"FAE")=0,"",SUMIFS(tblDaily[TransfersIn],tblDaily[EntryDate],DATE(2026,6,23),tblDaily[WardCode],"FAE")),"")</f>
        <v/>
      </c>
      <c r="N230" s="14" t="str">
        <f>IFERROR(IF(SUMIFS(tblDaily[TransfersOut],tblDaily[EntryDate],DATE(2026,6,23),tblDaily[WardCode],"FAE")=0,"",SUMIFS(tblDaily[TransfersOut],tblDaily[EntryDate],DATE(2026,6,23),tblDaily[WardCode],"FAE")),"")</f>
        <v/>
      </c>
      <c r="O230" s="14" t="str">
        <f>IFERROR(IF(SUMIFS(tblDaily[Remaining],tblDaily[EntryDate],DATE(2026,6,23),tblDaily[WardCode],"FAE")=0,"",SUMIFS(tblDaily[Remaining],tblDaily[EntryDate],DATE(2026,6,23),tblDaily[WardCode],"FAE")),"")</f>
        <v/>
      </c>
      <c r="P230" s="15" t="str">
        <f t="shared" si="5"/>
        <v/>
      </c>
    </row>
    <row r="231" spans="1:16" x14ac:dyDescent="0.25">
      <c r="A231" s="14">
        <v>24</v>
      </c>
      <c r="B231" s="14" t="str">
        <f>IFERROR(IF(SUMIFS(tblDaily[Admissions],tblDaily[EntryDate],DATE(2026,6,24),tblDaily[WardCode],"MAE")=0,"",SUMIFS(tblDaily[Admissions],tblDaily[EntryDate],DATE(2026,6,24),tblDaily[WardCode],"MAE")),"")</f>
        <v/>
      </c>
      <c r="C231" s="14" t="str">
        <f>IFERROR(IF(SUMIFS(tblDaily[Discharges],tblDaily[EntryDate],DATE(2026,6,24),tblDaily[WardCode],"MAE")=0,"",SUMIFS(tblDaily[Discharges],tblDaily[EntryDate],DATE(2026,6,24),tblDaily[WardCode],"MAE")),"")</f>
        <v/>
      </c>
      <c r="D231" s="14" t="str">
        <f>IFERROR(IF(SUMIFS(tblDaily[Deaths],tblDaily[EntryDate],DATE(2026,6,24),tblDaily[WardCode],"MAE")=0,"",SUMIFS(tblDaily[Deaths],tblDaily[EntryDate],DATE(2026,6,24),tblDaily[WardCode],"MAE")),"")</f>
        <v/>
      </c>
      <c r="E231" s="14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14" t="str">
        <f>IFERROR(IF(SUMIFS(tblDaily[TransfersIn],tblDaily[EntryDate],DATE(2026,6,24),tblDaily[WardCode],"MAE")=0,"",SUMIFS(tblDaily[TransfersIn],tblDaily[EntryDate],DATE(2026,6,24),tblDaily[WardCode],"MAE")),"")</f>
        <v/>
      </c>
      <c r="G231" s="14" t="str">
        <f>IFERROR(IF(SUMIFS(tblDaily[TransfersOut],tblDaily[EntryDate],DATE(2026,6,24),tblDaily[WardCode],"MAE")=0,"",SUMIFS(tblDaily[TransfersOut],tblDaily[EntryDate],DATE(2026,6,24),tblDaily[WardCode],"MAE")),"")</f>
        <v/>
      </c>
      <c r="H231" s="14" t="str">
        <f>IFERROR(IF(SUMIFS(tblDaily[Remaining],tblDaily[EntryDate],DATE(2026,6,24),tblDaily[WardCode],"MAE")=0,"",SUMIFS(tblDaily[Remaining],tblDaily[EntryDate],DATE(2026,6,24),tblDaily[WardCode],"MAE")),"")</f>
        <v/>
      </c>
      <c r="I231" s="14" t="str">
        <f>IFERROR(IF(SUMIFS(tblDaily[Admissions],tblDaily[EntryDate],DATE(2026,6,24),tblDaily[WardCode],"FAE")=0,"",SUMIFS(tblDaily[Admissions],tblDaily[EntryDate],DATE(2026,6,24),tblDaily[WardCode],"FAE")),"")</f>
        <v/>
      </c>
      <c r="J231" s="14" t="str">
        <f>IFERROR(IF(SUMIFS(tblDaily[Discharges],tblDaily[EntryDate],DATE(2026,6,24),tblDaily[WardCode],"FAE")=0,"",SUMIFS(tblDaily[Discharges],tblDaily[EntryDate],DATE(2026,6,24),tblDaily[WardCode],"FAE")),"")</f>
        <v/>
      </c>
      <c r="K231" s="14" t="str">
        <f>IFERROR(IF(SUMIFS(tblDaily[Deaths],tblDaily[EntryDate],DATE(2026,6,24),tblDaily[WardCode],"FAE")=0,"",SUMIFS(tblDaily[Deaths],tblDaily[EntryDate],DATE(2026,6,24),tblDaily[WardCode],"FAE")),"")</f>
        <v/>
      </c>
      <c r="L231" s="14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14" t="str">
        <f>IFERROR(IF(SUMIFS(tblDaily[TransfersIn],tblDaily[EntryDate],DATE(2026,6,24),tblDaily[WardCode],"FAE")=0,"",SUMIFS(tblDaily[TransfersIn],tblDaily[EntryDate],DATE(2026,6,24),tblDaily[WardCode],"FAE")),"")</f>
        <v/>
      </c>
      <c r="N231" s="14" t="str">
        <f>IFERROR(IF(SUMIFS(tblDaily[TransfersOut],tblDaily[EntryDate],DATE(2026,6,24),tblDaily[WardCode],"FAE")=0,"",SUMIFS(tblDaily[TransfersOut],tblDaily[EntryDate],DATE(2026,6,24),tblDaily[WardCode],"FAE")),"")</f>
        <v/>
      </c>
      <c r="O231" s="14" t="str">
        <f>IFERROR(IF(SUMIFS(tblDaily[Remaining],tblDaily[EntryDate],DATE(2026,6,24),tblDaily[WardCode],"FAE")=0,"",SUMIFS(tblDaily[Remaining],tblDaily[EntryDate],DATE(2026,6,24),tblDaily[WardCode],"FAE")),"")</f>
        <v/>
      </c>
      <c r="P231" s="15" t="str">
        <f t="shared" si="5"/>
        <v/>
      </c>
    </row>
    <row r="232" spans="1:16" x14ac:dyDescent="0.25">
      <c r="A232" s="14">
        <v>25</v>
      </c>
      <c r="B232" s="14" t="str">
        <f>IFERROR(IF(SUMIFS(tblDaily[Admissions],tblDaily[EntryDate],DATE(2026,6,25),tblDaily[WardCode],"MAE")=0,"",SUMIFS(tblDaily[Admissions],tblDaily[EntryDate],DATE(2026,6,25),tblDaily[WardCode],"MAE")),"")</f>
        <v/>
      </c>
      <c r="C232" s="14" t="str">
        <f>IFERROR(IF(SUMIFS(tblDaily[Discharges],tblDaily[EntryDate],DATE(2026,6,25),tblDaily[WardCode],"MAE")=0,"",SUMIFS(tblDaily[Discharges],tblDaily[EntryDate],DATE(2026,6,25),tblDaily[WardCode],"MAE")),"")</f>
        <v/>
      </c>
      <c r="D232" s="14" t="str">
        <f>IFERROR(IF(SUMIFS(tblDaily[Deaths],tblDaily[EntryDate],DATE(2026,6,25),tblDaily[WardCode],"MAE")=0,"",SUMIFS(tblDaily[Deaths],tblDaily[EntryDate],DATE(2026,6,25),tblDaily[WardCode],"MAE")),"")</f>
        <v/>
      </c>
      <c r="E232" s="14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14" t="str">
        <f>IFERROR(IF(SUMIFS(tblDaily[TransfersIn],tblDaily[EntryDate],DATE(2026,6,25),tblDaily[WardCode],"MAE")=0,"",SUMIFS(tblDaily[TransfersIn],tblDaily[EntryDate],DATE(2026,6,25),tblDaily[WardCode],"MAE")),"")</f>
        <v/>
      </c>
      <c r="G232" s="14" t="str">
        <f>IFERROR(IF(SUMIFS(tblDaily[TransfersOut],tblDaily[EntryDate],DATE(2026,6,25),tblDaily[WardCode],"MAE")=0,"",SUMIFS(tblDaily[TransfersOut],tblDaily[EntryDate],DATE(2026,6,25),tblDaily[WardCode],"MAE")),"")</f>
        <v/>
      </c>
      <c r="H232" s="14" t="str">
        <f>IFERROR(IF(SUMIFS(tblDaily[Remaining],tblDaily[EntryDate],DATE(2026,6,25),tblDaily[WardCode],"MAE")=0,"",SUMIFS(tblDaily[Remaining],tblDaily[EntryDate],DATE(2026,6,25),tblDaily[WardCode],"MAE")),"")</f>
        <v/>
      </c>
      <c r="I232" s="14" t="str">
        <f>IFERROR(IF(SUMIFS(tblDaily[Admissions],tblDaily[EntryDate],DATE(2026,6,25),tblDaily[WardCode],"FAE")=0,"",SUMIFS(tblDaily[Admissions],tblDaily[EntryDate],DATE(2026,6,25),tblDaily[WardCode],"FAE")),"")</f>
        <v/>
      </c>
      <c r="J232" s="14" t="str">
        <f>IFERROR(IF(SUMIFS(tblDaily[Discharges],tblDaily[EntryDate],DATE(2026,6,25),tblDaily[WardCode],"FAE")=0,"",SUMIFS(tblDaily[Discharges],tblDaily[EntryDate],DATE(2026,6,25),tblDaily[WardCode],"FAE")),"")</f>
        <v/>
      </c>
      <c r="K232" s="14" t="str">
        <f>IFERROR(IF(SUMIFS(tblDaily[Deaths],tblDaily[EntryDate],DATE(2026,6,25),tblDaily[WardCode],"FAE")=0,"",SUMIFS(tblDaily[Deaths],tblDaily[EntryDate],DATE(2026,6,25),tblDaily[WardCode],"FAE")),"")</f>
        <v/>
      </c>
      <c r="L232" s="14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14" t="str">
        <f>IFERROR(IF(SUMIFS(tblDaily[TransfersIn],tblDaily[EntryDate],DATE(2026,6,25),tblDaily[WardCode],"FAE")=0,"",SUMIFS(tblDaily[TransfersIn],tblDaily[EntryDate],DATE(2026,6,25),tblDaily[WardCode],"FAE")),"")</f>
        <v/>
      </c>
      <c r="N232" s="14" t="str">
        <f>IFERROR(IF(SUMIFS(tblDaily[TransfersOut],tblDaily[EntryDate],DATE(2026,6,25),tblDaily[WardCode],"FAE")=0,"",SUMIFS(tblDaily[TransfersOut],tblDaily[EntryDate],DATE(2026,6,25),tblDaily[WardCode],"FAE")),"")</f>
        <v/>
      </c>
      <c r="O232" s="14" t="str">
        <f>IFERROR(IF(SUMIFS(tblDaily[Remaining],tblDaily[EntryDate],DATE(2026,6,25),tblDaily[WardCode],"FAE")=0,"",SUMIFS(tblDaily[Remaining],tblDaily[EntryDate],DATE(2026,6,25),tblDaily[WardCode],"FAE")),"")</f>
        <v/>
      </c>
      <c r="P232" s="15" t="str">
        <f t="shared" si="5"/>
        <v/>
      </c>
    </row>
    <row r="233" spans="1:16" x14ac:dyDescent="0.25">
      <c r="A233" s="14">
        <v>26</v>
      </c>
      <c r="B233" s="14" t="str">
        <f>IFERROR(IF(SUMIFS(tblDaily[Admissions],tblDaily[EntryDate],DATE(2026,6,26),tblDaily[WardCode],"MAE")=0,"",SUMIFS(tblDaily[Admissions],tblDaily[EntryDate],DATE(2026,6,26),tblDaily[WardCode],"MAE")),"")</f>
        <v/>
      </c>
      <c r="C233" s="14" t="str">
        <f>IFERROR(IF(SUMIFS(tblDaily[Discharges],tblDaily[EntryDate],DATE(2026,6,26),tblDaily[WardCode],"MAE")=0,"",SUMIFS(tblDaily[Discharges],tblDaily[EntryDate],DATE(2026,6,26),tblDaily[WardCode],"MAE")),"")</f>
        <v/>
      </c>
      <c r="D233" s="14" t="str">
        <f>IFERROR(IF(SUMIFS(tblDaily[Deaths],tblDaily[EntryDate],DATE(2026,6,26),tblDaily[WardCode],"MAE")=0,"",SUMIFS(tblDaily[Deaths],tblDaily[EntryDate],DATE(2026,6,26),tblDaily[WardCode],"MAE")),"")</f>
        <v/>
      </c>
      <c r="E233" s="14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14" t="str">
        <f>IFERROR(IF(SUMIFS(tblDaily[TransfersIn],tblDaily[EntryDate],DATE(2026,6,26),tblDaily[WardCode],"MAE")=0,"",SUMIFS(tblDaily[TransfersIn],tblDaily[EntryDate],DATE(2026,6,26),tblDaily[WardCode],"MAE")),"")</f>
        <v/>
      </c>
      <c r="G233" s="14" t="str">
        <f>IFERROR(IF(SUMIFS(tblDaily[TransfersOut],tblDaily[EntryDate],DATE(2026,6,26),tblDaily[WardCode],"MAE")=0,"",SUMIFS(tblDaily[TransfersOut],tblDaily[EntryDate],DATE(2026,6,26),tblDaily[WardCode],"MAE")),"")</f>
        <v/>
      </c>
      <c r="H233" s="14" t="str">
        <f>IFERROR(IF(SUMIFS(tblDaily[Remaining],tblDaily[EntryDate],DATE(2026,6,26),tblDaily[WardCode],"MAE")=0,"",SUMIFS(tblDaily[Remaining],tblDaily[EntryDate],DATE(2026,6,26),tblDaily[WardCode],"MAE")),"")</f>
        <v/>
      </c>
      <c r="I233" s="14" t="str">
        <f>IFERROR(IF(SUMIFS(tblDaily[Admissions],tblDaily[EntryDate],DATE(2026,6,26),tblDaily[WardCode],"FAE")=0,"",SUMIFS(tblDaily[Admissions],tblDaily[EntryDate],DATE(2026,6,26),tblDaily[WardCode],"FAE")),"")</f>
        <v/>
      </c>
      <c r="J233" s="14" t="str">
        <f>IFERROR(IF(SUMIFS(tblDaily[Discharges],tblDaily[EntryDate],DATE(2026,6,26),tblDaily[WardCode],"FAE")=0,"",SUMIFS(tblDaily[Discharges],tblDaily[EntryDate],DATE(2026,6,26),tblDaily[WardCode],"FAE")),"")</f>
        <v/>
      </c>
      <c r="K233" s="14" t="str">
        <f>IFERROR(IF(SUMIFS(tblDaily[Deaths],tblDaily[EntryDate],DATE(2026,6,26),tblDaily[WardCode],"FAE")=0,"",SUMIFS(tblDaily[Deaths],tblDaily[EntryDate],DATE(2026,6,26),tblDaily[WardCode],"FAE")),"")</f>
        <v/>
      </c>
      <c r="L233" s="14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14" t="str">
        <f>IFERROR(IF(SUMIFS(tblDaily[TransfersIn],tblDaily[EntryDate],DATE(2026,6,26),tblDaily[WardCode],"FAE")=0,"",SUMIFS(tblDaily[TransfersIn],tblDaily[EntryDate],DATE(2026,6,26),tblDaily[WardCode],"FAE")),"")</f>
        <v/>
      </c>
      <c r="N233" s="14" t="str">
        <f>IFERROR(IF(SUMIFS(tblDaily[TransfersOut],tblDaily[EntryDate],DATE(2026,6,26),tblDaily[WardCode],"FAE")=0,"",SUMIFS(tblDaily[TransfersOut],tblDaily[EntryDate],DATE(2026,6,26),tblDaily[WardCode],"FAE")),"")</f>
        <v/>
      </c>
      <c r="O233" s="14" t="str">
        <f>IFERROR(IF(SUMIFS(tblDaily[Remaining],tblDaily[EntryDate],DATE(2026,6,26),tblDaily[WardCode],"FAE")=0,"",SUMIFS(tblDaily[Remaining],tblDaily[EntryDate],DATE(2026,6,26),tblDaily[WardCode],"FAE")),"")</f>
        <v/>
      </c>
      <c r="P233" s="15" t="str">
        <f t="shared" si="5"/>
        <v/>
      </c>
    </row>
    <row r="234" spans="1:16" x14ac:dyDescent="0.25">
      <c r="A234" s="14">
        <v>27</v>
      </c>
      <c r="B234" s="14" t="str">
        <f>IFERROR(IF(SUMIFS(tblDaily[Admissions],tblDaily[EntryDate],DATE(2026,6,27),tblDaily[WardCode],"MAE")=0,"",SUMIFS(tblDaily[Admissions],tblDaily[EntryDate],DATE(2026,6,27),tblDaily[WardCode],"MAE")),"")</f>
        <v/>
      </c>
      <c r="C234" s="14" t="str">
        <f>IFERROR(IF(SUMIFS(tblDaily[Discharges],tblDaily[EntryDate],DATE(2026,6,27),tblDaily[WardCode],"MAE")=0,"",SUMIFS(tblDaily[Discharges],tblDaily[EntryDate],DATE(2026,6,27),tblDaily[WardCode],"MAE")),"")</f>
        <v/>
      </c>
      <c r="D234" s="14" t="str">
        <f>IFERROR(IF(SUMIFS(tblDaily[Deaths],tblDaily[EntryDate],DATE(2026,6,27),tblDaily[WardCode],"MAE")=0,"",SUMIFS(tblDaily[Deaths],tblDaily[EntryDate],DATE(2026,6,27),tblDaily[WardCode],"MAE")),"")</f>
        <v/>
      </c>
      <c r="E234" s="14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14" t="str">
        <f>IFERROR(IF(SUMIFS(tblDaily[TransfersIn],tblDaily[EntryDate],DATE(2026,6,27),tblDaily[WardCode],"MAE")=0,"",SUMIFS(tblDaily[TransfersIn],tblDaily[EntryDate],DATE(2026,6,27),tblDaily[WardCode],"MAE")),"")</f>
        <v/>
      </c>
      <c r="G234" s="14" t="str">
        <f>IFERROR(IF(SUMIFS(tblDaily[TransfersOut],tblDaily[EntryDate],DATE(2026,6,27),tblDaily[WardCode],"MAE")=0,"",SUMIFS(tblDaily[TransfersOut],tblDaily[EntryDate],DATE(2026,6,27),tblDaily[WardCode],"MAE")),"")</f>
        <v/>
      </c>
      <c r="H234" s="14" t="str">
        <f>IFERROR(IF(SUMIFS(tblDaily[Remaining],tblDaily[EntryDate],DATE(2026,6,27),tblDaily[WardCode],"MAE")=0,"",SUMIFS(tblDaily[Remaining],tblDaily[EntryDate],DATE(2026,6,27),tblDaily[WardCode],"MAE")),"")</f>
        <v/>
      </c>
      <c r="I234" s="14" t="str">
        <f>IFERROR(IF(SUMIFS(tblDaily[Admissions],tblDaily[EntryDate],DATE(2026,6,27),tblDaily[WardCode],"FAE")=0,"",SUMIFS(tblDaily[Admissions],tblDaily[EntryDate],DATE(2026,6,27),tblDaily[WardCode],"FAE")),"")</f>
        <v/>
      </c>
      <c r="J234" s="14" t="str">
        <f>IFERROR(IF(SUMIFS(tblDaily[Discharges],tblDaily[EntryDate],DATE(2026,6,27),tblDaily[WardCode],"FAE")=0,"",SUMIFS(tblDaily[Discharges],tblDaily[EntryDate],DATE(2026,6,27),tblDaily[WardCode],"FAE")),"")</f>
        <v/>
      </c>
      <c r="K234" s="14" t="str">
        <f>IFERROR(IF(SUMIFS(tblDaily[Deaths],tblDaily[EntryDate],DATE(2026,6,27),tblDaily[WardCode],"FAE")=0,"",SUMIFS(tblDaily[Deaths],tblDaily[EntryDate],DATE(2026,6,27),tblDaily[WardCode],"FAE")),"")</f>
        <v/>
      </c>
      <c r="L234" s="14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14" t="str">
        <f>IFERROR(IF(SUMIFS(tblDaily[TransfersIn],tblDaily[EntryDate],DATE(2026,6,27),tblDaily[WardCode],"FAE")=0,"",SUMIFS(tblDaily[TransfersIn],tblDaily[EntryDate],DATE(2026,6,27),tblDaily[WardCode],"FAE")),"")</f>
        <v/>
      </c>
      <c r="N234" s="14" t="str">
        <f>IFERROR(IF(SUMIFS(tblDaily[TransfersOut],tblDaily[EntryDate],DATE(2026,6,27),tblDaily[WardCode],"FAE")=0,"",SUMIFS(tblDaily[TransfersOut],tblDaily[EntryDate],DATE(2026,6,27),tblDaily[WardCode],"FAE")),"")</f>
        <v/>
      </c>
      <c r="O234" s="14" t="str">
        <f>IFERROR(IF(SUMIFS(tblDaily[Remaining],tblDaily[EntryDate],DATE(2026,6,27),tblDaily[WardCode],"FAE")=0,"",SUMIFS(tblDaily[Remaining],tblDaily[EntryDate],DATE(2026,6,27),tblDaily[WardCode],"FAE")),"")</f>
        <v/>
      </c>
      <c r="P234" s="15" t="str">
        <f t="shared" si="5"/>
        <v/>
      </c>
    </row>
    <row r="235" spans="1:16" x14ac:dyDescent="0.25">
      <c r="A235" s="14">
        <v>28</v>
      </c>
      <c r="B235" s="14" t="str">
        <f>IFERROR(IF(SUMIFS(tblDaily[Admissions],tblDaily[EntryDate],DATE(2026,6,28),tblDaily[WardCode],"MAE")=0,"",SUMIFS(tblDaily[Admissions],tblDaily[EntryDate],DATE(2026,6,28),tblDaily[WardCode],"MAE")),"")</f>
        <v/>
      </c>
      <c r="C235" s="14" t="str">
        <f>IFERROR(IF(SUMIFS(tblDaily[Discharges],tblDaily[EntryDate],DATE(2026,6,28),tblDaily[WardCode],"MAE")=0,"",SUMIFS(tblDaily[Discharges],tblDaily[EntryDate],DATE(2026,6,28),tblDaily[WardCode],"MAE")),"")</f>
        <v/>
      </c>
      <c r="D235" s="14" t="str">
        <f>IFERROR(IF(SUMIFS(tblDaily[Deaths],tblDaily[EntryDate],DATE(2026,6,28),tblDaily[WardCode],"MAE")=0,"",SUMIFS(tblDaily[Deaths],tblDaily[EntryDate],DATE(2026,6,28),tblDaily[WardCode],"MAE")),"")</f>
        <v/>
      </c>
      <c r="E235" s="14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14" t="str">
        <f>IFERROR(IF(SUMIFS(tblDaily[TransfersIn],tblDaily[EntryDate],DATE(2026,6,28),tblDaily[WardCode],"MAE")=0,"",SUMIFS(tblDaily[TransfersIn],tblDaily[EntryDate],DATE(2026,6,28),tblDaily[WardCode],"MAE")),"")</f>
        <v/>
      </c>
      <c r="G235" s="14" t="str">
        <f>IFERROR(IF(SUMIFS(tblDaily[TransfersOut],tblDaily[EntryDate],DATE(2026,6,28),tblDaily[WardCode],"MAE")=0,"",SUMIFS(tblDaily[TransfersOut],tblDaily[EntryDate],DATE(2026,6,28),tblDaily[WardCode],"MAE")),"")</f>
        <v/>
      </c>
      <c r="H235" s="14" t="str">
        <f>IFERROR(IF(SUMIFS(tblDaily[Remaining],tblDaily[EntryDate],DATE(2026,6,28),tblDaily[WardCode],"MAE")=0,"",SUMIFS(tblDaily[Remaining],tblDaily[EntryDate],DATE(2026,6,28),tblDaily[WardCode],"MAE")),"")</f>
        <v/>
      </c>
      <c r="I235" s="14" t="str">
        <f>IFERROR(IF(SUMIFS(tblDaily[Admissions],tblDaily[EntryDate],DATE(2026,6,28),tblDaily[WardCode],"FAE")=0,"",SUMIFS(tblDaily[Admissions],tblDaily[EntryDate],DATE(2026,6,28),tblDaily[WardCode],"FAE")),"")</f>
        <v/>
      </c>
      <c r="J235" s="14" t="str">
        <f>IFERROR(IF(SUMIFS(tblDaily[Discharges],tblDaily[EntryDate],DATE(2026,6,28),tblDaily[WardCode],"FAE")=0,"",SUMIFS(tblDaily[Discharges],tblDaily[EntryDate],DATE(2026,6,28),tblDaily[WardCode],"FAE")),"")</f>
        <v/>
      </c>
      <c r="K235" s="14" t="str">
        <f>IFERROR(IF(SUMIFS(tblDaily[Deaths],tblDaily[EntryDate],DATE(2026,6,28),tblDaily[WardCode],"FAE")=0,"",SUMIFS(tblDaily[Deaths],tblDaily[EntryDate],DATE(2026,6,28),tblDaily[WardCode],"FAE")),"")</f>
        <v/>
      </c>
      <c r="L235" s="14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14" t="str">
        <f>IFERROR(IF(SUMIFS(tblDaily[TransfersIn],tblDaily[EntryDate],DATE(2026,6,28),tblDaily[WardCode],"FAE")=0,"",SUMIFS(tblDaily[TransfersIn],tblDaily[EntryDate],DATE(2026,6,28),tblDaily[WardCode],"FAE")),"")</f>
        <v/>
      </c>
      <c r="N235" s="14" t="str">
        <f>IFERROR(IF(SUMIFS(tblDaily[TransfersOut],tblDaily[EntryDate],DATE(2026,6,28),tblDaily[WardCode],"FAE")=0,"",SUMIFS(tblDaily[TransfersOut],tblDaily[EntryDate],DATE(2026,6,28),tblDaily[WardCode],"FAE")),"")</f>
        <v/>
      </c>
      <c r="O235" s="14" t="str">
        <f>IFERROR(IF(SUMIFS(tblDaily[Remaining],tblDaily[EntryDate],DATE(2026,6,28),tblDaily[WardCode],"FAE")=0,"",SUMIFS(tblDaily[Remaining],tblDaily[EntryDate],DATE(2026,6,28),tblDaily[WardCode],"FAE")),"")</f>
        <v/>
      </c>
      <c r="P235" s="15" t="str">
        <f t="shared" si="5"/>
        <v/>
      </c>
    </row>
    <row r="236" spans="1:16" x14ac:dyDescent="0.25">
      <c r="A236" s="14">
        <v>29</v>
      </c>
      <c r="B236" s="14" t="str">
        <f>IFERROR(IF(SUMIFS(tblDaily[Admissions],tblDaily[EntryDate],DATE(2026,6,29),tblDaily[WardCode],"MAE")=0,"",SUMIFS(tblDaily[Admissions],tblDaily[EntryDate],DATE(2026,6,29),tblDaily[WardCode],"MAE")),"")</f>
        <v/>
      </c>
      <c r="C236" s="14" t="str">
        <f>IFERROR(IF(SUMIFS(tblDaily[Discharges],tblDaily[EntryDate],DATE(2026,6,29),tblDaily[WardCode],"MAE")=0,"",SUMIFS(tblDaily[Discharges],tblDaily[EntryDate],DATE(2026,6,29),tblDaily[WardCode],"MAE")),"")</f>
        <v/>
      </c>
      <c r="D236" s="14" t="str">
        <f>IFERROR(IF(SUMIFS(tblDaily[Deaths],tblDaily[EntryDate],DATE(2026,6,29),tblDaily[WardCode],"MAE")=0,"",SUMIFS(tblDaily[Deaths],tblDaily[EntryDate],DATE(2026,6,29),tblDaily[WardCode],"MAE")),"")</f>
        <v/>
      </c>
      <c r="E236" s="14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14" t="str">
        <f>IFERROR(IF(SUMIFS(tblDaily[TransfersIn],tblDaily[EntryDate],DATE(2026,6,29),tblDaily[WardCode],"MAE")=0,"",SUMIFS(tblDaily[TransfersIn],tblDaily[EntryDate],DATE(2026,6,29),tblDaily[WardCode],"MAE")),"")</f>
        <v/>
      </c>
      <c r="G236" s="14" t="str">
        <f>IFERROR(IF(SUMIFS(tblDaily[TransfersOut],tblDaily[EntryDate],DATE(2026,6,29),tblDaily[WardCode],"MAE")=0,"",SUMIFS(tblDaily[TransfersOut],tblDaily[EntryDate],DATE(2026,6,29),tblDaily[WardCode],"MAE")),"")</f>
        <v/>
      </c>
      <c r="H236" s="14" t="str">
        <f>IFERROR(IF(SUMIFS(tblDaily[Remaining],tblDaily[EntryDate],DATE(2026,6,29),tblDaily[WardCode],"MAE")=0,"",SUMIFS(tblDaily[Remaining],tblDaily[EntryDate],DATE(2026,6,29),tblDaily[WardCode],"MAE")),"")</f>
        <v/>
      </c>
      <c r="I236" s="14" t="str">
        <f>IFERROR(IF(SUMIFS(tblDaily[Admissions],tblDaily[EntryDate],DATE(2026,6,29),tblDaily[WardCode],"FAE")=0,"",SUMIFS(tblDaily[Admissions],tblDaily[EntryDate],DATE(2026,6,29),tblDaily[WardCode],"FAE")),"")</f>
        <v/>
      </c>
      <c r="J236" s="14" t="str">
        <f>IFERROR(IF(SUMIFS(tblDaily[Discharges],tblDaily[EntryDate],DATE(2026,6,29),tblDaily[WardCode],"FAE")=0,"",SUMIFS(tblDaily[Discharges],tblDaily[EntryDate],DATE(2026,6,29),tblDaily[WardCode],"FAE")),"")</f>
        <v/>
      </c>
      <c r="K236" s="14" t="str">
        <f>IFERROR(IF(SUMIFS(tblDaily[Deaths],tblDaily[EntryDate],DATE(2026,6,29),tblDaily[WardCode],"FAE")=0,"",SUMIFS(tblDaily[Deaths],tblDaily[EntryDate],DATE(2026,6,29),tblDaily[WardCode],"FAE")),"")</f>
        <v/>
      </c>
      <c r="L236" s="14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14" t="str">
        <f>IFERROR(IF(SUMIFS(tblDaily[TransfersIn],tblDaily[EntryDate],DATE(2026,6,29),tblDaily[WardCode],"FAE")=0,"",SUMIFS(tblDaily[TransfersIn],tblDaily[EntryDate],DATE(2026,6,29),tblDaily[WardCode],"FAE")),"")</f>
        <v/>
      </c>
      <c r="N236" s="14" t="str">
        <f>IFERROR(IF(SUMIFS(tblDaily[TransfersOut],tblDaily[EntryDate],DATE(2026,6,29),tblDaily[WardCode],"FAE")=0,"",SUMIFS(tblDaily[TransfersOut],tblDaily[EntryDate],DATE(2026,6,29),tblDaily[WardCode],"FAE")),"")</f>
        <v/>
      </c>
      <c r="O236" s="14" t="str">
        <f>IFERROR(IF(SUMIFS(tblDaily[Remaining],tblDaily[EntryDate],DATE(2026,6,29),tblDaily[WardCode],"FAE")=0,"",SUMIFS(tblDaily[Remaining],tblDaily[EntryDate],DATE(2026,6,29),tblDaily[WardCode],"FAE")),"")</f>
        <v/>
      </c>
      <c r="P236" s="15" t="str">
        <f t="shared" si="5"/>
        <v/>
      </c>
    </row>
    <row r="237" spans="1:16" x14ac:dyDescent="0.25">
      <c r="A237" s="14">
        <v>30</v>
      </c>
      <c r="B237" s="14" t="str">
        <f>IFERROR(IF(SUMIFS(tblDaily[Admissions],tblDaily[EntryDate],DATE(2026,6,30),tblDaily[WardCode],"MAE")=0,"",SUMIFS(tblDaily[Admissions],tblDaily[EntryDate],DATE(2026,6,30),tblDaily[WardCode],"MAE")),"")</f>
        <v/>
      </c>
      <c r="C237" s="14" t="str">
        <f>IFERROR(IF(SUMIFS(tblDaily[Discharges],tblDaily[EntryDate],DATE(2026,6,30),tblDaily[WardCode],"MAE")=0,"",SUMIFS(tblDaily[Discharges],tblDaily[EntryDate],DATE(2026,6,30),tblDaily[WardCode],"MAE")),"")</f>
        <v/>
      </c>
      <c r="D237" s="14" t="str">
        <f>IFERROR(IF(SUMIFS(tblDaily[Deaths],tblDaily[EntryDate],DATE(2026,6,30),tblDaily[WardCode],"MAE")=0,"",SUMIFS(tblDaily[Deaths],tblDaily[EntryDate],DATE(2026,6,30),tblDaily[WardCode],"MAE")),"")</f>
        <v/>
      </c>
      <c r="E237" s="14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14" t="str">
        <f>IFERROR(IF(SUMIFS(tblDaily[TransfersIn],tblDaily[EntryDate],DATE(2026,6,30),tblDaily[WardCode],"MAE")=0,"",SUMIFS(tblDaily[TransfersIn],tblDaily[EntryDate],DATE(2026,6,30),tblDaily[WardCode],"MAE")),"")</f>
        <v/>
      </c>
      <c r="G237" s="14" t="str">
        <f>IFERROR(IF(SUMIFS(tblDaily[TransfersOut],tblDaily[EntryDate],DATE(2026,6,30),tblDaily[WardCode],"MAE")=0,"",SUMIFS(tblDaily[TransfersOut],tblDaily[EntryDate],DATE(2026,6,30),tblDaily[WardCode],"MAE")),"")</f>
        <v/>
      </c>
      <c r="H237" s="14" t="str">
        <f>IFERROR(IF(SUMIFS(tblDaily[Remaining],tblDaily[EntryDate],DATE(2026,6,30),tblDaily[WardCode],"MAE")=0,"",SUMIFS(tblDaily[Remaining],tblDaily[EntryDate],DATE(2026,6,30),tblDaily[WardCode],"MAE")),"")</f>
        <v/>
      </c>
      <c r="I237" s="14" t="str">
        <f>IFERROR(IF(SUMIFS(tblDaily[Admissions],tblDaily[EntryDate],DATE(2026,6,30),tblDaily[WardCode],"FAE")=0,"",SUMIFS(tblDaily[Admissions],tblDaily[EntryDate],DATE(2026,6,30),tblDaily[WardCode],"FAE")),"")</f>
        <v/>
      </c>
      <c r="J237" s="14" t="str">
        <f>IFERROR(IF(SUMIFS(tblDaily[Discharges],tblDaily[EntryDate],DATE(2026,6,30),tblDaily[WardCode],"FAE")=0,"",SUMIFS(tblDaily[Discharges],tblDaily[EntryDate],DATE(2026,6,30),tblDaily[WardCode],"FAE")),"")</f>
        <v/>
      </c>
      <c r="K237" s="14" t="str">
        <f>IFERROR(IF(SUMIFS(tblDaily[Deaths],tblDaily[EntryDate],DATE(2026,6,30),tblDaily[WardCode],"FAE")=0,"",SUMIFS(tblDaily[Deaths],tblDaily[EntryDate],DATE(2026,6,30),tblDaily[WardCode],"FAE")),"")</f>
        <v/>
      </c>
      <c r="L237" s="14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14" t="str">
        <f>IFERROR(IF(SUMIFS(tblDaily[TransfersIn],tblDaily[EntryDate],DATE(2026,6,30),tblDaily[WardCode],"FAE")=0,"",SUMIFS(tblDaily[TransfersIn],tblDaily[EntryDate],DATE(2026,6,30),tblDaily[WardCode],"FAE")),"")</f>
        <v/>
      </c>
      <c r="N237" s="14" t="str">
        <f>IFERROR(IF(SUMIFS(tblDaily[TransfersOut],tblDaily[EntryDate],DATE(2026,6,30),tblDaily[WardCode],"FAE")=0,"",SUMIFS(tblDaily[TransfersOut],tblDaily[EntryDate],DATE(2026,6,30),tblDaily[WardCode],"FAE")),"")</f>
        <v/>
      </c>
      <c r="O237" s="14" t="str">
        <f>IFERROR(IF(SUMIFS(tblDaily[Remaining],tblDaily[EntryDate],DATE(2026,6,30),tblDaily[WardCode],"FAE")=0,"",SUMIFS(tblDaily[Remaining],tblDaily[EntryDate],DATE(2026,6,30),tblDaily[WardCode],"FAE")),"")</f>
        <v/>
      </c>
      <c r="P237" s="15" t="str">
        <f t="shared" si="5"/>
        <v/>
      </c>
    </row>
    <row r="238" spans="1:16" x14ac:dyDescent="0.25">
      <c r="A238" s="14">
        <v>31</v>
      </c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</row>
    <row r="239" spans="1:16" x14ac:dyDescent="0.25">
      <c r="A239" s="9" t="s">
        <v>112</v>
      </c>
      <c r="B239" s="9">
        <f>SUMIFS(tblDaily[Admissions],tblDaily[Month],6,tblDaily[WardCode],"MAE") - SUMIFS(tblDaily[DeathsUnder24Hrs],tblDaily[Month],6,tblDaily[WardCode],"MAE")</f>
        <v>0</v>
      </c>
      <c r="C239" s="9">
        <f>SUMIFS(tblDaily[Discharges],tblDaily[Month],6,tblDaily[WardCode],"MAE")</f>
        <v>0</v>
      </c>
      <c r="D239" s="9">
        <f>SUMIFS(tblDaily[Deaths],tblDaily[Month],6,tblDaily[WardCode],"MAE")</f>
        <v>0</v>
      </c>
      <c r="E239" s="9">
        <f>SUMIFS(tblDaily[DeathsUnder24Hrs],tblDaily[Month],6,tblDaily[WardCode],"MAE")</f>
        <v>0</v>
      </c>
      <c r="F239" s="9">
        <f>SUMIFS(tblDaily[TransfersIn],tblDaily[Month],6,tblDaily[WardCode],"MAE")</f>
        <v>0</v>
      </c>
      <c r="G239" s="9">
        <f>SUMIFS(tblDaily[TransfersOut],tblDaily[Month],6,tblDaily[WardCode],"MAE")</f>
        <v>0</v>
      </c>
      <c r="H239" s="9">
        <f>SUMIFS(tblDaily[Remaining],tblDaily[Month],6,tblDaily[WardCode],"MAE")</f>
        <v>0</v>
      </c>
      <c r="I239" s="9">
        <f>SUMIFS(tblDaily[Admissions],tblDaily[Month],6,tblDaily[WardCode],"FAE") - SUMIFS(tblDaily[DeathsUnder24Hrs],tblDaily[Month],6,tblDaily[WardCode],"FAE")</f>
        <v>0</v>
      </c>
      <c r="J239" s="9">
        <f>SUMIFS(tblDaily[Discharges],tblDaily[Month],6,tblDaily[WardCode],"FAE")</f>
        <v>0</v>
      </c>
      <c r="K239" s="9">
        <f>SUMIFS(tblDaily[Deaths],tblDaily[Month],6,tblDaily[WardCode],"FAE")</f>
        <v>0</v>
      </c>
      <c r="L239" s="9">
        <f>SUMIFS(tblDaily[DeathsUnder24Hrs],tblDaily[Month],6,tblDaily[WardCode],"FAE")</f>
        <v>0</v>
      </c>
      <c r="M239" s="9">
        <f>SUMIFS(tblDaily[TransfersIn],tblDaily[Month],6,tblDaily[WardCode],"FAE")</f>
        <v>0</v>
      </c>
      <c r="N239" s="9">
        <f>SUMIFS(tblDaily[TransfersOut],tblDaily[Month],6,tblDaily[WardCode],"FAE")</f>
        <v>0</v>
      </c>
      <c r="O239" s="9">
        <f>SUMIFS(tblDaily[Remaining],tblDaily[Month],6,tblDaily[WardCode],"FAE")</f>
        <v>0</v>
      </c>
      <c r="P239" s="9">
        <f>H239 + O239</f>
        <v>0</v>
      </c>
    </row>
    <row r="241" spans="1:16" ht="18.75" x14ac:dyDescent="0.25">
      <c r="A241" s="39" t="s">
        <v>0</v>
      </c>
      <c r="B241" s="29"/>
      <c r="C241" s="2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</row>
    <row r="242" spans="1:16" ht="15.75" x14ac:dyDescent="0.25">
      <c r="A242" s="35" t="s">
        <v>101</v>
      </c>
      <c r="B242" s="29"/>
      <c r="C242" s="2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6" x14ac:dyDescent="0.25">
      <c r="A243" s="1" t="s">
        <v>4</v>
      </c>
      <c r="B243" s="2" t="s">
        <v>2</v>
      </c>
      <c r="E243" s="1" t="s">
        <v>102</v>
      </c>
      <c r="F243" s="1" t="s">
        <v>121</v>
      </c>
      <c r="M243" s="1" t="s">
        <v>104</v>
      </c>
      <c r="N243" s="1" t="s">
        <v>66</v>
      </c>
    </row>
    <row r="244" spans="1:16" x14ac:dyDescent="0.25">
      <c r="A244" s="1" t="s">
        <v>105</v>
      </c>
      <c r="B244" s="11">
        <f>IFERROR(SUMIFS(tblDaily[Remaining],tblDaily[EntryDate],DATE(2026,6,30),tblDaily[WardCode],"MAE"),0)</f>
        <v>0</v>
      </c>
      <c r="I244" s="11">
        <f>IFERROR(SUMIFS(tblDaily[Remaining],tblDaily[EntryDate],DATE(2026,6,30),tblDaily[WardCode],"FAE"),0)</f>
        <v>0</v>
      </c>
    </row>
    <row r="245" spans="1:16" x14ac:dyDescent="0.25">
      <c r="A245" s="1" t="s">
        <v>106</v>
      </c>
      <c r="B245" s="11">
        <f>IFERROR(INDEX(tblWardConfig[BedComplement],MATCH("MAE",tblWardConfig[WardCode],0)),0)</f>
        <v>10</v>
      </c>
      <c r="I245" s="11">
        <f>IFERROR(INDEX(tblWardConfig[BedComplement],MATCH("FAE",tblWardConfig[WardCode],0)),0)</f>
        <v>10</v>
      </c>
      <c r="O245" s="12">
        <f>B245+I245</f>
        <v>20</v>
      </c>
    </row>
    <row r="246" spans="1:16" x14ac:dyDescent="0.25">
      <c r="A246" s="3" t="s">
        <v>122</v>
      </c>
      <c r="B246" s="38" t="s">
        <v>119</v>
      </c>
      <c r="C246" s="29"/>
      <c r="D246" s="29"/>
      <c r="E246" s="29"/>
      <c r="F246" s="29"/>
      <c r="G246" s="29"/>
      <c r="H246" s="29"/>
      <c r="I246" s="40" t="s">
        <v>120</v>
      </c>
      <c r="J246" s="29"/>
      <c r="K246" s="29"/>
      <c r="L246" s="29"/>
      <c r="M246" s="29"/>
      <c r="N246" s="29"/>
      <c r="O246" s="29"/>
      <c r="P246" s="13" t="s">
        <v>112</v>
      </c>
    </row>
    <row r="247" spans="1:16" x14ac:dyDescent="0.25">
      <c r="A247" s="3" t="s">
        <v>122</v>
      </c>
      <c r="B247" s="3" t="s">
        <v>123</v>
      </c>
      <c r="C247" s="3" t="s">
        <v>124</v>
      </c>
      <c r="D247" s="3" t="s">
        <v>125</v>
      </c>
      <c r="E247" s="3" t="s">
        <v>126</v>
      </c>
      <c r="F247" s="3" t="s">
        <v>127</v>
      </c>
      <c r="G247" s="3" t="s">
        <v>128</v>
      </c>
      <c r="H247" s="3" t="s">
        <v>129</v>
      </c>
      <c r="I247" s="3" t="s">
        <v>123</v>
      </c>
      <c r="J247" s="3" t="s">
        <v>124</v>
      </c>
      <c r="K247" s="3" t="s">
        <v>125</v>
      </c>
      <c r="L247" s="3" t="s">
        <v>126</v>
      </c>
      <c r="M247" s="3" t="s">
        <v>127</v>
      </c>
      <c r="N247" s="3" t="s">
        <v>128</v>
      </c>
      <c r="O247" s="3" t="s">
        <v>129</v>
      </c>
      <c r="P247" s="3" t="s">
        <v>130</v>
      </c>
    </row>
    <row r="248" spans="1:16" x14ac:dyDescent="0.25">
      <c r="A248" s="14">
        <v>1</v>
      </c>
      <c r="B248" s="14" t="str">
        <f>IFERROR(IF(SUMIFS(tblDaily[Admissions],tblDaily[EntryDate],DATE(2026,7,1),tblDaily[WardCode],"MAE")=0,"",SUMIFS(tblDaily[Admissions],tblDaily[EntryDate],DATE(2026,7,1),tblDaily[WardCode],"MAE")),"")</f>
        <v/>
      </c>
      <c r="C248" s="14" t="str">
        <f>IFERROR(IF(SUMIFS(tblDaily[Discharges],tblDaily[EntryDate],DATE(2026,7,1),tblDaily[WardCode],"MAE")=0,"",SUMIFS(tblDaily[Discharges],tblDaily[EntryDate],DATE(2026,7,1),tblDaily[WardCode],"MAE")),"")</f>
        <v/>
      </c>
      <c r="D248" s="14" t="str">
        <f>IFERROR(IF(SUMIFS(tblDaily[Deaths],tblDaily[EntryDate],DATE(2026,7,1),tblDaily[WardCode],"MAE")=0,"",SUMIFS(tblDaily[Deaths],tblDaily[EntryDate],DATE(2026,7,1),tblDaily[WardCode],"MAE")),"")</f>
        <v/>
      </c>
      <c r="E248" s="14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14" t="str">
        <f>IFERROR(IF(SUMIFS(tblDaily[TransfersIn],tblDaily[EntryDate],DATE(2026,7,1),tblDaily[WardCode],"MAE")=0,"",SUMIFS(tblDaily[TransfersIn],tblDaily[EntryDate],DATE(2026,7,1),tblDaily[WardCode],"MAE")),"")</f>
        <v/>
      </c>
      <c r="G248" s="14" t="str">
        <f>IFERROR(IF(SUMIFS(tblDaily[TransfersOut],tblDaily[EntryDate],DATE(2026,7,1),tblDaily[WardCode],"MAE")=0,"",SUMIFS(tblDaily[TransfersOut],tblDaily[EntryDate],DATE(2026,7,1),tblDaily[WardCode],"MAE")),"")</f>
        <v/>
      </c>
      <c r="H248" s="14" t="str">
        <f>IFERROR(IF(SUMIFS(tblDaily[Remaining],tblDaily[EntryDate],DATE(2026,7,1),tblDaily[WardCode],"MAE")=0,"",SUMIFS(tblDaily[Remaining],tblDaily[EntryDate],DATE(2026,7,1),tblDaily[WardCode],"MAE")),"")</f>
        <v/>
      </c>
      <c r="I248" s="14" t="str">
        <f>IFERROR(IF(SUMIFS(tblDaily[Admissions],tblDaily[EntryDate],DATE(2026,7,1),tblDaily[WardCode],"FAE")=0,"",SUMIFS(tblDaily[Admissions],tblDaily[EntryDate],DATE(2026,7,1),tblDaily[WardCode],"FAE")),"")</f>
        <v/>
      </c>
      <c r="J248" s="14" t="str">
        <f>IFERROR(IF(SUMIFS(tblDaily[Discharges],tblDaily[EntryDate],DATE(2026,7,1),tblDaily[WardCode],"FAE")=0,"",SUMIFS(tblDaily[Discharges],tblDaily[EntryDate],DATE(2026,7,1),tblDaily[WardCode],"FAE")),"")</f>
        <v/>
      </c>
      <c r="K248" s="14" t="str">
        <f>IFERROR(IF(SUMIFS(tblDaily[Deaths],tblDaily[EntryDate],DATE(2026,7,1),tblDaily[WardCode],"FAE")=0,"",SUMIFS(tblDaily[Deaths],tblDaily[EntryDate],DATE(2026,7,1),tblDaily[WardCode],"FAE")),"")</f>
        <v/>
      </c>
      <c r="L248" s="14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14" t="str">
        <f>IFERROR(IF(SUMIFS(tblDaily[TransfersIn],tblDaily[EntryDate],DATE(2026,7,1),tblDaily[WardCode],"FAE")=0,"",SUMIFS(tblDaily[TransfersIn],tblDaily[EntryDate],DATE(2026,7,1),tblDaily[WardCode],"FAE")),"")</f>
        <v/>
      </c>
      <c r="N248" s="14" t="str">
        <f>IFERROR(IF(SUMIFS(tblDaily[TransfersOut],tblDaily[EntryDate],DATE(2026,7,1),tblDaily[WardCode],"FAE")=0,"",SUMIFS(tblDaily[TransfersOut],tblDaily[EntryDate],DATE(2026,7,1),tblDaily[WardCode],"FAE")),"")</f>
        <v/>
      </c>
      <c r="O248" s="14" t="str">
        <f>IFERROR(IF(SUMIFS(tblDaily[Remaining],tblDaily[EntryDate],DATE(2026,7,1),tblDaily[WardCode],"FAE")=0,"",SUMIFS(tblDaily[Remaining],tblDaily[EntryDate],DATE(2026,7,1),tblDaily[WardCode],"FAE")),"")</f>
        <v/>
      </c>
      <c r="P248" s="15" t="str">
        <f t="shared" ref="P248:P278" si="6">IF(AND(H248="", O248=""), "", N(H248) + N(O248))</f>
        <v/>
      </c>
    </row>
    <row r="249" spans="1:16" x14ac:dyDescent="0.25">
      <c r="A249" s="14">
        <v>2</v>
      </c>
      <c r="B249" s="14" t="str">
        <f>IFERROR(IF(SUMIFS(tblDaily[Admissions],tblDaily[EntryDate],DATE(2026,7,2),tblDaily[WardCode],"MAE")=0,"",SUMIFS(tblDaily[Admissions],tblDaily[EntryDate],DATE(2026,7,2),tblDaily[WardCode],"MAE")),"")</f>
        <v/>
      </c>
      <c r="C249" s="14" t="str">
        <f>IFERROR(IF(SUMIFS(tblDaily[Discharges],tblDaily[EntryDate],DATE(2026,7,2),tblDaily[WardCode],"MAE")=0,"",SUMIFS(tblDaily[Discharges],tblDaily[EntryDate],DATE(2026,7,2),tblDaily[WardCode],"MAE")),"")</f>
        <v/>
      </c>
      <c r="D249" s="14" t="str">
        <f>IFERROR(IF(SUMIFS(tblDaily[Deaths],tblDaily[EntryDate],DATE(2026,7,2),tblDaily[WardCode],"MAE")=0,"",SUMIFS(tblDaily[Deaths],tblDaily[EntryDate],DATE(2026,7,2),tblDaily[WardCode],"MAE")),"")</f>
        <v/>
      </c>
      <c r="E249" s="14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14" t="str">
        <f>IFERROR(IF(SUMIFS(tblDaily[TransfersIn],tblDaily[EntryDate],DATE(2026,7,2),tblDaily[WardCode],"MAE")=0,"",SUMIFS(tblDaily[TransfersIn],tblDaily[EntryDate],DATE(2026,7,2),tblDaily[WardCode],"MAE")),"")</f>
        <v/>
      </c>
      <c r="G249" s="14" t="str">
        <f>IFERROR(IF(SUMIFS(tblDaily[TransfersOut],tblDaily[EntryDate],DATE(2026,7,2),tblDaily[WardCode],"MAE")=0,"",SUMIFS(tblDaily[TransfersOut],tblDaily[EntryDate],DATE(2026,7,2),tblDaily[WardCode],"MAE")),"")</f>
        <v/>
      </c>
      <c r="H249" s="14" t="str">
        <f>IFERROR(IF(SUMIFS(tblDaily[Remaining],tblDaily[EntryDate],DATE(2026,7,2),tblDaily[WardCode],"MAE")=0,"",SUMIFS(tblDaily[Remaining],tblDaily[EntryDate],DATE(2026,7,2),tblDaily[WardCode],"MAE")),"")</f>
        <v/>
      </c>
      <c r="I249" s="14" t="str">
        <f>IFERROR(IF(SUMIFS(tblDaily[Admissions],tblDaily[EntryDate],DATE(2026,7,2),tblDaily[WardCode],"FAE")=0,"",SUMIFS(tblDaily[Admissions],tblDaily[EntryDate],DATE(2026,7,2),tblDaily[WardCode],"FAE")),"")</f>
        <v/>
      </c>
      <c r="J249" s="14" t="str">
        <f>IFERROR(IF(SUMIFS(tblDaily[Discharges],tblDaily[EntryDate],DATE(2026,7,2),tblDaily[WardCode],"FAE")=0,"",SUMIFS(tblDaily[Discharges],tblDaily[EntryDate],DATE(2026,7,2),tblDaily[WardCode],"FAE")),"")</f>
        <v/>
      </c>
      <c r="K249" s="14" t="str">
        <f>IFERROR(IF(SUMIFS(tblDaily[Deaths],tblDaily[EntryDate],DATE(2026,7,2),tblDaily[WardCode],"FAE")=0,"",SUMIFS(tblDaily[Deaths],tblDaily[EntryDate],DATE(2026,7,2),tblDaily[WardCode],"FAE")),"")</f>
        <v/>
      </c>
      <c r="L249" s="14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14" t="str">
        <f>IFERROR(IF(SUMIFS(tblDaily[TransfersIn],tblDaily[EntryDate],DATE(2026,7,2),tblDaily[WardCode],"FAE")=0,"",SUMIFS(tblDaily[TransfersIn],tblDaily[EntryDate],DATE(2026,7,2),tblDaily[WardCode],"FAE")),"")</f>
        <v/>
      </c>
      <c r="N249" s="14" t="str">
        <f>IFERROR(IF(SUMIFS(tblDaily[TransfersOut],tblDaily[EntryDate],DATE(2026,7,2),tblDaily[WardCode],"FAE")=0,"",SUMIFS(tblDaily[TransfersOut],tblDaily[EntryDate],DATE(2026,7,2),tblDaily[WardCode],"FAE")),"")</f>
        <v/>
      </c>
      <c r="O249" s="14" t="str">
        <f>IFERROR(IF(SUMIFS(tblDaily[Remaining],tblDaily[EntryDate],DATE(2026,7,2),tblDaily[WardCode],"FAE")=0,"",SUMIFS(tblDaily[Remaining],tblDaily[EntryDate],DATE(2026,7,2),tblDaily[WardCode],"FAE")),"")</f>
        <v/>
      </c>
      <c r="P249" s="15" t="str">
        <f t="shared" si="6"/>
        <v/>
      </c>
    </row>
    <row r="250" spans="1:16" x14ac:dyDescent="0.25">
      <c r="A250" s="14">
        <v>3</v>
      </c>
      <c r="B250" s="14" t="str">
        <f>IFERROR(IF(SUMIFS(tblDaily[Admissions],tblDaily[EntryDate],DATE(2026,7,3),tblDaily[WardCode],"MAE")=0,"",SUMIFS(tblDaily[Admissions],tblDaily[EntryDate],DATE(2026,7,3),tblDaily[WardCode],"MAE")),"")</f>
        <v/>
      </c>
      <c r="C250" s="14" t="str">
        <f>IFERROR(IF(SUMIFS(tblDaily[Discharges],tblDaily[EntryDate],DATE(2026,7,3),tblDaily[WardCode],"MAE")=0,"",SUMIFS(tblDaily[Discharges],tblDaily[EntryDate],DATE(2026,7,3),tblDaily[WardCode],"MAE")),"")</f>
        <v/>
      </c>
      <c r="D250" s="14" t="str">
        <f>IFERROR(IF(SUMIFS(tblDaily[Deaths],tblDaily[EntryDate],DATE(2026,7,3),tblDaily[WardCode],"MAE")=0,"",SUMIFS(tblDaily[Deaths],tblDaily[EntryDate],DATE(2026,7,3),tblDaily[WardCode],"MAE")),"")</f>
        <v/>
      </c>
      <c r="E250" s="14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14" t="str">
        <f>IFERROR(IF(SUMIFS(tblDaily[TransfersIn],tblDaily[EntryDate],DATE(2026,7,3),tblDaily[WardCode],"MAE")=0,"",SUMIFS(tblDaily[TransfersIn],tblDaily[EntryDate],DATE(2026,7,3),tblDaily[WardCode],"MAE")),"")</f>
        <v/>
      </c>
      <c r="G250" s="14" t="str">
        <f>IFERROR(IF(SUMIFS(tblDaily[TransfersOut],tblDaily[EntryDate],DATE(2026,7,3),tblDaily[WardCode],"MAE")=0,"",SUMIFS(tblDaily[TransfersOut],tblDaily[EntryDate],DATE(2026,7,3),tblDaily[WardCode],"MAE")),"")</f>
        <v/>
      </c>
      <c r="H250" s="14" t="str">
        <f>IFERROR(IF(SUMIFS(tblDaily[Remaining],tblDaily[EntryDate],DATE(2026,7,3),tblDaily[WardCode],"MAE")=0,"",SUMIFS(tblDaily[Remaining],tblDaily[EntryDate],DATE(2026,7,3),tblDaily[WardCode],"MAE")),"")</f>
        <v/>
      </c>
      <c r="I250" s="14" t="str">
        <f>IFERROR(IF(SUMIFS(tblDaily[Admissions],tblDaily[EntryDate],DATE(2026,7,3),tblDaily[WardCode],"FAE")=0,"",SUMIFS(tblDaily[Admissions],tblDaily[EntryDate],DATE(2026,7,3),tblDaily[WardCode],"FAE")),"")</f>
        <v/>
      </c>
      <c r="J250" s="14" t="str">
        <f>IFERROR(IF(SUMIFS(tblDaily[Discharges],tblDaily[EntryDate],DATE(2026,7,3),tblDaily[WardCode],"FAE")=0,"",SUMIFS(tblDaily[Discharges],tblDaily[EntryDate],DATE(2026,7,3),tblDaily[WardCode],"FAE")),"")</f>
        <v/>
      </c>
      <c r="K250" s="14" t="str">
        <f>IFERROR(IF(SUMIFS(tblDaily[Deaths],tblDaily[EntryDate],DATE(2026,7,3),tblDaily[WardCode],"FAE")=0,"",SUMIFS(tblDaily[Deaths],tblDaily[EntryDate],DATE(2026,7,3),tblDaily[WardCode],"FAE")),"")</f>
        <v/>
      </c>
      <c r="L250" s="14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14" t="str">
        <f>IFERROR(IF(SUMIFS(tblDaily[TransfersIn],tblDaily[EntryDate],DATE(2026,7,3),tblDaily[WardCode],"FAE")=0,"",SUMIFS(tblDaily[TransfersIn],tblDaily[EntryDate],DATE(2026,7,3),tblDaily[WardCode],"FAE")),"")</f>
        <v/>
      </c>
      <c r="N250" s="14" t="str">
        <f>IFERROR(IF(SUMIFS(tblDaily[TransfersOut],tblDaily[EntryDate],DATE(2026,7,3),tblDaily[WardCode],"FAE")=0,"",SUMIFS(tblDaily[TransfersOut],tblDaily[EntryDate],DATE(2026,7,3),tblDaily[WardCode],"FAE")),"")</f>
        <v/>
      </c>
      <c r="O250" s="14" t="str">
        <f>IFERROR(IF(SUMIFS(tblDaily[Remaining],tblDaily[EntryDate],DATE(2026,7,3),tblDaily[WardCode],"FAE")=0,"",SUMIFS(tblDaily[Remaining],tblDaily[EntryDate],DATE(2026,7,3),tblDaily[WardCode],"FAE")),"")</f>
        <v/>
      </c>
      <c r="P250" s="15" t="str">
        <f t="shared" si="6"/>
        <v/>
      </c>
    </row>
    <row r="251" spans="1:16" x14ac:dyDescent="0.25">
      <c r="A251" s="14">
        <v>4</v>
      </c>
      <c r="B251" s="14" t="str">
        <f>IFERROR(IF(SUMIFS(tblDaily[Admissions],tblDaily[EntryDate],DATE(2026,7,4),tblDaily[WardCode],"MAE")=0,"",SUMIFS(tblDaily[Admissions],tblDaily[EntryDate],DATE(2026,7,4),tblDaily[WardCode],"MAE")),"")</f>
        <v/>
      </c>
      <c r="C251" s="14" t="str">
        <f>IFERROR(IF(SUMIFS(tblDaily[Discharges],tblDaily[EntryDate],DATE(2026,7,4),tblDaily[WardCode],"MAE")=0,"",SUMIFS(tblDaily[Discharges],tblDaily[EntryDate],DATE(2026,7,4),tblDaily[WardCode],"MAE")),"")</f>
        <v/>
      </c>
      <c r="D251" s="14" t="str">
        <f>IFERROR(IF(SUMIFS(tblDaily[Deaths],tblDaily[EntryDate],DATE(2026,7,4),tblDaily[WardCode],"MAE")=0,"",SUMIFS(tblDaily[Deaths],tblDaily[EntryDate],DATE(2026,7,4),tblDaily[WardCode],"MAE")),"")</f>
        <v/>
      </c>
      <c r="E251" s="14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14" t="str">
        <f>IFERROR(IF(SUMIFS(tblDaily[TransfersIn],tblDaily[EntryDate],DATE(2026,7,4),tblDaily[WardCode],"MAE")=0,"",SUMIFS(tblDaily[TransfersIn],tblDaily[EntryDate],DATE(2026,7,4),tblDaily[WardCode],"MAE")),"")</f>
        <v/>
      </c>
      <c r="G251" s="14" t="str">
        <f>IFERROR(IF(SUMIFS(tblDaily[TransfersOut],tblDaily[EntryDate],DATE(2026,7,4),tblDaily[WardCode],"MAE")=0,"",SUMIFS(tblDaily[TransfersOut],tblDaily[EntryDate],DATE(2026,7,4),tblDaily[WardCode],"MAE")),"")</f>
        <v/>
      </c>
      <c r="H251" s="14" t="str">
        <f>IFERROR(IF(SUMIFS(tblDaily[Remaining],tblDaily[EntryDate],DATE(2026,7,4),tblDaily[WardCode],"MAE")=0,"",SUMIFS(tblDaily[Remaining],tblDaily[EntryDate],DATE(2026,7,4),tblDaily[WardCode],"MAE")),"")</f>
        <v/>
      </c>
      <c r="I251" s="14" t="str">
        <f>IFERROR(IF(SUMIFS(tblDaily[Admissions],tblDaily[EntryDate],DATE(2026,7,4),tblDaily[WardCode],"FAE")=0,"",SUMIFS(tblDaily[Admissions],tblDaily[EntryDate],DATE(2026,7,4),tblDaily[WardCode],"FAE")),"")</f>
        <v/>
      </c>
      <c r="J251" s="14" t="str">
        <f>IFERROR(IF(SUMIFS(tblDaily[Discharges],tblDaily[EntryDate],DATE(2026,7,4),tblDaily[WardCode],"FAE")=0,"",SUMIFS(tblDaily[Discharges],tblDaily[EntryDate],DATE(2026,7,4),tblDaily[WardCode],"FAE")),"")</f>
        <v/>
      </c>
      <c r="K251" s="14" t="str">
        <f>IFERROR(IF(SUMIFS(tblDaily[Deaths],tblDaily[EntryDate],DATE(2026,7,4),tblDaily[WardCode],"FAE")=0,"",SUMIFS(tblDaily[Deaths],tblDaily[EntryDate],DATE(2026,7,4),tblDaily[WardCode],"FAE")),"")</f>
        <v/>
      </c>
      <c r="L251" s="14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14" t="str">
        <f>IFERROR(IF(SUMIFS(tblDaily[TransfersIn],tblDaily[EntryDate],DATE(2026,7,4),tblDaily[WardCode],"FAE")=0,"",SUMIFS(tblDaily[TransfersIn],tblDaily[EntryDate],DATE(2026,7,4),tblDaily[WardCode],"FAE")),"")</f>
        <v/>
      </c>
      <c r="N251" s="14" t="str">
        <f>IFERROR(IF(SUMIFS(tblDaily[TransfersOut],tblDaily[EntryDate],DATE(2026,7,4),tblDaily[WardCode],"FAE")=0,"",SUMIFS(tblDaily[TransfersOut],tblDaily[EntryDate],DATE(2026,7,4),tblDaily[WardCode],"FAE")),"")</f>
        <v/>
      </c>
      <c r="O251" s="14" t="str">
        <f>IFERROR(IF(SUMIFS(tblDaily[Remaining],tblDaily[EntryDate],DATE(2026,7,4),tblDaily[WardCode],"FAE")=0,"",SUMIFS(tblDaily[Remaining],tblDaily[EntryDate],DATE(2026,7,4),tblDaily[WardCode],"FAE")),"")</f>
        <v/>
      </c>
      <c r="P251" s="15" t="str">
        <f t="shared" si="6"/>
        <v/>
      </c>
    </row>
    <row r="252" spans="1:16" x14ac:dyDescent="0.25">
      <c r="A252" s="14">
        <v>5</v>
      </c>
      <c r="B252" s="14" t="str">
        <f>IFERROR(IF(SUMIFS(tblDaily[Admissions],tblDaily[EntryDate],DATE(2026,7,5),tblDaily[WardCode],"MAE")=0,"",SUMIFS(tblDaily[Admissions],tblDaily[EntryDate],DATE(2026,7,5),tblDaily[WardCode],"MAE")),"")</f>
        <v/>
      </c>
      <c r="C252" s="14" t="str">
        <f>IFERROR(IF(SUMIFS(tblDaily[Discharges],tblDaily[EntryDate],DATE(2026,7,5),tblDaily[WardCode],"MAE")=0,"",SUMIFS(tblDaily[Discharges],tblDaily[EntryDate],DATE(2026,7,5),tblDaily[WardCode],"MAE")),"")</f>
        <v/>
      </c>
      <c r="D252" s="14" t="str">
        <f>IFERROR(IF(SUMIFS(tblDaily[Deaths],tblDaily[EntryDate],DATE(2026,7,5),tblDaily[WardCode],"MAE")=0,"",SUMIFS(tblDaily[Deaths],tblDaily[EntryDate],DATE(2026,7,5),tblDaily[WardCode],"MAE")),"")</f>
        <v/>
      </c>
      <c r="E252" s="14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14" t="str">
        <f>IFERROR(IF(SUMIFS(tblDaily[TransfersIn],tblDaily[EntryDate],DATE(2026,7,5),tblDaily[WardCode],"MAE")=0,"",SUMIFS(tblDaily[TransfersIn],tblDaily[EntryDate],DATE(2026,7,5),tblDaily[WardCode],"MAE")),"")</f>
        <v/>
      </c>
      <c r="G252" s="14" t="str">
        <f>IFERROR(IF(SUMIFS(tblDaily[TransfersOut],tblDaily[EntryDate],DATE(2026,7,5),tblDaily[WardCode],"MAE")=0,"",SUMIFS(tblDaily[TransfersOut],tblDaily[EntryDate],DATE(2026,7,5),tblDaily[WardCode],"MAE")),"")</f>
        <v/>
      </c>
      <c r="H252" s="14" t="str">
        <f>IFERROR(IF(SUMIFS(tblDaily[Remaining],tblDaily[EntryDate],DATE(2026,7,5),tblDaily[WardCode],"MAE")=0,"",SUMIFS(tblDaily[Remaining],tblDaily[EntryDate],DATE(2026,7,5),tblDaily[WardCode],"MAE")),"")</f>
        <v/>
      </c>
      <c r="I252" s="14" t="str">
        <f>IFERROR(IF(SUMIFS(tblDaily[Admissions],tblDaily[EntryDate],DATE(2026,7,5),tblDaily[WardCode],"FAE")=0,"",SUMIFS(tblDaily[Admissions],tblDaily[EntryDate],DATE(2026,7,5),tblDaily[WardCode],"FAE")),"")</f>
        <v/>
      </c>
      <c r="J252" s="14" t="str">
        <f>IFERROR(IF(SUMIFS(tblDaily[Discharges],tblDaily[EntryDate],DATE(2026,7,5),tblDaily[WardCode],"FAE")=0,"",SUMIFS(tblDaily[Discharges],tblDaily[EntryDate],DATE(2026,7,5),tblDaily[WardCode],"FAE")),"")</f>
        <v/>
      </c>
      <c r="K252" s="14" t="str">
        <f>IFERROR(IF(SUMIFS(tblDaily[Deaths],tblDaily[EntryDate],DATE(2026,7,5),tblDaily[WardCode],"FAE")=0,"",SUMIFS(tblDaily[Deaths],tblDaily[EntryDate],DATE(2026,7,5),tblDaily[WardCode],"FAE")),"")</f>
        <v/>
      </c>
      <c r="L252" s="14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14" t="str">
        <f>IFERROR(IF(SUMIFS(tblDaily[TransfersIn],tblDaily[EntryDate],DATE(2026,7,5),tblDaily[WardCode],"FAE")=0,"",SUMIFS(tblDaily[TransfersIn],tblDaily[EntryDate],DATE(2026,7,5),tblDaily[WardCode],"FAE")),"")</f>
        <v/>
      </c>
      <c r="N252" s="14" t="str">
        <f>IFERROR(IF(SUMIFS(tblDaily[TransfersOut],tblDaily[EntryDate],DATE(2026,7,5),tblDaily[WardCode],"FAE")=0,"",SUMIFS(tblDaily[TransfersOut],tblDaily[EntryDate],DATE(2026,7,5),tblDaily[WardCode],"FAE")),"")</f>
        <v/>
      </c>
      <c r="O252" s="14" t="str">
        <f>IFERROR(IF(SUMIFS(tblDaily[Remaining],tblDaily[EntryDate],DATE(2026,7,5),tblDaily[WardCode],"FAE")=0,"",SUMIFS(tblDaily[Remaining],tblDaily[EntryDate],DATE(2026,7,5),tblDaily[WardCode],"FAE")),"")</f>
        <v/>
      </c>
      <c r="P252" s="15" t="str">
        <f t="shared" si="6"/>
        <v/>
      </c>
    </row>
    <row r="253" spans="1:16" x14ac:dyDescent="0.25">
      <c r="A253" s="14">
        <v>6</v>
      </c>
      <c r="B253" s="14" t="str">
        <f>IFERROR(IF(SUMIFS(tblDaily[Admissions],tblDaily[EntryDate],DATE(2026,7,6),tblDaily[WardCode],"MAE")=0,"",SUMIFS(tblDaily[Admissions],tblDaily[EntryDate],DATE(2026,7,6),tblDaily[WardCode],"MAE")),"")</f>
        <v/>
      </c>
      <c r="C253" s="14" t="str">
        <f>IFERROR(IF(SUMIFS(tblDaily[Discharges],tblDaily[EntryDate],DATE(2026,7,6),tblDaily[WardCode],"MAE")=0,"",SUMIFS(tblDaily[Discharges],tblDaily[EntryDate],DATE(2026,7,6),tblDaily[WardCode],"MAE")),"")</f>
        <v/>
      </c>
      <c r="D253" s="14" t="str">
        <f>IFERROR(IF(SUMIFS(tblDaily[Deaths],tblDaily[EntryDate],DATE(2026,7,6),tblDaily[WardCode],"MAE")=0,"",SUMIFS(tblDaily[Deaths],tblDaily[EntryDate],DATE(2026,7,6),tblDaily[WardCode],"MAE")),"")</f>
        <v/>
      </c>
      <c r="E253" s="14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14" t="str">
        <f>IFERROR(IF(SUMIFS(tblDaily[TransfersIn],tblDaily[EntryDate],DATE(2026,7,6),tblDaily[WardCode],"MAE")=0,"",SUMIFS(tblDaily[TransfersIn],tblDaily[EntryDate],DATE(2026,7,6),tblDaily[WardCode],"MAE")),"")</f>
        <v/>
      </c>
      <c r="G253" s="14" t="str">
        <f>IFERROR(IF(SUMIFS(tblDaily[TransfersOut],tblDaily[EntryDate],DATE(2026,7,6),tblDaily[WardCode],"MAE")=0,"",SUMIFS(tblDaily[TransfersOut],tblDaily[EntryDate],DATE(2026,7,6),tblDaily[WardCode],"MAE")),"")</f>
        <v/>
      </c>
      <c r="H253" s="14" t="str">
        <f>IFERROR(IF(SUMIFS(tblDaily[Remaining],tblDaily[EntryDate],DATE(2026,7,6),tblDaily[WardCode],"MAE")=0,"",SUMIFS(tblDaily[Remaining],tblDaily[EntryDate],DATE(2026,7,6),tblDaily[WardCode],"MAE")),"")</f>
        <v/>
      </c>
      <c r="I253" s="14" t="str">
        <f>IFERROR(IF(SUMIFS(tblDaily[Admissions],tblDaily[EntryDate],DATE(2026,7,6),tblDaily[WardCode],"FAE")=0,"",SUMIFS(tblDaily[Admissions],tblDaily[EntryDate],DATE(2026,7,6),tblDaily[WardCode],"FAE")),"")</f>
        <v/>
      </c>
      <c r="J253" s="14" t="str">
        <f>IFERROR(IF(SUMIFS(tblDaily[Discharges],tblDaily[EntryDate],DATE(2026,7,6),tblDaily[WardCode],"FAE")=0,"",SUMIFS(tblDaily[Discharges],tblDaily[EntryDate],DATE(2026,7,6),tblDaily[WardCode],"FAE")),"")</f>
        <v/>
      </c>
      <c r="K253" s="14" t="str">
        <f>IFERROR(IF(SUMIFS(tblDaily[Deaths],tblDaily[EntryDate],DATE(2026,7,6),tblDaily[WardCode],"FAE")=0,"",SUMIFS(tblDaily[Deaths],tblDaily[EntryDate],DATE(2026,7,6),tblDaily[WardCode],"FAE")),"")</f>
        <v/>
      </c>
      <c r="L253" s="14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14" t="str">
        <f>IFERROR(IF(SUMIFS(tblDaily[TransfersIn],tblDaily[EntryDate],DATE(2026,7,6),tblDaily[WardCode],"FAE")=0,"",SUMIFS(tblDaily[TransfersIn],tblDaily[EntryDate],DATE(2026,7,6),tblDaily[WardCode],"FAE")),"")</f>
        <v/>
      </c>
      <c r="N253" s="14" t="str">
        <f>IFERROR(IF(SUMIFS(tblDaily[TransfersOut],tblDaily[EntryDate],DATE(2026,7,6),tblDaily[WardCode],"FAE")=0,"",SUMIFS(tblDaily[TransfersOut],tblDaily[EntryDate],DATE(2026,7,6),tblDaily[WardCode],"FAE")),"")</f>
        <v/>
      </c>
      <c r="O253" s="14" t="str">
        <f>IFERROR(IF(SUMIFS(tblDaily[Remaining],tblDaily[EntryDate],DATE(2026,7,6),tblDaily[WardCode],"FAE")=0,"",SUMIFS(tblDaily[Remaining],tblDaily[EntryDate],DATE(2026,7,6),tblDaily[WardCode],"FAE")),"")</f>
        <v/>
      </c>
      <c r="P253" s="15" t="str">
        <f t="shared" si="6"/>
        <v/>
      </c>
    </row>
    <row r="254" spans="1:16" x14ac:dyDescent="0.25">
      <c r="A254" s="14">
        <v>7</v>
      </c>
      <c r="B254" s="14" t="str">
        <f>IFERROR(IF(SUMIFS(tblDaily[Admissions],tblDaily[EntryDate],DATE(2026,7,7),tblDaily[WardCode],"MAE")=0,"",SUMIFS(tblDaily[Admissions],tblDaily[EntryDate],DATE(2026,7,7),tblDaily[WardCode],"MAE")),"")</f>
        <v/>
      </c>
      <c r="C254" s="14" t="str">
        <f>IFERROR(IF(SUMIFS(tblDaily[Discharges],tblDaily[EntryDate],DATE(2026,7,7),tblDaily[WardCode],"MAE")=0,"",SUMIFS(tblDaily[Discharges],tblDaily[EntryDate],DATE(2026,7,7),tblDaily[WardCode],"MAE")),"")</f>
        <v/>
      </c>
      <c r="D254" s="14" t="str">
        <f>IFERROR(IF(SUMIFS(tblDaily[Deaths],tblDaily[EntryDate],DATE(2026,7,7),tblDaily[WardCode],"MAE")=0,"",SUMIFS(tblDaily[Deaths],tblDaily[EntryDate],DATE(2026,7,7),tblDaily[WardCode],"MAE")),"")</f>
        <v/>
      </c>
      <c r="E254" s="14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14" t="str">
        <f>IFERROR(IF(SUMIFS(tblDaily[TransfersIn],tblDaily[EntryDate],DATE(2026,7,7),tblDaily[WardCode],"MAE")=0,"",SUMIFS(tblDaily[TransfersIn],tblDaily[EntryDate],DATE(2026,7,7),tblDaily[WardCode],"MAE")),"")</f>
        <v/>
      </c>
      <c r="G254" s="14" t="str">
        <f>IFERROR(IF(SUMIFS(tblDaily[TransfersOut],tblDaily[EntryDate],DATE(2026,7,7),tblDaily[WardCode],"MAE")=0,"",SUMIFS(tblDaily[TransfersOut],tblDaily[EntryDate],DATE(2026,7,7),tblDaily[WardCode],"MAE")),"")</f>
        <v/>
      </c>
      <c r="H254" s="14" t="str">
        <f>IFERROR(IF(SUMIFS(tblDaily[Remaining],tblDaily[EntryDate],DATE(2026,7,7),tblDaily[WardCode],"MAE")=0,"",SUMIFS(tblDaily[Remaining],tblDaily[EntryDate],DATE(2026,7,7),tblDaily[WardCode],"MAE")),"")</f>
        <v/>
      </c>
      <c r="I254" s="14" t="str">
        <f>IFERROR(IF(SUMIFS(tblDaily[Admissions],tblDaily[EntryDate],DATE(2026,7,7),tblDaily[WardCode],"FAE")=0,"",SUMIFS(tblDaily[Admissions],tblDaily[EntryDate],DATE(2026,7,7),tblDaily[WardCode],"FAE")),"")</f>
        <v/>
      </c>
      <c r="J254" s="14" t="str">
        <f>IFERROR(IF(SUMIFS(tblDaily[Discharges],tblDaily[EntryDate],DATE(2026,7,7),tblDaily[WardCode],"FAE")=0,"",SUMIFS(tblDaily[Discharges],tblDaily[EntryDate],DATE(2026,7,7),tblDaily[WardCode],"FAE")),"")</f>
        <v/>
      </c>
      <c r="K254" s="14" t="str">
        <f>IFERROR(IF(SUMIFS(tblDaily[Deaths],tblDaily[EntryDate],DATE(2026,7,7),tblDaily[WardCode],"FAE")=0,"",SUMIFS(tblDaily[Deaths],tblDaily[EntryDate],DATE(2026,7,7),tblDaily[WardCode],"FAE")),"")</f>
        <v/>
      </c>
      <c r="L254" s="14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14" t="str">
        <f>IFERROR(IF(SUMIFS(tblDaily[TransfersIn],tblDaily[EntryDate],DATE(2026,7,7),tblDaily[WardCode],"FAE")=0,"",SUMIFS(tblDaily[TransfersIn],tblDaily[EntryDate],DATE(2026,7,7),tblDaily[WardCode],"FAE")),"")</f>
        <v/>
      </c>
      <c r="N254" s="14" t="str">
        <f>IFERROR(IF(SUMIFS(tblDaily[TransfersOut],tblDaily[EntryDate],DATE(2026,7,7),tblDaily[WardCode],"FAE")=0,"",SUMIFS(tblDaily[TransfersOut],tblDaily[EntryDate],DATE(2026,7,7),tblDaily[WardCode],"FAE")),"")</f>
        <v/>
      </c>
      <c r="O254" s="14" t="str">
        <f>IFERROR(IF(SUMIFS(tblDaily[Remaining],tblDaily[EntryDate],DATE(2026,7,7),tblDaily[WardCode],"FAE")=0,"",SUMIFS(tblDaily[Remaining],tblDaily[EntryDate],DATE(2026,7,7),tblDaily[WardCode],"FAE")),"")</f>
        <v/>
      </c>
      <c r="P254" s="15" t="str">
        <f t="shared" si="6"/>
        <v/>
      </c>
    </row>
    <row r="255" spans="1:16" x14ac:dyDescent="0.25">
      <c r="A255" s="14">
        <v>8</v>
      </c>
      <c r="B255" s="14" t="str">
        <f>IFERROR(IF(SUMIFS(tblDaily[Admissions],tblDaily[EntryDate],DATE(2026,7,8),tblDaily[WardCode],"MAE")=0,"",SUMIFS(tblDaily[Admissions],tblDaily[EntryDate],DATE(2026,7,8),tblDaily[WardCode],"MAE")),"")</f>
        <v/>
      </c>
      <c r="C255" s="14" t="str">
        <f>IFERROR(IF(SUMIFS(tblDaily[Discharges],tblDaily[EntryDate],DATE(2026,7,8),tblDaily[WardCode],"MAE")=0,"",SUMIFS(tblDaily[Discharges],tblDaily[EntryDate],DATE(2026,7,8),tblDaily[WardCode],"MAE")),"")</f>
        <v/>
      </c>
      <c r="D255" s="14" t="str">
        <f>IFERROR(IF(SUMIFS(tblDaily[Deaths],tblDaily[EntryDate],DATE(2026,7,8),tblDaily[WardCode],"MAE")=0,"",SUMIFS(tblDaily[Deaths],tblDaily[EntryDate],DATE(2026,7,8),tblDaily[WardCode],"MAE")),"")</f>
        <v/>
      </c>
      <c r="E255" s="14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14" t="str">
        <f>IFERROR(IF(SUMIFS(tblDaily[TransfersIn],tblDaily[EntryDate],DATE(2026,7,8),tblDaily[WardCode],"MAE")=0,"",SUMIFS(tblDaily[TransfersIn],tblDaily[EntryDate],DATE(2026,7,8),tblDaily[WardCode],"MAE")),"")</f>
        <v/>
      </c>
      <c r="G255" s="14" t="str">
        <f>IFERROR(IF(SUMIFS(tblDaily[TransfersOut],tblDaily[EntryDate],DATE(2026,7,8),tblDaily[WardCode],"MAE")=0,"",SUMIFS(tblDaily[TransfersOut],tblDaily[EntryDate],DATE(2026,7,8),tblDaily[WardCode],"MAE")),"")</f>
        <v/>
      </c>
      <c r="H255" s="14" t="str">
        <f>IFERROR(IF(SUMIFS(tblDaily[Remaining],tblDaily[EntryDate],DATE(2026,7,8),tblDaily[WardCode],"MAE")=0,"",SUMIFS(tblDaily[Remaining],tblDaily[EntryDate],DATE(2026,7,8),tblDaily[WardCode],"MAE")),"")</f>
        <v/>
      </c>
      <c r="I255" s="14" t="str">
        <f>IFERROR(IF(SUMIFS(tblDaily[Admissions],tblDaily[EntryDate],DATE(2026,7,8),tblDaily[WardCode],"FAE")=0,"",SUMIFS(tblDaily[Admissions],tblDaily[EntryDate],DATE(2026,7,8),tblDaily[WardCode],"FAE")),"")</f>
        <v/>
      </c>
      <c r="J255" s="14" t="str">
        <f>IFERROR(IF(SUMIFS(tblDaily[Discharges],tblDaily[EntryDate],DATE(2026,7,8),tblDaily[WardCode],"FAE")=0,"",SUMIFS(tblDaily[Discharges],tblDaily[EntryDate],DATE(2026,7,8),tblDaily[WardCode],"FAE")),"")</f>
        <v/>
      </c>
      <c r="K255" s="14" t="str">
        <f>IFERROR(IF(SUMIFS(tblDaily[Deaths],tblDaily[EntryDate],DATE(2026,7,8),tblDaily[WardCode],"FAE")=0,"",SUMIFS(tblDaily[Deaths],tblDaily[EntryDate],DATE(2026,7,8),tblDaily[WardCode],"FAE")),"")</f>
        <v/>
      </c>
      <c r="L255" s="14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14" t="str">
        <f>IFERROR(IF(SUMIFS(tblDaily[TransfersIn],tblDaily[EntryDate],DATE(2026,7,8),tblDaily[WardCode],"FAE")=0,"",SUMIFS(tblDaily[TransfersIn],tblDaily[EntryDate],DATE(2026,7,8),tblDaily[WardCode],"FAE")),"")</f>
        <v/>
      </c>
      <c r="N255" s="14" t="str">
        <f>IFERROR(IF(SUMIFS(tblDaily[TransfersOut],tblDaily[EntryDate],DATE(2026,7,8),tblDaily[WardCode],"FAE")=0,"",SUMIFS(tblDaily[TransfersOut],tblDaily[EntryDate],DATE(2026,7,8),tblDaily[WardCode],"FAE")),"")</f>
        <v/>
      </c>
      <c r="O255" s="14" t="str">
        <f>IFERROR(IF(SUMIFS(tblDaily[Remaining],tblDaily[EntryDate],DATE(2026,7,8),tblDaily[WardCode],"FAE")=0,"",SUMIFS(tblDaily[Remaining],tblDaily[EntryDate],DATE(2026,7,8),tblDaily[WardCode],"FAE")),"")</f>
        <v/>
      </c>
      <c r="P255" s="15" t="str">
        <f t="shared" si="6"/>
        <v/>
      </c>
    </row>
    <row r="256" spans="1:16" x14ac:dyDescent="0.25">
      <c r="A256" s="14">
        <v>9</v>
      </c>
      <c r="B256" s="14" t="str">
        <f>IFERROR(IF(SUMIFS(tblDaily[Admissions],tblDaily[EntryDate],DATE(2026,7,9),tblDaily[WardCode],"MAE")=0,"",SUMIFS(tblDaily[Admissions],tblDaily[EntryDate],DATE(2026,7,9),tblDaily[WardCode],"MAE")),"")</f>
        <v/>
      </c>
      <c r="C256" s="14" t="str">
        <f>IFERROR(IF(SUMIFS(tblDaily[Discharges],tblDaily[EntryDate],DATE(2026,7,9),tblDaily[WardCode],"MAE")=0,"",SUMIFS(tblDaily[Discharges],tblDaily[EntryDate],DATE(2026,7,9),tblDaily[WardCode],"MAE")),"")</f>
        <v/>
      </c>
      <c r="D256" s="14" t="str">
        <f>IFERROR(IF(SUMIFS(tblDaily[Deaths],tblDaily[EntryDate],DATE(2026,7,9),tblDaily[WardCode],"MAE")=0,"",SUMIFS(tblDaily[Deaths],tblDaily[EntryDate],DATE(2026,7,9),tblDaily[WardCode],"MAE")),"")</f>
        <v/>
      </c>
      <c r="E256" s="14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14" t="str">
        <f>IFERROR(IF(SUMIFS(tblDaily[TransfersIn],tblDaily[EntryDate],DATE(2026,7,9),tblDaily[WardCode],"MAE")=0,"",SUMIFS(tblDaily[TransfersIn],tblDaily[EntryDate],DATE(2026,7,9),tblDaily[WardCode],"MAE")),"")</f>
        <v/>
      </c>
      <c r="G256" s="14" t="str">
        <f>IFERROR(IF(SUMIFS(tblDaily[TransfersOut],tblDaily[EntryDate],DATE(2026,7,9),tblDaily[WardCode],"MAE")=0,"",SUMIFS(tblDaily[TransfersOut],tblDaily[EntryDate],DATE(2026,7,9),tblDaily[WardCode],"MAE")),"")</f>
        <v/>
      </c>
      <c r="H256" s="14" t="str">
        <f>IFERROR(IF(SUMIFS(tblDaily[Remaining],tblDaily[EntryDate],DATE(2026,7,9),tblDaily[WardCode],"MAE")=0,"",SUMIFS(tblDaily[Remaining],tblDaily[EntryDate],DATE(2026,7,9),tblDaily[WardCode],"MAE")),"")</f>
        <v/>
      </c>
      <c r="I256" s="14" t="str">
        <f>IFERROR(IF(SUMIFS(tblDaily[Admissions],tblDaily[EntryDate],DATE(2026,7,9),tblDaily[WardCode],"FAE")=0,"",SUMIFS(tblDaily[Admissions],tblDaily[EntryDate],DATE(2026,7,9),tblDaily[WardCode],"FAE")),"")</f>
        <v/>
      </c>
      <c r="J256" s="14" t="str">
        <f>IFERROR(IF(SUMIFS(tblDaily[Discharges],tblDaily[EntryDate],DATE(2026,7,9),tblDaily[WardCode],"FAE")=0,"",SUMIFS(tblDaily[Discharges],tblDaily[EntryDate],DATE(2026,7,9),tblDaily[WardCode],"FAE")),"")</f>
        <v/>
      </c>
      <c r="K256" s="14" t="str">
        <f>IFERROR(IF(SUMIFS(tblDaily[Deaths],tblDaily[EntryDate],DATE(2026,7,9),tblDaily[WardCode],"FAE")=0,"",SUMIFS(tblDaily[Deaths],tblDaily[EntryDate],DATE(2026,7,9),tblDaily[WardCode],"FAE")),"")</f>
        <v/>
      </c>
      <c r="L256" s="14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14" t="str">
        <f>IFERROR(IF(SUMIFS(tblDaily[TransfersIn],tblDaily[EntryDate],DATE(2026,7,9),tblDaily[WardCode],"FAE")=0,"",SUMIFS(tblDaily[TransfersIn],tblDaily[EntryDate],DATE(2026,7,9),tblDaily[WardCode],"FAE")),"")</f>
        <v/>
      </c>
      <c r="N256" s="14" t="str">
        <f>IFERROR(IF(SUMIFS(tblDaily[TransfersOut],tblDaily[EntryDate],DATE(2026,7,9),tblDaily[WardCode],"FAE")=0,"",SUMIFS(tblDaily[TransfersOut],tblDaily[EntryDate],DATE(2026,7,9),tblDaily[WardCode],"FAE")),"")</f>
        <v/>
      </c>
      <c r="O256" s="14" t="str">
        <f>IFERROR(IF(SUMIFS(tblDaily[Remaining],tblDaily[EntryDate],DATE(2026,7,9),tblDaily[WardCode],"FAE")=0,"",SUMIFS(tblDaily[Remaining],tblDaily[EntryDate],DATE(2026,7,9),tblDaily[WardCode],"FAE")),"")</f>
        <v/>
      </c>
      <c r="P256" s="15" t="str">
        <f t="shared" si="6"/>
        <v/>
      </c>
    </row>
    <row r="257" spans="1:16" x14ac:dyDescent="0.25">
      <c r="A257" s="14">
        <v>10</v>
      </c>
      <c r="B257" s="14" t="str">
        <f>IFERROR(IF(SUMIFS(tblDaily[Admissions],tblDaily[EntryDate],DATE(2026,7,10),tblDaily[WardCode],"MAE")=0,"",SUMIFS(tblDaily[Admissions],tblDaily[EntryDate],DATE(2026,7,10),tblDaily[WardCode],"MAE")),"")</f>
        <v/>
      </c>
      <c r="C257" s="14" t="str">
        <f>IFERROR(IF(SUMIFS(tblDaily[Discharges],tblDaily[EntryDate],DATE(2026,7,10),tblDaily[WardCode],"MAE")=0,"",SUMIFS(tblDaily[Discharges],tblDaily[EntryDate],DATE(2026,7,10),tblDaily[WardCode],"MAE")),"")</f>
        <v/>
      </c>
      <c r="D257" s="14" t="str">
        <f>IFERROR(IF(SUMIFS(tblDaily[Deaths],tblDaily[EntryDate],DATE(2026,7,10),tblDaily[WardCode],"MAE")=0,"",SUMIFS(tblDaily[Deaths],tblDaily[EntryDate],DATE(2026,7,10),tblDaily[WardCode],"MAE")),"")</f>
        <v/>
      </c>
      <c r="E257" s="14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14" t="str">
        <f>IFERROR(IF(SUMIFS(tblDaily[TransfersIn],tblDaily[EntryDate],DATE(2026,7,10),tblDaily[WardCode],"MAE")=0,"",SUMIFS(tblDaily[TransfersIn],tblDaily[EntryDate],DATE(2026,7,10),tblDaily[WardCode],"MAE")),"")</f>
        <v/>
      </c>
      <c r="G257" s="14" t="str">
        <f>IFERROR(IF(SUMIFS(tblDaily[TransfersOut],tblDaily[EntryDate],DATE(2026,7,10),tblDaily[WardCode],"MAE")=0,"",SUMIFS(tblDaily[TransfersOut],tblDaily[EntryDate],DATE(2026,7,10),tblDaily[WardCode],"MAE")),"")</f>
        <v/>
      </c>
      <c r="H257" s="14" t="str">
        <f>IFERROR(IF(SUMIFS(tblDaily[Remaining],tblDaily[EntryDate],DATE(2026,7,10),tblDaily[WardCode],"MAE")=0,"",SUMIFS(tblDaily[Remaining],tblDaily[EntryDate],DATE(2026,7,10),tblDaily[WardCode],"MAE")),"")</f>
        <v/>
      </c>
      <c r="I257" s="14" t="str">
        <f>IFERROR(IF(SUMIFS(tblDaily[Admissions],tblDaily[EntryDate],DATE(2026,7,10),tblDaily[WardCode],"FAE")=0,"",SUMIFS(tblDaily[Admissions],tblDaily[EntryDate],DATE(2026,7,10),tblDaily[WardCode],"FAE")),"")</f>
        <v/>
      </c>
      <c r="J257" s="14" t="str">
        <f>IFERROR(IF(SUMIFS(tblDaily[Discharges],tblDaily[EntryDate],DATE(2026,7,10),tblDaily[WardCode],"FAE")=0,"",SUMIFS(tblDaily[Discharges],tblDaily[EntryDate],DATE(2026,7,10),tblDaily[WardCode],"FAE")),"")</f>
        <v/>
      </c>
      <c r="K257" s="14" t="str">
        <f>IFERROR(IF(SUMIFS(tblDaily[Deaths],tblDaily[EntryDate],DATE(2026,7,10),tblDaily[WardCode],"FAE")=0,"",SUMIFS(tblDaily[Deaths],tblDaily[EntryDate],DATE(2026,7,10),tblDaily[WardCode],"FAE")),"")</f>
        <v/>
      </c>
      <c r="L257" s="14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14" t="str">
        <f>IFERROR(IF(SUMIFS(tblDaily[TransfersIn],tblDaily[EntryDate],DATE(2026,7,10),tblDaily[WardCode],"FAE")=0,"",SUMIFS(tblDaily[TransfersIn],tblDaily[EntryDate],DATE(2026,7,10),tblDaily[WardCode],"FAE")),"")</f>
        <v/>
      </c>
      <c r="N257" s="14" t="str">
        <f>IFERROR(IF(SUMIFS(tblDaily[TransfersOut],tblDaily[EntryDate],DATE(2026,7,10),tblDaily[WardCode],"FAE")=0,"",SUMIFS(tblDaily[TransfersOut],tblDaily[EntryDate],DATE(2026,7,10),tblDaily[WardCode],"FAE")),"")</f>
        <v/>
      </c>
      <c r="O257" s="14" t="str">
        <f>IFERROR(IF(SUMIFS(tblDaily[Remaining],tblDaily[EntryDate],DATE(2026,7,10),tblDaily[WardCode],"FAE")=0,"",SUMIFS(tblDaily[Remaining],tblDaily[EntryDate],DATE(2026,7,10),tblDaily[WardCode],"FAE")),"")</f>
        <v/>
      </c>
      <c r="P257" s="15" t="str">
        <f t="shared" si="6"/>
        <v/>
      </c>
    </row>
    <row r="258" spans="1:16" x14ac:dyDescent="0.25">
      <c r="A258" s="14">
        <v>11</v>
      </c>
      <c r="B258" s="14" t="str">
        <f>IFERROR(IF(SUMIFS(tblDaily[Admissions],tblDaily[EntryDate],DATE(2026,7,11),tblDaily[WardCode],"MAE")=0,"",SUMIFS(tblDaily[Admissions],tblDaily[EntryDate],DATE(2026,7,11),tblDaily[WardCode],"MAE")),"")</f>
        <v/>
      </c>
      <c r="C258" s="14" t="str">
        <f>IFERROR(IF(SUMIFS(tblDaily[Discharges],tblDaily[EntryDate],DATE(2026,7,11),tblDaily[WardCode],"MAE")=0,"",SUMIFS(tblDaily[Discharges],tblDaily[EntryDate],DATE(2026,7,11),tblDaily[WardCode],"MAE")),"")</f>
        <v/>
      </c>
      <c r="D258" s="14" t="str">
        <f>IFERROR(IF(SUMIFS(tblDaily[Deaths],tblDaily[EntryDate],DATE(2026,7,11),tblDaily[WardCode],"MAE")=0,"",SUMIFS(tblDaily[Deaths],tblDaily[EntryDate],DATE(2026,7,11),tblDaily[WardCode],"MAE")),"")</f>
        <v/>
      </c>
      <c r="E258" s="14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14" t="str">
        <f>IFERROR(IF(SUMIFS(tblDaily[TransfersIn],tblDaily[EntryDate],DATE(2026,7,11),tblDaily[WardCode],"MAE")=0,"",SUMIFS(tblDaily[TransfersIn],tblDaily[EntryDate],DATE(2026,7,11),tblDaily[WardCode],"MAE")),"")</f>
        <v/>
      </c>
      <c r="G258" s="14" t="str">
        <f>IFERROR(IF(SUMIFS(tblDaily[TransfersOut],tblDaily[EntryDate],DATE(2026,7,11),tblDaily[WardCode],"MAE")=0,"",SUMIFS(tblDaily[TransfersOut],tblDaily[EntryDate],DATE(2026,7,11),tblDaily[WardCode],"MAE")),"")</f>
        <v/>
      </c>
      <c r="H258" s="14" t="str">
        <f>IFERROR(IF(SUMIFS(tblDaily[Remaining],tblDaily[EntryDate],DATE(2026,7,11),tblDaily[WardCode],"MAE")=0,"",SUMIFS(tblDaily[Remaining],tblDaily[EntryDate],DATE(2026,7,11),tblDaily[WardCode],"MAE")),"")</f>
        <v/>
      </c>
      <c r="I258" s="14" t="str">
        <f>IFERROR(IF(SUMIFS(tblDaily[Admissions],tblDaily[EntryDate],DATE(2026,7,11),tblDaily[WardCode],"FAE")=0,"",SUMIFS(tblDaily[Admissions],tblDaily[EntryDate],DATE(2026,7,11),tblDaily[WardCode],"FAE")),"")</f>
        <v/>
      </c>
      <c r="J258" s="14" t="str">
        <f>IFERROR(IF(SUMIFS(tblDaily[Discharges],tblDaily[EntryDate],DATE(2026,7,11),tblDaily[WardCode],"FAE")=0,"",SUMIFS(tblDaily[Discharges],tblDaily[EntryDate],DATE(2026,7,11),tblDaily[WardCode],"FAE")),"")</f>
        <v/>
      </c>
      <c r="K258" s="14" t="str">
        <f>IFERROR(IF(SUMIFS(tblDaily[Deaths],tblDaily[EntryDate],DATE(2026,7,11),tblDaily[WardCode],"FAE")=0,"",SUMIFS(tblDaily[Deaths],tblDaily[EntryDate],DATE(2026,7,11),tblDaily[WardCode],"FAE")),"")</f>
        <v/>
      </c>
      <c r="L258" s="14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14" t="str">
        <f>IFERROR(IF(SUMIFS(tblDaily[TransfersIn],tblDaily[EntryDate],DATE(2026,7,11),tblDaily[WardCode],"FAE")=0,"",SUMIFS(tblDaily[TransfersIn],tblDaily[EntryDate],DATE(2026,7,11),tblDaily[WardCode],"FAE")),"")</f>
        <v/>
      </c>
      <c r="N258" s="14" t="str">
        <f>IFERROR(IF(SUMIFS(tblDaily[TransfersOut],tblDaily[EntryDate],DATE(2026,7,11),tblDaily[WardCode],"FAE")=0,"",SUMIFS(tblDaily[TransfersOut],tblDaily[EntryDate],DATE(2026,7,11),tblDaily[WardCode],"FAE")),"")</f>
        <v/>
      </c>
      <c r="O258" s="14" t="str">
        <f>IFERROR(IF(SUMIFS(tblDaily[Remaining],tblDaily[EntryDate],DATE(2026,7,11),tblDaily[WardCode],"FAE")=0,"",SUMIFS(tblDaily[Remaining],tblDaily[EntryDate],DATE(2026,7,11),tblDaily[WardCode],"FAE")),"")</f>
        <v/>
      </c>
      <c r="P258" s="15" t="str">
        <f t="shared" si="6"/>
        <v/>
      </c>
    </row>
    <row r="259" spans="1:16" x14ac:dyDescent="0.25">
      <c r="A259" s="14">
        <v>12</v>
      </c>
      <c r="B259" s="14" t="str">
        <f>IFERROR(IF(SUMIFS(tblDaily[Admissions],tblDaily[EntryDate],DATE(2026,7,12),tblDaily[WardCode],"MAE")=0,"",SUMIFS(tblDaily[Admissions],tblDaily[EntryDate],DATE(2026,7,12),tblDaily[WardCode],"MAE")),"")</f>
        <v/>
      </c>
      <c r="C259" s="14" t="str">
        <f>IFERROR(IF(SUMIFS(tblDaily[Discharges],tblDaily[EntryDate],DATE(2026,7,12),tblDaily[WardCode],"MAE")=0,"",SUMIFS(tblDaily[Discharges],tblDaily[EntryDate],DATE(2026,7,12),tblDaily[WardCode],"MAE")),"")</f>
        <v/>
      </c>
      <c r="D259" s="14" t="str">
        <f>IFERROR(IF(SUMIFS(tblDaily[Deaths],tblDaily[EntryDate],DATE(2026,7,12),tblDaily[WardCode],"MAE")=0,"",SUMIFS(tblDaily[Deaths],tblDaily[EntryDate],DATE(2026,7,12),tblDaily[WardCode],"MAE")),"")</f>
        <v/>
      </c>
      <c r="E259" s="14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14" t="str">
        <f>IFERROR(IF(SUMIFS(tblDaily[TransfersIn],tblDaily[EntryDate],DATE(2026,7,12),tblDaily[WardCode],"MAE")=0,"",SUMIFS(tblDaily[TransfersIn],tblDaily[EntryDate],DATE(2026,7,12),tblDaily[WardCode],"MAE")),"")</f>
        <v/>
      </c>
      <c r="G259" s="14" t="str">
        <f>IFERROR(IF(SUMIFS(tblDaily[TransfersOut],tblDaily[EntryDate],DATE(2026,7,12),tblDaily[WardCode],"MAE")=0,"",SUMIFS(tblDaily[TransfersOut],tblDaily[EntryDate],DATE(2026,7,12),tblDaily[WardCode],"MAE")),"")</f>
        <v/>
      </c>
      <c r="H259" s="14" t="str">
        <f>IFERROR(IF(SUMIFS(tblDaily[Remaining],tblDaily[EntryDate],DATE(2026,7,12),tblDaily[WardCode],"MAE")=0,"",SUMIFS(tblDaily[Remaining],tblDaily[EntryDate],DATE(2026,7,12),tblDaily[WardCode],"MAE")),"")</f>
        <v/>
      </c>
      <c r="I259" s="14" t="str">
        <f>IFERROR(IF(SUMIFS(tblDaily[Admissions],tblDaily[EntryDate],DATE(2026,7,12),tblDaily[WardCode],"FAE")=0,"",SUMIFS(tblDaily[Admissions],tblDaily[EntryDate],DATE(2026,7,12),tblDaily[WardCode],"FAE")),"")</f>
        <v/>
      </c>
      <c r="J259" s="14" t="str">
        <f>IFERROR(IF(SUMIFS(tblDaily[Discharges],tblDaily[EntryDate],DATE(2026,7,12),tblDaily[WardCode],"FAE")=0,"",SUMIFS(tblDaily[Discharges],tblDaily[EntryDate],DATE(2026,7,12),tblDaily[WardCode],"FAE")),"")</f>
        <v/>
      </c>
      <c r="K259" s="14" t="str">
        <f>IFERROR(IF(SUMIFS(tblDaily[Deaths],tblDaily[EntryDate],DATE(2026,7,12),tblDaily[WardCode],"FAE")=0,"",SUMIFS(tblDaily[Deaths],tblDaily[EntryDate],DATE(2026,7,12),tblDaily[WardCode],"FAE")),"")</f>
        <v/>
      </c>
      <c r="L259" s="14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14" t="str">
        <f>IFERROR(IF(SUMIFS(tblDaily[TransfersIn],tblDaily[EntryDate],DATE(2026,7,12),tblDaily[WardCode],"FAE")=0,"",SUMIFS(tblDaily[TransfersIn],tblDaily[EntryDate],DATE(2026,7,12),tblDaily[WardCode],"FAE")),"")</f>
        <v/>
      </c>
      <c r="N259" s="14" t="str">
        <f>IFERROR(IF(SUMIFS(tblDaily[TransfersOut],tblDaily[EntryDate],DATE(2026,7,12),tblDaily[WardCode],"FAE")=0,"",SUMIFS(tblDaily[TransfersOut],tblDaily[EntryDate],DATE(2026,7,12),tblDaily[WardCode],"FAE")),"")</f>
        <v/>
      </c>
      <c r="O259" s="14" t="str">
        <f>IFERROR(IF(SUMIFS(tblDaily[Remaining],tblDaily[EntryDate],DATE(2026,7,12),tblDaily[WardCode],"FAE")=0,"",SUMIFS(tblDaily[Remaining],tblDaily[EntryDate],DATE(2026,7,12),tblDaily[WardCode],"FAE")),"")</f>
        <v/>
      </c>
      <c r="P259" s="15" t="str">
        <f t="shared" si="6"/>
        <v/>
      </c>
    </row>
    <row r="260" spans="1:16" x14ac:dyDescent="0.25">
      <c r="A260" s="14">
        <v>13</v>
      </c>
      <c r="B260" s="14" t="str">
        <f>IFERROR(IF(SUMIFS(tblDaily[Admissions],tblDaily[EntryDate],DATE(2026,7,13),tblDaily[WardCode],"MAE")=0,"",SUMIFS(tblDaily[Admissions],tblDaily[EntryDate],DATE(2026,7,13),tblDaily[WardCode],"MAE")),"")</f>
        <v/>
      </c>
      <c r="C260" s="14" t="str">
        <f>IFERROR(IF(SUMIFS(tblDaily[Discharges],tblDaily[EntryDate],DATE(2026,7,13),tblDaily[WardCode],"MAE")=0,"",SUMIFS(tblDaily[Discharges],tblDaily[EntryDate],DATE(2026,7,13),tblDaily[WardCode],"MAE")),"")</f>
        <v/>
      </c>
      <c r="D260" s="14" t="str">
        <f>IFERROR(IF(SUMIFS(tblDaily[Deaths],tblDaily[EntryDate],DATE(2026,7,13),tblDaily[WardCode],"MAE")=0,"",SUMIFS(tblDaily[Deaths],tblDaily[EntryDate],DATE(2026,7,13),tblDaily[WardCode],"MAE")),"")</f>
        <v/>
      </c>
      <c r="E260" s="14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14" t="str">
        <f>IFERROR(IF(SUMIFS(tblDaily[TransfersIn],tblDaily[EntryDate],DATE(2026,7,13),tblDaily[WardCode],"MAE")=0,"",SUMIFS(tblDaily[TransfersIn],tblDaily[EntryDate],DATE(2026,7,13),tblDaily[WardCode],"MAE")),"")</f>
        <v/>
      </c>
      <c r="G260" s="14" t="str">
        <f>IFERROR(IF(SUMIFS(tblDaily[TransfersOut],tblDaily[EntryDate],DATE(2026,7,13),tblDaily[WardCode],"MAE")=0,"",SUMIFS(tblDaily[TransfersOut],tblDaily[EntryDate],DATE(2026,7,13),tblDaily[WardCode],"MAE")),"")</f>
        <v/>
      </c>
      <c r="H260" s="14" t="str">
        <f>IFERROR(IF(SUMIFS(tblDaily[Remaining],tblDaily[EntryDate],DATE(2026,7,13),tblDaily[WardCode],"MAE")=0,"",SUMIFS(tblDaily[Remaining],tblDaily[EntryDate],DATE(2026,7,13),tblDaily[WardCode],"MAE")),"")</f>
        <v/>
      </c>
      <c r="I260" s="14" t="str">
        <f>IFERROR(IF(SUMIFS(tblDaily[Admissions],tblDaily[EntryDate],DATE(2026,7,13),tblDaily[WardCode],"FAE")=0,"",SUMIFS(tblDaily[Admissions],tblDaily[EntryDate],DATE(2026,7,13),tblDaily[WardCode],"FAE")),"")</f>
        <v/>
      </c>
      <c r="J260" s="14" t="str">
        <f>IFERROR(IF(SUMIFS(tblDaily[Discharges],tblDaily[EntryDate],DATE(2026,7,13),tblDaily[WardCode],"FAE")=0,"",SUMIFS(tblDaily[Discharges],tblDaily[EntryDate],DATE(2026,7,13),tblDaily[WardCode],"FAE")),"")</f>
        <v/>
      </c>
      <c r="K260" s="14" t="str">
        <f>IFERROR(IF(SUMIFS(tblDaily[Deaths],tblDaily[EntryDate],DATE(2026,7,13),tblDaily[WardCode],"FAE")=0,"",SUMIFS(tblDaily[Deaths],tblDaily[EntryDate],DATE(2026,7,13),tblDaily[WardCode],"FAE")),"")</f>
        <v/>
      </c>
      <c r="L260" s="14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14" t="str">
        <f>IFERROR(IF(SUMIFS(tblDaily[TransfersIn],tblDaily[EntryDate],DATE(2026,7,13),tblDaily[WardCode],"FAE")=0,"",SUMIFS(tblDaily[TransfersIn],tblDaily[EntryDate],DATE(2026,7,13),tblDaily[WardCode],"FAE")),"")</f>
        <v/>
      </c>
      <c r="N260" s="14" t="str">
        <f>IFERROR(IF(SUMIFS(tblDaily[TransfersOut],tblDaily[EntryDate],DATE(2026,7,13),tblDaily[WardCode],"FAE")=0,"",SUMIFS(tblDaily[TransfersOut],tblDaily[EntryDate],DATE(2026,7,13),tblDaily[WardCode],"FAE")),"")</f>
        <v/>
      </c>
      <c r="O260" s="14" t="str">
        <f>IFERROR(IF(SUMIFS(tblDaily[Remaining],tblDaily[EntryDate],DATE(2026,7,13),tblDaily[WardCode],"FAE")=0,"",SUMIFS(tblDaily[Remaining],tblDaily[EntryDate],DATE(2026,7,13),tblDaily[WardCode],"FAE")),"")</f>
        <v/>
      </c>
      <c r="P260" s="15" t="str">
        <f t="shared" si="6"/>
        <v/>
      </c>
    </row>
    <row r="261" spans="1:16" x14ac:dyDescent="0.25">
      <c r="A261" s="14">
        <v>14</v>
      </c>
      <c r="B261" s="14" t="str">
        <f>IFERROR(IF(SUMIFS(tblDaily[Admissions],tblDaily[EntryDate],DATE(2026,7,14),tblDaily[WardCode],"MAE")=0,"",SUMIFS(tblDaily[Admissions],tblDaily[EntryDate],DATE(2026,7,14),tblDaily[WardCode],"MAE")),"")</f>
        <v/>
      </c>
      <c r="C261" s="14" t="str">
        <f>IFERROR(IF(SUMIFS(tblDaily[Discharges],tblDaily[EntryDate],DATE(2026,7,14),tblDaily[WardCode],"MAE")=0,"",SUMIFS(tblDaily[Discharges],tblDaily[EntryDate],DATE(2026,7,14),tblDaily[WardCode],"MAE")),"")</f>
        <v/>
      </c>
      <c r="D261" s="14" t="str">
        <f>IFERROR(IF(SUMIFS(tblDaily[Deaths],tblDaily[EntryDate],DATE(2026,7,14),tblDaily[WardCode],"MAE")=0,"",SUMIFS(tblDaily[Deaths],tblDaily[EntryDate],DATE(2026,7,14),tblDaily[WardCode],"MAE")),"")</f>
        <v/>
      </c>
      <c r="E261" s="14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14" t="str">
        <f>IFERROR(IF(SUMIFS(tblDaily[TransfersIn],tblDaily[EntryDate],DATE(2026,7,14),tblDaily[WardCode],"MAE")=0,"",SUMIFS(tblDaily[TransfersIn],tblDaily[EntryDate],DATE(2026,7,14),tblDaily[WardCode],"MAE")),"")</f>
        <v/>
      </c>
      <c r="G261" s="14" t="str">
        <f>IFERROR(IF(SUMIFS(tblDaily[TransfersOut],tblDaily[EntryDate],DATE(2026,7,14),tblDaily[WardCode],"MAE")=0,"",SUMIFS(tblDaily[TransfersOut],tblDaily[EntryDate],DATE(2026,7,14),tblDaily[WardCode],"MAE")),"")</f>
        <v/>
      </c>
      <c r="H261" s="14" t="str">
        <f>IFERROR(IF(SUMIFS(tblDaily[Remaining],tblDaily[EntryDate],DATE(2026,7,14),tblDaily[WardCode],"MAE")=0,"",SUMIFS(tblDaily[Remaining],tblDaily[EntryDate],DATE(2026,7,14),tblDaily[WardCode],"MAE")),"")</f>
        <v/>
      </c>
      <c r="I261" s="14" t="str">
        <f>IFERROR(IF(SUMIFS(tblDaily[Admissions],tblDaily[EntryDate],DATE(2026,7,14),tblDaily[WardCode],"FAE")=0,"",SUMIFS(tblDaily[Admissions],tblDaily[EntryDate],DATE(2026,7,14),tblDaily[WardCode],"FAE")),"")</f>
        <v/>
      </c>
      <c r="J261" s="14" t="str">
        <f>IFERROR(IF(SUMIFS(tblDaily[Discharges],tblDaily[EntryDate],DATE(2026,7,14),tblDaily[WardCode],"FAE")=0,"",SUMIFS(tblDaily[Discharges],tblDaily[EntryDate],DATE(2026,7,14),tblDaily[WardCode],"FAE")),"")</f>
        <v/>
      </c>
      <c r="K261" s="14" t="str">
        <f>IFERROR(IF(SUMIFS(tblDaily[Deaths],tblDaily[EntryDate],DATE(2026,7,14),tblDaily[WardCode],"FAE")=0,"",SUMIFS(tblDaily[Deaths],tblDaily[EntryDate],DATE(2026,7,14),tblDaily[WardCode],"FAE")),"")</f>
        <v/>
      </c>
      <c r="L261" s="14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14" t="str">
        <f>IFERROR(IF(SUMIFS(tblDaily[TransfersIn],tblDaily[EntryDate],DATE(2026,7,14),tblDaily[WardCode],"FAE")=0,"",SUMIFS(tblDaily[TransfersIn],tblDaily[EntryDate],DATE(2026,7,14),tblDaily[WardCode],"FAE")),"")</f>
        <v/>
      </c>
      <c r="N261" s="14" t="str">
        <f>IFERROR(IF(SUMIFS(tblDaily[TransfersOut],tblDaily[EntryDate],DATE(2026,7,14),tblDaily[WardCode],"FAE")=0,"",SUMIFS(tblDaily[TransfersOut],tblDaily[EntryDate],DATE(2026,7,14),tblDaily[WardCode],"FAE")),"")</f>
        <v/>
      </c>
      <c r="O261" s="14" t="str">
        <f>IFERROR(IF(SUMIFS(tblDaily[Remaining],tblDaily[EntryDate],DATE(2026,7,14),tblDaily[WardCode],"FAE")=0,"",SUMIFS(tblDaily[Remaining],tblDaily[EntryDate],DATE(2026,7,14),tblDaily[WardCode],"FAE")),"")</f>
        <v/>
      </c>
      <c r="P261" s="15" t="str">
        <f t="shared" si="6"/>
        <v/>
      </c>
    </row>
    <row r="262" spans="1:16" x14ac:dyDescent="0.25">
      <c r="A262" s="14">
        <v>15</v>
      </c>
      <c r="B262" s="14" t="str">
        <f>IFERROR(IF(SUMIFS(tblDaily[Admissions],tblDaily[EntryDate],DATE(2026,7,15),tblDaily[WardCode],"MAE")=0,"",SUMIFS(tblDaily[Admissions],tblDaily[EntryDate],DATE(2026,7,15),tblDaily[WardCode],"MAE")),"")</f>
        <v/>
      </c>
      <c r="C262" s="14" t="str">
        <f>IFERROR(IF(SUMIFS(tblDaily[Discharges],tblDaily[EntryDate],DATE(2026,7,15),tblDaily[WardCode],"MAE")=0,"",SUMIFS(tblDaily[Discharges],tblDaily[EntryDate],DATE(2026,7,15),tblDaily[WardCode],"MAE")),"")</f>
        <v/>
      </c>
      <c r="D262" s="14" t="str">
        <f>IFERROR(IF(SUMIFS(tblDaily[Deaths],tblDaily[EntryDate],DATE(2026,7,15),tblDaily[WardCode],"MAE")=0,"",SUMIFS(tblDaily[Deaths],tblDaily[EntryDate],DATE(2026,7,15),tblDaily[WardCode],"MAE")),"")</f>
        <v/>
      </c>
      <c r="E262" s="14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14" t="str">
        <f>IFERROR(IF(SUMIFS(tblDaily[TransfersIn],tblDaily[EntryDate],DATE(2026,7,15),tblDaily[WardCode],"MAE")=0,"",SUMIFS(tblDaily[TransfersIn],tblDaily[EntryDate],DATE(2026,7,15),tblDaily[WardCode],"MAE")),"")</f>
        <v/>
      </c>
      <c r="G262" s="14" t="str">
        <f>IFERROR(IF(SUMIFS(tblDaily[TransfersOut],tblDaily[EntryDate],DATE(2026,7,15),tblDaily[WardCode],"MAE")=0,"",SUMIFS(tblDaily[TransfersOut],tblDaily[EntryDate],DATE(2026,7,15),tblDaily[WardCode],"MAE")),"")</f>
        <v/>
      </c>
      <c r="H262" s="14" t="str">
        <f>IFERROR(IF(SUMIFS(tblDaily[Remaining],tblDaily[EntryDate],DATE(2026,7,15),tblDaily[WardCode],"MAE")=0,"",SUMIFS(tblDaily[Remaining],tblDaily[EntryDate],DATE(2026,7,15),tblDaily[WardCode],"MAE")),"")</f>
        <v/>
      </c>
      <c r="I262" s="14" t="str">
        <f>IFERROR(IF(SUMIFS(tblDaily[Admissions],tblDaily[EntryDate],DATE(2026,7,15),tblDaily[WardCode],"FAE")=0,"",SUMIFS(tblDaily[Admissions],tblDaily[EntryDate],DATE(2026,7,15),tblDaily[WardCode],"FAE")),"")</f>
        <v/>
      </c>
      <c r="J262" s="14" t="str">
        <f>IFERROR(IF(SUMIFS(tblDaily[Discharges],tblDaily[EntryDate],DATE(2026,7,15),tblDaily[WardCode],"FAE")=0,"",SUMIFS(tblDaily[Discharges],tblDaily[EntryDate],DATE(2026,7,15),tblDaily[WardCode],"FAE")),"")</f>
        <v/>
      </c>
      <c r="K262" s="14" t="str">
        <f>IFERROR(IF(SUMIFS(tblDaily[Deaths],tblDaily[EntryDate],DATE(2026,7,15),tblDaily[WardCode],"FAE")=0,"",SUMIFS(tblDaily[Deaths],tblDaily[EntryDate],DATE(2026,7,15),tblDaily[WardCode],"FAE")),"")</f>
        <v/>
      </c>
      <c r="L262" s="14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14" t="str">
        <f>IFERROR(IF(SUMIFS(tblDaily[TransfersIn],tblDaily[EntryDate],DATE(2026,7,15),tblDaily[WardCode],"FAE")=0,"",SUMIFS(tblDaily[TransfersIn],tblDaily[EntryDate],DATE(2026,7,15),tblDaily[WardCode],"FAE")),"")</f>
        <v/>
      </c>
      <c r="N262" s="14" t="str">
        <f>IFERROR(IF(SUMIFS(tblDaily[TransfersOut],tblDaily[EntryDate],DATE(2026,7,15),tblDaily[WardCode],"FAE")=0,"",SUMIFS(tblDaily[TransfersOut],tblDaily[EntryDate],DATE(2026,7,15),tblDaily[WardCode],"FAE")),"")</f>
        <v/>
      </c>
      <c r="O262" s="14" t="str">
        <f>IFERROR(IF(SUMIFS(tblDaily[Remaining],tblDaily[EntryDate],DATE(2026,7,15),tblDaily[WardCode],"FAE")=0,"",SUMIFS(tblDaily[Remaining],tblDaily[EntryDate],DATE(2026,7,15),tblDaily[WardCode],"FAE")),"")</f>
        <v/>
      </c>
      <c r="P262" s="15" t="str">
        <f t="shared" si="6"/>
        <v/>
      </c>
    </row>
    <row r="263" spans="1:16" x14ac:dyDescent="0.25">
      <c r="A263" s="14">
        <v>16</v>
      </c>
      <c r="B263" s="14" t="str">
        <f>IFERROR(IF(SUMIFS(tblDaily[Admissions],tblDaily[EntryDate],DATE(2026,7,16),tblDaily[WardCode],"MAE")=0,"",SUMIFS(tblDaily[Admissions],tblDaily[EntryDate],DATE(2026,7,16),tblDaily[WardCode],"MAE")),"")</f>
        <v/>
      </c>
      <c r="C263" s="14" t="str">
        <f>IFERROR(IF(SUMIFS(tblDaily[Discharges],tblDaily[EntryDate],DATE(2026,7,16),tblDaily[WardCode],"MAE")=0,"",SUMIFS(tblDaily[Discharges],tblDaily[EntryDate],DATE(2026,7,16),tblDaily[WardCode],"MAE")),"")</f>
        <v/>
      </c>
      <c r="D263" s="14" t="str">
        <f>IFERROR(IF(SUMIFS(tblDaily[Deaths],tblDaily[EntryDate],DATE(2026,7,16),tblDaily[WardCode],"MAE")=0,"",SUMIFS(tblDaily[Deaths],tblDaily[EntryDate],DATE(2026,7,16),tblDaily[WardCode],"MAE")),"")</f>
        <v/>
      </c>
      <c r="E263" s="14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14" t="str">
        <f>IFERROR(IF(SUMIFS(tblDaily[TransfersIn],tblDaily[EntryDate],DATE(2026,7,16),tblDaily[WardCode],"MAE")=0,"",SUMIFS(tblDaily[TransfersIn],tblDaily[EntryDate],DATE(2026,7,16),tblDaily[WardCode],"MAE")),"")</f>
        <v/>
      </c>
      <c r="G263" s="14" t="str">
        <f>IFERROR(IF(SUMIFS(tblDaily[TransfersOut],tblDaily[EntryDate],DATE(2026,7,16),tblDaily[WardCode],"MAE")=0,"",SUMIFS(tblDaily[TransfersOut],tblDaily[EntryDate],DATE(2026,7,16),tblDaily[WardCode],"MAE")),"")</f>
        <v/>
      </c>
      <c r="H263" s="14" t="str">
        <f>IFERROR(IF(SUMIFS(tblDaily[Remaining],tblDaily[EntryDate],DATE(2026,7,16),tblDaily[WardCode],"MAE")=0,"",SUMIFS(tblDaily[Remaining],tblDaily[EntryDate],DATE(2026,7,16),tblDaily[WardCode],"MAE")),"")</f>
        <v/>
      </c>
      <c r="I263" s="14" t="str">
        <f>IFERROR(IF(SUMIFS(tblDaily[Admissions],tblDaily[EntryDate],DATE(2026,7,16),tblDaily[WardCode],"FAE")=0,"",SUMIFS(tblDaily[Admissions],tblDaily[EntryDate],DATE(2026,7,16),tblDaily[WardCode],"FAE")),"")</f>
        <v/>
      </c>
      <c r="J263" s="14" t="str">
        <f>IFERROR(IF(SUMIFS(tblDaily[Discharges],tblDaily[EntryDate],DATE(2026,7,16),tblDaily[WardCode],"FAE")=0,"",SUMIFS(tblDaily[Discharges],tblDaily[EntryDate],DATE(2026,7,16),tblDaily[WardCode],"FAE")),"")</f>
        <v/>
      </c>
      <c r="K263" s="14" t="str">
        <f>IFERROR(IF(SUMIFS(tblDaily[Deaths],tblDaily[EntryDate],DATE(2026,7,16),tblDaily[WardCode],"FAE")=0,"",SUMIFS(tblDaily[Deaths],tblDaily[EntryDate],DATE(2026,7,16),tblDaily[WardCode],"FAE")),"")</f>
        <v/>
      </c>
      <c r="L263" s="14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14" t="str">
        <f>IFERROR(IF(SUMIFS(tblDaily[TransfersIn],tblDaily[EntryDate],DATE(2026,7,16),tblDaily[WardCode],"FAE")=0,"",SUMIFS(tblDaily[TransfersIn],tblDaily[EntryDate],DATE(2026,7,16),tblDaily[WardCode],"FAE")),"")</f>
        <v/>
      </c>
      <c r="N263" s="14" t="str">
        <f>IFERROR(IF(SUMIFS(tblDaily[TransfersOut],tblDaily[EntryDate],DATE(2026,7,16),tblDaily[WardCode],"FAE")=0,"",SUMIFS(tblDaily[TransfersOut],tblDaily[EntryDate],DATE(2026,7,16),tblDaily[WardCode],"FAE")),"")</f>
        <v/>
      </c>
      <c r="O263" s="14" t="str">
        <f>IFERROR(IF(SUMIFS(tblDaily[Remaining],tblDaily[EntryDate],DATE(2026,7,16),tblDaily[WardCode],"FAE")=0,"",SUMIFS(tblDaily[Remaining],tblDaily[EntryDate],DATE(2026,7,16),tblDaily[WardCode],"FAE")),"")</f>
        <v/>
      </c>
      <c r="P263" s="15" t="str">
        <f t="shared" si="6"/>
        <v/>
      </c>
    </row>
    <row r="264" spans="1:16" x14ac:dyDescent="0.25">
      <c r="A264" s="14">
        <v>17</v>
      </c>
      <c r="B264" s="14" t="str">
        <f>IFERROR(IF(SUMIFS(tblDaily[Admissions],tblDaily[EntryDate],DATE(2026,7,17),tblDaily[WardCode],"MAE")=0,"",SUMIFS(tblDaily[Admissions],tblDaily[EntryDate],DATE(2026,7,17),tblDaily[WardCode],"MAE")),"")</f>
        <v/>
      </c>
      <c r="C264" s="14" t="str">
        <f>IFERROR(IF(SUMIFS(tblDaily[Discharges],tblDaily[EntryDate],DATE(2026,7,17),tblDaily[WardCode],"MAE")=0,"",SUMIFS(tblDaily[Discharges],tblDaily[EntryDate],DATE(2026,7,17),tblDaily[WardCode],"MAE")),"")</f>
        <v/>
      </c>
      <c r="D264" s="14" t="str">
        <f>IFERROR(IF(SUMIFS(tblDaily[Deaths],tblDaily[EntryDate],DATE(2026,7,17),tblDaily[WardCode],"MAE")=0,"",SUMIFS(tblDaily[Deaths],tblDaily[EntryDate],DATE(2026,7,17),tblDaily[WardCode],"MAE")),"")</f>
        <v/>
      </c>
      <c r="E264" s="14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14" t="str">
        <f>IFERROR(IF(SUMIFS(tblDaily[TransfersIn],tblDaily[EntryDate],DATE(2026,7,17),tblDaily[WardCode],"MAE")=0,"",SUMIFS(tblDaily[TransfersIn],tblDaily[EntryDate],DATE(2026,7,17),tblDaily[WardCode],"MAE")),"")</f>
        <v/>
      </c>
      <c r="G264" s="14" t="str">
        <f>IFERROR(IF(SUMIFS(tblDaily[TransfersOut],tblDaily[EntryDate],DATE(2026,7,17),tblDaily[WardCode],"MAE")=0,"",SUMIFS(tblDaily[TransfersOut],tblDaily[EntryDate],DATE(2026,7,17),tblDaily[WardCode],"MAE")),"")</f>
        <v/>
      </c>
      <c r="H264" s="14" t="str">
        <f>IFERROR(IF(SUMIFS(tblDaily[Remaining],tblDaily[EntryDate],DATE(2026,7,17),tblDaily[WardCode],"MAE")=0,"",SUMIFS(tblDaily[Remaining],tblDaily[EntryDate],DATE(2026,7,17),tblDaily[WardCode],"MAE")),"")</f>
        <v/>
      </c>
      <c r="I264" s="14" t="str">
        <f>IFERROR(IF(SUMIFS(tblDaily[Admissions],tblDaily[EntryDate],DATE(2026,7,17),tblDaily[WardCode],"FAE")=0,"",SUMIFS(tblDaily[Admissions],tblDaily[EntryDate],DATE(2026,7,17),tblDaily[WardCode],"FAE")),"")</f>
        <v/>
      </c>
      <c r="J264" s="14" t="str">
        <f>IFERROR(IF(SUMIFS(tblDaily[Discharges],tblDaily[EntryDate],DATE(2026,7,17),tblDaily[WardCode],"FAE")=0,"",SUMIFS(tblDaily[Discharges],tblDaily[EntryDate],DATE(2026,7,17),tblDaily[WardCode],"FAE")),"")</f>
        <v/>
      </c>
      <c r="K264" s="14" t="str">
        <f>IFERROR(IF(SUMIFS(tblDaily[Deaths],tblDaily[EntryDate],DATE(2026,7,17),tblDaily[WardCode],"FAE")=0,"",SUMIFS(tblDaily[Deaths],tblDaily[EntryDate],DATE(2026,7,17),tblDaily[WardCode],"FAE")),"")</f>
        <v/>
      </c>
      <c r="L264" s="14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14" t="str">
        <f>IFERROR(IF(SUMIFS(tblDaily[TransfersIn],tblDaily[EntryDate],DATE(2026,7,17),tblDaily[WardCode],"FAE")=0,"",SUMIFS(tblDaily[TransfersIn],tblDaily[EntryDate],DATE(2026,7,17),tblDaily[WardCode],"FAE")),"")</f>
        <v/>
      </c>
      <c r="N264" s="14" t="str">
        <f>IFERROR(IF(SUMIFS(tblDaily[TransfersOut],tblDaily[EntryDate],DATE(2026,7,17),tblDaily[WardCode],"FAE")=0,"",SUMIFS(tblDaily[TransfersOut],tblDaily[EntryDate],DATE(2026,7,17),tblDaily[WardCode],"FAE")),"")</f>
        <v/>
      </c>
      <c r="O264" s="14" t="str">
        <f>IFERROR(IF(SUMIFS(tblDaily[Remaining],tblDaily[EntryDate],DATE(2026,7,17),tblDaily[WardCode],"FAE")=0,"",SUMIFS(tblDaily[Remaining],tblDaily[EntryDate],DATE(2026,7,17),tblDaily[WardCode],"FAE")),"")</f>
        <v/>
      </c>
      <c r="P264" s="15" t="str">
        <f t="shared" si="6"/>
        <v/>
      </c>
    </row>
    <row r="265" spans="1:16" x14ac:dyDescent="0.25">
      <c r="A265" s="14">
        <v>18</v>
      </c>
      <c r="B265" s="14" t="str">
        <f>IFERROR(IF(SUMIFS(tblDaily[Admissions],tblDaily[EntryDate],DATE(2026,7,18),tblDaily[WardCode],"MAE")=0,"",SUMIFS(tblDaily[Admissions],tblDaily[EntryDate],DATE(2026,7,18),tblDaily[WardCode],"MAE")),"")</f>
        <v/>
      </c>
      <c r="C265" s="14" t="str">
        <f>IFERROR(IF(SUMIFS(tblDaily[Discharges],tblDaily[EntryDate],DATE(2026,7,18),tblDaily[WardCode],"MAE")=0,"",SUMIFS(tblDaily[Discharges],tblDaily[EntryDate],DATE(2026,7,18),tblDaily[WardCode],"MAE")),"")</f>
        <v/>
      </c>
      <c r="D265" s="14" t="str">
        <f>IFERROR(IF(SUMIFS(tblDaily[Deaths],tblDaily[EntryDate],DATE(2026,7,18),tblDaily[WardCode],"MAE")=0,"",SUMIFS(tblDaily[Deaths],tblDaily[EntryDate],DATE(2026,7,18),tblDaily[WardCode],"MAE")),"")</f>
        <v/>
      </c>
      <c r="E265" s="14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14" t="str">
        <f>IFERROR(IF(SUMIFS(tblDaily[TransfersIn],tblDaily[EntryDate],DATE(2026,7,18),tblDaily[WardCode],"MAE")=0,"",SUMIFS(tblDaily[TransfersIn],tblDaily[EntryDate],DATE(2026,7,18),tblDaily[WardCode],"MAE")),"")</f>
        <v/>
      </c>
      <c r="G265" s="14" t="str">
        <f>IFERROR(IF(SUMIFS(tblDaily[TransfersOut],tblDaily[EntryDate],DATE(2026,7,18),tblDaily[WardCode],"MAE")=0,"",SUMIFS(tblDaily[TransfersOut],tblDaily[EntryDate],DATE(2026,7,18),tblDaily[WardCode],"MAE")),"")</f>
        <v/>
      </c>
      <c r="H265" s="14" t="str">
        <f>IFERROR(IF(SUMIFS(tblDaily[Remaining],tblDaily[EntryDate],DATE(2026,7,18),tblDaily[WardCode],"MAE")=0,"",SUMIFS(tblDaily[Remaining],tblDaily[EntryDate],DATE(2026,7,18),tblDaily[WardCode],"MAE")),"")</f>
        <v/>
      </c>
      <c r="I265" s="14" t="str">
        <f>IFERROR(IF(SUMIFS(tblDaily[Admissions],tblDaily[EntryDate],DATE(2026,7,18),tblDaily[WardCode],"FAE")=0,"",SUMIFS(tblDaily[Admissions],tblDaily[EntryDate],DATE(2026,7,18),tblDaily[WardCode],"FAE")),"")</f>
        <v/>
      </c>
      <c r="J265" s="14" t="str">
        <f>IFERROR(IF(SUMIFS(tblDaily[Discharges],tblDaily[EntryDate],DATE(2026,7,18),tblDaily[WardCode],"FAE")=0,"",SUMIFS(tblDaily[Discharges],tblDaily[EntryDate],DATE(2026,7,18),tblDaily[WardCode],"FAE")),"")</f>
        <v/>
      </c>
      <c r="K265" s="14" t="str">
        <f>IFERROR(IF(SUMIFS(tblDaily[Deaths],tblDaily[EntryDate],DATE(2026,7,18),tblDaily[WardCode],"FAE")=0,"",SUMIFS(tblDaily[Deaths],tblDaily[EntryDate],DATE(2026,7,18),tblDaily[WardCode],"FAE")),"")</f>
        <v/>
      </c>
      <c r="L265" s="14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14" t="str">
        <f>IFERROR(IF(SUMIFS(tblDaily[TransfersIn],tblDaily[EntryDate],DATE(2026,7,18),tblDaily[WardCode],"FAE")=0,"",SUMIFS(tblDaily[TransfersIn],tblDaily[EntryDate],DATE(2026,7,18),tblDaily[WardCode],"FAE")),"")</f>
        <v/>
      </c>
      <c r="N265" s="14" t="str">
        <f>IFERROR(IF(SUMIFS(tblDaily[TransfersOut],tblDaily[EntryDate],DATE(2026,7,18),tblDaily[WardCode],"FAE")=0,"",SUMIFS(tblDaily[TransfersOut],tblDaily[EntryDate],DATE(2026,7,18),tblDaily[WardCode],"FAE")),"")</f>
        <v/>
      </c>
      <c r="O265" s="14" t="str">
        <f>IFERROR(IF(SUMIFS(tblDaily[Remaining],tblDaily[EntryDate],DATE(2026,7,18),tblDaily[WardCode],"FAE")=0,"",SUMIFS(tblDaily[Remaining],tblDaily[EntryDate],DATE(2026,7,18),tblDaily[WardCode],"FAE")),"")</f>
        <v/>
      </c>
      <c r="P265" s="15" t="str">
        <f t="shared" si="6"/>
        <v/>
      </c>
    </row>
    <row r="266" spans="1:16" x14ac:dyDescent="0.25">
      <c r="A266" s="14">
        <v>19</v>
      </c>
      <c r="B266" s="14" t="str">
        <f>IFERROR(IF(SUMIFS(tblDaily[Admissions],tblDaily[EntryDate],DATE(2026,7,19),tblDaily[WardCode],"MAE")=0,"",SUMIFS(tblDaily[Admissions],tblDaily[EntryDate],DATE(2026,7,19),tblDaily[WardCode],"MAE")),"")</f>
        <v/>
      </c>
      <c r="C266" s="14" t="str">
        <f>IFERROR(IF(SUMIFS(tblDaily[Discharges],tblDaily[EntryDate],DATE(2026,7,19),tblDaily[WardCode],"MAE")=0,"",SUMIFS(tblDaily[Discharges],tblDaily[EntryDate],DATE(2026,7,19),tblDaily[WardCode],"MAE")),"")</f>
        <v/>
      </c>
      <c r="D266" s="14" t="str">
        <f>IFERROR(IF(SUMIFS(tblDaily[Deaths],tblDaily[EntryDate],DATE(2026,7,19),tblDaily[WardCode],"MAE")=0,"",SUMIFS(tblDaily[Deaths],tblDaily[EntryDate],DATE(2026,7,19),tblDaily[WardCode],"MAE")),"")</f>
        <v/>
      </c>
      <c r="E266" s="14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14" t="str">
        <f>IFERROR(IF(SUMIFS(tblDaily[TransfersIn],tblDaily[EntryDate],DATE(2026,7,19),tblDaily[WardCode],"MAE")=0,"",SUMIFS(tblDaily[TransfersIn],tblDaily[EntryDate],DATE(2026,7,19),tblDaily[WardCode],"MAE")),"")</f>
        <v/>
      </c>
      <c r="G266" s="14" t="str">
        <f>IFERROR(IF(SUMIFS(tblDaily[TransfersOut],tblDaily[EntryDate],DATE(2026,7,19),tblDaily[WardCode],"MAE")=0,"",SUMIFS(tblDaily[TransfersOut],tblDaily[EntryDate],DATE(2026,7,19),tblDaily[WardCode],"MAE")),"")</f>
        <v/>
      </c>
      <c r="H266" s="14" t="str">
        <f>IFERROR(IF(SUMIFS(tblDaily[Remaining],tblDaily[EntryDate],DATE(2026,7,19),tblDaily[WardCode],"MAE")=0,"",SUMIFS(tblDaily[Remaining],tblDaily[EntryDate],DATE(2026,7,19),tblDaily[WardCode],"MAE")),"")</f>
        <v/>
      </c>
      <c r="I266" s="14" t="str">
        <f>IFERROR(IF(SUMIFS(tblDaily[Admissions],tblDaily[EntryDate],DATE(2026,7,19),tblDaily[WardCode],"FAE")=0,"",SUMIFS(tblDaily[Admissions],tblDaily[EntryDate],DATE(2026,7,19),tblDaily[WardCode],"FAE")),"")</f>
        <v/>
      </c>
      <c r="J266" s="14" t="str">
        <f>IFERROR(IF(SUMIFS(tblDaily[Discharges],tblDaily[EntryDate],DATE(2026,7,19),tblDaily[WardCode],"FAE")=0,"",SUMIFS(tblDaily[Discharges],tblDaily[EntryDate],DATE(2026,7,19),tblDaily[WardCode],"FAE")),"")</f>
        <v/>
      </c>
      <c r="K266" s="14" t="str">
        <f>IFERROR(IF(SUMIFS(tblDaily[Deaths],tblDaily[EntryDate],DATE(2026,7,19),tblDaily[WardCode],"FAE")=0,"",SUMIFS(tblDaily[Deaths],tblDaily[EntryDate],DATE(2026,7,19),tblDaily[WardCode],"FAE")),"")</f>
        <v/>
      </c>
      <c r="L266" s="14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14" t="str">
        <f>IFERROR(IF(SUMIFS(tblDaily[TransfersIn],tblDaily[EntryDate],DATE(2026,7,19),tblDaily[WardCode],"FAE")=0,"",SUMIFS(tblDaily[TransfersIn],tblDaily[EntryDate],DATE(2026,7,19),tblDaily[WardCode],"FAE")),"")</f>
        <v/>
      </c>
      <c r="N266" s="14" t="str">
        <f>IFERROR(IF(SUMIFS(tblDaily[TransfersOut],tblDaily[EntryDate],DATE(2026,7,19),tblDaily[WardCode],"FAE")=0,"",SUMIFS(tblDaily[TransfersOut],tblDaily[EntryDate],DATE(2026,7,19),tblDaily[WardCode],"FAE")),"")</f>
        <v/>
      </c>
      <c r="O266" s="14" t="str">
        <f>IFERROR(IF(SUMIFS(tblDaily[Remaining],tblDaily[EntryDate],DATE(2026,7,19),tblDaily[WardCode],"FAE")=0,"",SUMIFS(tblDaily[Remaining],tblDaily[EntryDate],DATE(2026,7,19),tblDaily[WardCode],"FAE")),"")</f>
        <v/>
      </c>
      <c r="P266" s="15" t="str">
        <f t="shared" si="6"/>
        <v/>
      </c>
    </row>
    <row r="267" spans="1:16" x14ac:dyDescent="0.25">
      <c r="A267" s="14">
        <v>20</v>
      </c>
      <c r="B267" s="14" t="str">
        <f>IFERROR(IF(SUMIFS(tblDaily[Admissions],tblDaily[EntryDate],DATE(2026,7,20),tblDaily[WardCode],"MAE")=0,"",SUMIFS(tblDaily[Admissions],tblDaily[EntryDate],DATE(2026,7,20),tblDaily[WardCode],"MAE")),"")</f>
        <v/>
      </c>
      <c r="C267" s="14" t="str">
        <f>IFERROR(IF(SUMIFS(tblDaily[Discharges],tblDaily[EntryDate],DATE(2026,7,20),tblDaily[WardCode],"MAE")=0,"",SUMIFS(tblDaily[Discharges],tblDaily[EntryDate],DATE(2026,7,20),tblDaily[WardCode],"MAE")),"")</f>
        <v/>
      </c>
      <c r="D267" s="14" t="str">
        <f>IFERROR(IF(SUMIFS(tblDaily[Deaths],tblDaily[EntryDate],DATE(2026,7,20),tblDaily[WardCode],"MAE")=0,"",SUMIFS(tblDaily[Deaths],tblDaily[EntryDate],DATE(2026,7,20),tblDaily[WardCode],"MAE")),"")</f>
        <v/>
      </c>
      <c r="E267" s="14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14" t="str">
        <f>IFERROR(IF(SUMIFS(tblDaily[TransfersIn],tblDaily[EntryDate],DATE(2026,7,20),tblDaily[WardCode],"MAE")=0,"",SUMIFS(tblDaily[TransfersIn],tblDaily[EntryDate],DATE(2026,7,20),tblDaily[WardCode],"MAE")),"")</f>
        <v/>
      </c>
      <c r="G267" s="14" t="str">
        <f>IFERROR(IF(SUMIFS(tblDaily[TransfersOut],tblDaily[EntryDate],DATE(2026,7,20),tblDaily[WardCode],"MAE")=0,"",SUMIFS(tblDaily[TransfersOut],tblDaily[EntryDate],DATE(2026,7,20),tblDaily[WardCode],"MAE")),"")</f>
        <v/>
      </c>
      <c r="H267" s="14" t="str">
        <f>IFERROR(IF(SUMIFS(tblDaily[Remaining],tblDaily[EntryDate],DATE(2026,7,20),tblDaily[WardCode],"MAE")=0,"",SUMIFS(tblDaily[Remaining],tblDaily[EntryDate],DATE(2026,7,20),tblDaily[WardCode],"MAE")),"")</f>
        <v/>
      </c>
      <c r="I267" s="14" t="str">
        <f>IFERROR(IF(SUMIFS(tblDaily[Admissions],tblDaily[EntryDate],DATE(2026,7,20),tblDaily[WardCode],"FAE")=0,"",SUMIFS(tblDaily[Admissions],tblDaily[EntryDate],DATE(2026,7,20),tblDaily[WardCode],"FAE")),"")</f>
        <v/>
      </c>
      <c r="J267" s="14" t="str">
        <f>IFERROR(IF(SUMIFS(tblDaily[Discharges],tblDaily[EntryDate],DATE(2026,7,20),tblDaily[WardCode],"FAE")=0,"",SUMIFS(tblDaily[Discharges],tblDaily[EntryDate],DATE(2026,7,20),tblDaily[WardCode],"FAE")),"")</f>
        <v/>
      </c>
      <c r="K267" s="14" t="str">
        <f>IFERROR(IF(SUMIFS(tblDaily[Deaths],tblDaily[EntryDate],DATE(2026,7,20),tblDaily[WardCode],"FAE")=0,"",SUMIFS(tblDaily[Deaths],tblDaily[EntryDate],DATE(2026,7,20),tblDaily[WardCode],"FAE")),"")</f>
        <v/>
      </c>
      <c r="L267" s="14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14" t="str">
        <f>IFERROR(IF(SUMIFS(tblDaily[TransfersIn],tblDaily[EntryDate],DATE(2026,7,20),tblDaily[WardCode],"FAE")=0,"",SUMIFS(tblDaily[TransfersIn],tblDaily[EntryDate],DATE(2026,7,20),tblDaily[WardCode],"FAE")),"")</f>
        <v/>
      </c>
      <c r="N267" s="14" t="str">
        <f>IFERROR(IF(SUMIFS(tblDaily[TransfersOut],tblDaily[EntryDate],DATE(2026,7,20),tblDaily[WardCode],"FAE")=0,"",SUMIFS(tblDaily[TransfersOut],tblDaily[EntryDate],DATE(2026,7,20),tblDaily[WardCode],"FAE")),"")</f>
        <v/>
      </c>
      <c r="O267" s="14" t="str">
        <f>IFERROR(IF(SUMIFS(tblDaily[Remaining],tblDaily[EntryDate],DATE(2026,7,20),tblDaily[WardCode],"FAE")=0,"",SUMIFS(tblDaily[Remaining],tblDaily[EntryDate],DATE(2026,7,20),tblDaily[WardCode],"FAE")),"")</f>
        <v/>
      </c>
      <c r="P267" s="15" t="str">
        <f t="shared" si="6"/>
        <v/>
      </c>
    </row>
    <row r="268" spans="1:16" x14ac:dyDescent="0.25">
      <c r="A268" s="14">
        <v>21</v>
      </c>
      <c r="B268" s="14" t="str">
        <f>IFERROR(IF(SUMIFS(tblDaily[Admissions],tblDaily[EntryDate],DATE(2026,7,21),tblDaily[WardCode],"MAE")=0,"",SUMIFS(tblDaily[Admissions],tblDaily[EntryDate],DATE(2026,7,21),tblDaily[WardCode],"MAE")),"")</f>
        <v/>
      </c>
      <c r="C268" s="14" t="str">
        <f>IFERROR(IF(SUMIFS(tblDaily[Discharges],tblDaily[EntryDate],DATE(2026,7,21),tblDaily[WardCode],"MAE")=0,"",SUMIFS(tblDaily[Discharges],tblDaily[EntryDate],DATE(2026,7,21),tblDaily[WardCode],"MAE")),"")</f>
        <v/>
      </c>
      <c r="D268" s="14" t="str">
        <f>IFERROR(IF(SUMIFS(tblDaily[Deaths],tblDaily[EntryDate],DATE(2026,7,21),tblDaily[WardCode],"MAE")=0,"",SUMIFS(tblDaily[Deaths],tblDaily[EntryDate],DATE(2026,7,21),tblDaily[WardCode],"MAE")),"")</f>
        <v/>
      </c>
      <c r="E268" s="14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14" t="str">
        <f>IFERROR(IF(SUMIFS(tblDaily[TransfersIn],tblDaily[EntryDate],DATE(2026,7,21),tblDaily[WardCode],"MAE")=0,"",SUMIFS(tblDaily[TransfersIn],tblDaily[EntryDate],DATE(2026,7,21),tblDaily[WardCode],"MAE")),"")</f>
        <v/>
      </c>
      <c r="G268" s="14" t="str">
        <f>IFERROR(IF(SUMIFS(tblDaily[TransfersOut],tblDaily[EntryDate],DATE(2026,7,21),tblDaily[WardCode],"MAE")=0,"",SUMIFS(tblDaily[TransfersOut],tblDaily[EntryDate],DATE(2026,7,21),tblDaily[WardCode],"MAE")),"")</f>
        <v/>
      </c>
      <c r="H268" s="14" t="str">
        <f>IFERROR(IF(SUMIFS(tblDaily[Remaining],tblDaily[EntryDate],DATE(2026,7,21),tblDaily[WardCode],"MAE")=0,"",SUMIFS(tblDaily[Remaining],tblDaily[EntryDate],DATE(2026,7,21),tblDaily[WardCode],"MAE")),"")</f>
        <v/>
      </c>
      <c r="I268" s="14" t="str">
        <f>IFERROR(IF(SUMIFS(tblDaily[Admissions],tblDaily[EntryDate],DATE(2026,7,21),tblDaily[WardCode],"FAE")=0,"",SUMIFS(tblDaily[Admissions],tblDaily[EntryDate],DATE(2026,7,21),tblDaily[WardCode],"FAE")),"")</f>
        <v/>
      </c>
      <c r="J268" s="14" t="str">
        <f>IFERROR(IF(SUMIFS(tblDaily[Discharges],tblDaily[EntryDate],DATE(2026,7,21),tblDaily[WardCode],"FAE")=0,"",SUMIFS(tblDaily[Discharges],tblDaily[EntryDate],DATE(2026,7,21),tblDaily[WardCode],"FAE")),"")</f>
        <v/>
      </c>
      <c r="K268" s="14" t="str">
        <f>IFERROR(IF(SUMIFS(tblDaily[Deaths],tblDaily[EntryDate],DATE(2026,7,21),tblDaily[WardCode],"FAE")=0,"",SUMIFS(tblDaily[Deaths],tblDaily[EntryDate],DATE(2026,7,21),tblDaily[WardCode],"FAE")),"")</f>
        <v/>
      </c>
      <c r="L268" s="14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14" t="str">
        <f>IFERROR(IF(SUMIFS(tblDaily[TransfersIn],tblDaily[EntryDate],DATE(2026,7,21),tblDaily[WardCode],"FAE")=0,"",SUMIFS(tblDaily[TransfersIn],tblDaily[EntryDate],DATE(2026,7,21),tblDaily[WardCode],"FAE")),"")</f>
        <v/>
      </c>
      <c r="N268" s="14" t="str">
        <f>IFERROR(IF(SUMIFS(tblDaily[TransfersOut],tblDaily[EntryDate],DATE(2026,7,21),tblDaily[WardCode],"FAE")=0,"",SUMIFS(tblDaily[TransfersOut],tblDaily[EntryDate],DATE(2026,7,21),tblDaily[WardCode],"FAE")),"")</f>
        <v/>
      </c>
      <c r="O268" s="14" t="str">
        <f>IFERROR(IF(SUMIFS(tblDaily[Remaining],tblDaily[EntryDate],DATE(2026,7,21),tblDaily[WardCode],"FAE")=0,"",SUMIFS(tblDaily[Remaining],tblDaily[EntryDate],DATE(2026,7,21),tblDaily[WardCode],"FAE")),"")</f>
        <v/>
      </c>
      <c r="P268" s="15" t="str">
        <f t="shared" si="6"/>
        <v/>
      </c>
    </row>
    <row r="269" spans="1:16" x14ac:dyDescent="0.25">
      <c r="A269" s="14">
        <v>22</v>
      </c>
      <c r="B269" s="14" t="str">
        <f>IFERROR(IF(SUMIFS(tblDaily[Admissions],tblDaily[EntryDate],DATE(2026,7,22),tblDaily[WardCode],"MAE")=0,"",SUMIFS(tblDaily[Admissions],tblDaily[EntryDate],DATE(2026,7,22),tblDaily[WardCode],"MAE")),"")</f>
        <v/>
      </c>
      <c r="C269" s="14" t="str">
        <f>IFERROR(IF(SUMIFS(tblDaily[Discharges],tblDaily[EntryDate],DATE(2026,7,22),tblDaily[WardCode],"MAE")=0,"",SUMIFS(tblDaily[Discharges],tblDaily[EntryDate],DATE(2026,7,22),tblDaily[WardCode],"MAE")),"")</f>
        <v/>
      </c>
      <c r="D269" s="14" t="str">
        <f>IFERROR(IF(SUMIFS(tblDaily[Deaths],tblDaily[EntryDate],DATE(2026,7,22),tblDaily[WardCode],"MAE")=0,"",SUMIFS(tblDaily[Deaths],tblDaily[EntryDate],DATE(2026,7,22),tblDaily[WardCode],"MAE")),"")</f>
        <v/>
      </c>
      <c r="E269" s="14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14" t="str">
        <f>IFERROR(IF(SUMIFS(tblDaily[TransfersIn],tblDaily[EntryDate],DATE(2026,7,22),tblDaily[WardCode],"MAE")=0,"",SUMIFS(tblDaily[TransfersIn],tblDaily[EntryDate],DATE(2026,7,22),tblDaily[WardCode],"MAE")),"")</f>
        <v/>
      </c>
      <c r="G269" s="14" t="str">
        <f>IFERROR(IF(SUMIFS(tblDaily[TransfersOut],tblDaily[EntryDate],DATE(2026,7,22),tblDaily[WardCode],"MAE")=0,"",SUMIFS(tblDaily[TransfersOut],tblDaily[EntryDate],DATE(2026,7,22),tblDaily[WardCode],"MAE")),"")</f>
        <v/>
      </c>
      <c r="H269" s="14" t="str">
        <f>IFERROR(IF(SUMIFS(tblDaily[Remaining],tblDaily[EntryDate],DATE(2026,7,22),tblDaily[WardCode],"MAE")=0,"",SUMIFS(tblDaily[Remaining],tblDaily[EntryDate],DATE(2026,7,22),tblDaily[WardCode],"MAE")),"")</f>
        <v/>
      </c>
      <c r="I269" s="14" t="str">
        <f>IFERROR(IF(SUMIFS(tblDaily[Admissions],tblDaily[EntryDate],DATE(2026,7,22),tblDaily[WardCode],"FAE")=0,"",SUMIFS(tblDaily[Admissions],tblDaily[EntryDate],DATE(2026,7,22),tblDaily[WardCode],"FAE")),"")</f>
        <v/>
      </c>
      <c r="J269" s="14" t="str">
        <f>IFERROR(IF(SUMIFS(tblDaily[Discharges],tblDaily[EntryDate],DATE(2026,7,22),tblDaily[WardCode],"FAE")=0,"",SUMIFS(tblDaily[Discharges],tblDaily[EntryDate],DATE(2026,7,22),tblDaily[WardCode],"FAE")),"")</f>
        <v/>
      </c>
      <c r="K269" s="14" t="str">
        <f>IFERROR(IF(SUMIFS(tblDaily[Deaths],tblDaily[EntryDate],DATE(2026,7,22),tblDaily[WardCode],"FAE")=0,"",SUMIFS(tblDaily[Deaths],tblDaily[EntryDate],DATE(2026,7,22),tblDaily[WardCode],"FAE")),"")</f>
        <v/>
      </c>
      <c r="L269" s="14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14" t="str">
        <f>IFERROR(IF(SUMIFS(tblDaily[TransfersIn],tblDaily[EntryDate],DATE(2026,7,22),tblDaily[WardCode],"FAE")=0,"",SUMIFS(tblDaily[TransfersIn],tblDaily[EntryDate],DATE(2026,7,22),tblDaily[WardCode],"FAE")),"")</f>
        <v/>
      </c>
      <c r="N269" s="14" t="str">
        <f>IFERROR(IF(SUMIFS(tblDaily[TransfersOut],tblDaily[EntryDate],DATE(2026,7,22),tblDaily[WardCode],"FAE")=0,"",SUMIFS(tblDaily[TransfersOut],tblDaily[EntryDate],DATE(2026,7,22),tblDaily[WardCode],"FAE")),"")</f>
        <v/>
      </c>
      <c r="O269" s="14" t="str">
        <f>IFERROR(IF(SUMIFS(tblDaily[Remaining],tblDaily[EntryDate],DATE(2026,7,22),tblDaily[WardCode],"FAE")=0,"",SUMIFS(tblDaily[Remaining],tblDaily[EntryDate],DATE(2026,7,22),tblDaily[WardCode],"FAE")),"")</f>
        <v/>
      </c>
      <c r="P269" s="15" t="str">
        <f t="shared" si="6"/>
        <v/>
      </c>
    </row>
    <row r="270" spans="1:16" x14ac:dyDescent="0.25">
      <c r="A270" s="14">
        <v>23</v>
      </c>
      <c r="B270" s="14" t="str">
        <f>IFERROR(IF(SUMIFS(tblDaily[Admissions],tblDaily[EntryDate],DATE(2026,7,23),tblDaily[WardCode],"MAE")=0,"",SUMIFS(tblDaily[Admissions],tblDaily[EntryDate],DATE(2026,7,23),tblDaily[WardCode],"MAE")),"")</f>
        <v/>
      </c>
      <c r="C270" s="14" t="str">
        <f>IFERROR(IF(SUMIFS(tblDaily[Discharges],tblDaily[EntryDate],DATE(2026,7,23),tblDaily[WardCode],"MAE")=0,"",SUMIFS(tblDaily[Discharges],tblDaily[EntryDate],DATE(2026,7,23),tblDaily[WardCode],"MAE")),"")</f>
        <v/>
      </c>
      <c r="D270" s="14" t="str">
        <f>IFERROR(IF(SUMIFS(tblDaily[Deaths],tblDaily[EntryDate],DATE(2026,7,23),tblDaily[WardCode],"MAE")=0,"",SUMIFS(tblDaily[Deaths],tblDaily[EntryDate],DATE(2026,7,23),tblDaily[WardCode],"MAE")),"")</f>
        <v/>
      </c>
      <c r="E270" s="14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14" t="str">
        <f>IFERROR(IF(SUMIFS(tblDaily[TransfersIn],tblDaily[EntryDate],DATE(2026,7,23),tblDaily[WardCode],"MAE")=0,"",SUMIFS(tblDaily[TransfersIn],tblDaily[EntryDate],DATE(2026,7,23),tblDaily[WardCode],"MAE")),"")</f>
        <v/>
      </c>
      <c r="G270" s="14" t="str">
        <f>IFERROR(IF(SUMIFS(tblDaily[TransfersOut],tblDaily[EntryDate],DATE(2026,7,23),tblDaily[WardCode],"MAE")=0,"",SUMIFS(tblDaily[TransfersOut],tblDaily[EntryDate],DATE(2026,7,23),tblDaily[WardCode],"MAE")),"")</f>
        <v/>
      </c>
      <c r="H270" s="14" t="str">
        <f>IFERROR(IF(SUMIFS(tblDaily[Remaining],tblDaily[EntryDate],DATE(2026,7,23),tblDaily[WardCode],"MAE")=0,"",SUMIFS(tblDaily[Remaining],tblDaily[EntryDate],DATE(2026,7,23),tblDaily[WardCode],"MAE")),"")</f>
        <v/>
      </c>
      <c r="I270" s="14" t="str">
        <f>IFERROR(IF(SUMIFS(tblDaily[Admissions],tblDaily[EntryDate],DATE(2026,7,23),tblDaily[WardCode],"FAE")=0,"",SUMIFS(tblDaily[Admissions],tblDaily[EntryDate],DATE(2026,7,23),tblDaily[WardCode],"FAE")),"")</f>
        <v/>
      </c>
      <c r="J270" s="14" t="str">
        <f>IFERROR(IF(SUMIFS(tblDaily[Discharges],tblDaily[EntryDate],DATE(2026,7,23),tblDaily[WardCode],"FAE")=0,"",SUMIFS(tblDaily[Discharges],tblDaily[EntryDate],DATE(2026,7,23),tblDaily[WardCode],"FAE")),"")</f>
        <v/>
      </c>
      <c r="K270" s="14" t="str">
        <f>IFERROR(IF(SUMIFS(tblDaily[Deaths],tblDaily[EntryDate],DATE(2026,7,23),tblDaily[WardCode],"FAE")=0,"",SUMIFS(tblDaily[Deaths],tblDaily[EntryDate],DATE(2026,7,23),tblDaily[WardCode],"FAE")),"")</f>
        <v/>
      </c>
      <c r="L270" s="14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14" t="str">
        <f>IFERROR(IF(SUMIFS(tblDaily[TransfersIn],tblDaily[EntryDate],DATE(2026,7,23),tblDaily[WardCode],"FAE")=0,"",SUMIFS(tblDaily[TransfersIn],tblDaily[EntryDate],DATE(2026,7,23),tblDaily[WardCode],"FAE")),"")</f>
        <v/>
      </c>
      <c r="N270" s="14" t="str">
        <f>IFERROR(IF(SUMIFS(tblDaily[TransfersOut],tblDaily[EntryDate],DATE(2026,7,23),tblDaily[WardCode],"FAE")=0,"",SUMIFS(tblDaily[TransfersOut],tblDaily[EntryDate],DATE(2026,7,23),tblDaily[WardCode],"FAE")),"")</f>
        <v/>
      </c>
      <c r="O270" s="14" t="str">
        <f>IFERROR(IF(SUMIFS(tblDaily[Remaining],tblDaily[EntryDate],DATE(2026,7,23),tblDaily[WardCode],"FAE")=0,"",SUMIFS(tblDaily[Remaining],tblDaily[EntryDate],DATE(2026,7,23),tblDaily[WardCode],"FAE")),"")</f>
        <v/>
      </c>
      <c r="P270" s="15" t="str">
        <f t="shared" si="6"/>
        <v/>
      </c>
    </row>
    <row r="271" spans="1:16" x14ac:dyDescent="0.25">
      <c r="A271" s="14">
        <v>24</v>
      </c>
      <c r="B271" s="14" t="str">
        <f>IFERROR(IF(SUMIFS(tblDaily[Admissions],tblDaily[EntryDate],DATE(2026,7,24),tblDaily[WardCode],"MAE")=0,"",SUMIFS(tblDaily[Admissions],tblDaily[EntryDate],DATE(2026,7,24),tblDaily[WardCode],"MAE")),"")</f>
        <v/>
      </c>
      <c r="C271" s="14" t="str">
        <f>IFERROR(IF(SUMIFS(tblDaily[Discharges],tblDaily[EntryDate],DATE(2026,7,24),tblDaily[WardCode],"MAE")=0,"",SUMIFS(tblDaily[Discharges],tblDaily[EntryDate],DATE(2026,7,24),tblDaily[WardCode],"MAE")),"")</f>
        <v/>
      </c>
      <c r="D271" s="14" t="str">
        <f>IFERROR(IF(SUMIFS(tblDaily[Deaths],tblDaily[EntryDate],DATE(2026,7,24),tblDaily[WardCode],"MAE")=0,"",SUMIFS(tblDaily[Deaths],tblDaily[EntryDate],DATE(2026,7,24),tblDaily[WardCode],"MAE")),"")</f>
        <v/>
      </c>
      <c r="E271" s="14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14" t="str">
        <f>IFERROR(IF(SUMIFS(tblDaily[TransfersIn],tblDaily[EntryDate],DATE(2026,7,24),tblDaily[WardCode],"MAE")=0,"",SUMIFS(tblDaily[TransfersIn],tblDaily[EntryDate],DATE(2026,7,24),tblDaily[WardCode],"MAE")),"")</f>
        <v/>
      </c>
      <c r="G271" s="14" t="str">
        <f>IFERROR(IF(SUMIFS(tblDaily[TransfersOut],tblDaily[EntryDate],DATE(2026,7,24),tblDaily[WardCode],"MAE")=0,"",SUMIFS(tblDaily[TransfersOut],tblDaily[EntryDate],DATE(2026,7,24),tblDaily[WardCode],"MAE")),"")</f>
        <v/>
      </c>
      <c r="H271" s="14" t="str">
        <f>IFERROR(IF(SUMIFS(tblDaily[Remaining],tblDaily[EntryDate],DATE(2026,7,24),tblDaily[WardCode],"MAE")=0,"",SUMIFS(tblDaily[Remaining],tblDaily[EntryDate],DATE(2026,7,24),tblDaily[WardCode],"MAE")),"")</f>
        <v/>
      </c>
      <c r="I271" s="14" t="str">
        <f>IFERROR(IF(SUMIFS(tblDaily[Admissions],tblDaily[EntryDate],DATE(2026,7,24),tblDaily[WardCode],"FAE")=0,"",SUMIFS(tblDaily[Admissions],tblDaily[EntryDate],DATE(2026,7,24),tblDaily[WardCode],"FAE")),"")</f>
        <v/>
      </c>
      <c r="J271" s="14" t="str">
        <f>IFERROR(IF(SUMIFS(tblDaily[Discharges],tblDaily[EntryDate],DATE(2026,7,24),tblDaily[WardCode],"FAE")=0,"",SUMIFS(tblDaily[Discharges],tblDaily[EntryDate],DATE(2026,7,24),tblDaily[WardCode],"FAE")),"")</f>
        <v/>
      </c>
      <c r="K271" s="14" t="str">
        <f>IFERROR(IF(SUMIFS(tblDaily[Deaths],tblDaily[EntryDate],DATE(2026,7,24),tblDaily[WardCode],"FAE")=0,"",SUMIFS(tblDaily[Deaths],tblDaily[EntryDate],DATE(2026,7,24),tblDaily[WardCode],"FAE")),"")</f>
        <v/>
      </c>
      <c r="L271" s="14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14" t="str">
        <f>IFERROR(IF(SUMIFS(tblDaily[TransfersIn],tblDaily[EntryDate],DATE(2026,7,24),tblDaily[WardCode],"FAE")=0,"",SUMIFS(tblDaily[TransfersIn],tblDaily[EntryDate],DATE(2026,7,24),tblDaily[WardCode],"FAE")),"")</f>
        <v/>
      </c>
      <c r="N271" s="14" t="str">
        <f>IFERROR(IF(SUMIFS(tblDaily[TransfersOut],tblDaily[EntryDate],DATE(2026,7,24),tblDaily[WardCode],"FAE")=0,"",SUMIFS(tblDaily[TransfersOut],tblDaily[EntryDate],DATE(2026,7,24),tblDaily[WardCode],"FAE")),"")</f>
        <v/>
      </c>
      <c r="O271" s="14" t="str">
        <f>IFERROR(IF(SUMIFS(tblDaily[Remaining],tblDaily[EntryDate],DATE(2026,7,24),tblDaily[WardCode],"FAE")=0,"",SUMIFS(tblDaily[Remaining],tblDaily[EntryDate],DATE(2026,7,24),tblDaily[WardCode],"FAE")),"")</f>
        <v/>
      </c>
      <c r="P271" s="15" t="str">
        <f t="shared" si="6"/>
        <v/>
      </c>
    </row>
    <row r="272" spans="1:16" x14ac:dyDescent="0.25">
      <c r="A272" s="14">
        <v>25</v>
      </c>
      <c r="B272" s="14" t="str">
        <f>IFERROR(IF(SUMIFS(tblDaily[Admissions],tblDaily[EntryDate],DATE(2026,7,25),tblDaily[WardCode],"MAE")=0,"",SUMIFS(tblDaily[Admissions],tblDaily[EntryDate],DATE(2026,7,25),tblDaily[WardCode],"MAE")),"")</f>
        <v/>
      </c>
      <c r="C272" s="14" t="str">
        <f>IFERROR(IF(SUMIFS(tblDaily[Discharges],tblDaily[EntryDate],DATE(2026,7,25),tblDaily[WardCode],"MAE")=0,"",SUMIFS(tblDaily[Discharges],tblDaily[EntryDate],DATE(2026,7,25),tblDaily[WardCode],"MAE")),"")</f>
        <v/>
      </c>
      <c r="D272" s="14" t="str">
        <f>IFERROR(IF(SUMIFS(tblDaily[Deaths],tblDaily[EntryDate],DATE(2026,7,25),tblDaily[WardCode],"MAE")=0,"",SUMIFS(tblDaily[Deaths],tblDaily[EntryDate],DATE(2026,7,25),tblDaily[WardCode],"MAE")),"")</f>
        <v/>
      </c>
      <c r="E272" s="14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14" t="str">
        <f>IFERROR(IF(SUMIFS(tblDaily[TransfersIn],tblDaily[EntryDate],DATE(2026,7,25),tblDaily[WardCode],"MAE")=0,"",SUMIFS(tblDaily[TransfersIn],tblDaily[EntryDate],DATE(2026,7,25),tblDaily[WardCode],"MAE")),"")</f>
        <v/>
      </c>
      <c r="G272" s="14" t="str">
        <f>IFERROR(IF(SUMIFS(tblDaily[TransfersOut],tblDaily[EntryDate],DATE(2026,7,25),tblDaily[WardCode],"MAE")=0,"",SUMIFS(tblDaily[TransfersOut],tblDaily[EntryDate],DATE(2026,7,25),tblDaily[WardCode],"MAE")),"")</f>
        <v/>
      </c>
      <c r="H272" s="14" t="str">
        <f>IFERROR(IF(SUMIFS(tblDaily[Remaining],tblDaily[EntryDate],DATE(2026,7,25),tblDaily[WardCode],"MAE")=0,"",SUMIFS(tblDaily[Remaining],tblDaily[EntryDate],DATE(2026,7,25),tblDaily[WardCode],"MAE")),"")</f>
        <v/>
      </c>
      <c r="I272" s="14" t="str">
        <f>IFERROR(IF(SUMIFS(tblDaily[Admissions],tblDaily[EntryDate],DATE(2026,7,25),tblDaily[WardCode],"FAE")=0,"",SUMIFS(tblDaily[Admissions],tblDaily[EntryDate],DATE(2026,7,25),tblDaily[WardCode],"FAE")),"")</f>
        <v/>
      </c>
      <c r="J272" s="14" t="str">
        <f>IFERROR(IF(SUMIFS(tblDaily[Discharges],tblDaily[EntryDate],DATE(2026,7,25),tblDaily[WardCode],"FAE")=0,"",SUMIFS(tblDaily[Discharges],tblDaily[EntryDate],DATE(2026,7,25),tblDaily[WardCode],"FAE")),"")</f>
        <v/>
      </c>
      <c r="K272" s="14" t="str">
        <f>IFERROR(IF(SUMIFS(tblDaily[Deaths],tblDaily[EntryDate],DATE(2026,7,25),tblDaily[WardCode],"FAE")=0,"",SUMIFS(tblDaily[Deaths],tblDaily[EntryDate],DATE(2026,7,25),tblDaily[WardCode],"FAE")),"")</f>
        <v/>
      </c>
      <c r="L272" s="14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14" t="str">
        <f>IFERROR(IF(SUMIFS(tblDaily[TransfersIn],tblDaily[EntryDate],DATE(2026,7,25),tblDaily[WardCode],"FAE")=0,"",SUMIFS(tblDaily[TransfersIn],tblDaily[EntryDate],DATE(2026,7,25),tblDaily[WardCode],"FAE")),"")</f>
        <v/>
      </c>
      <c r="N272" s="14" t="str">
        <f>IFERROR(IF(SUMIFS(tblDaily[TransfersOut],tblDaily[EntryDate],DATE(2026,7,25),tblDaily[WardCode],"FAE")=0,"",SUMIFS(tblDaily[TransfersOut],tblDaily[EntryDate],DATE(2026,7,25),tblDaily[WardCode],"FAE")),"")</f>
        <v/>
      </c>
      <c r="O272" s="14" t="str">
        <f>IFERROR(IF(SUMIFS(tblDaily[Remaining],tblDaily[EntryDate],DATE(2026,7,25),tblDaily[WardCode],"FAE")=0,"",SUMIFS(tblDaily[Remaining],tblDaily[EntryDate],DATE(2026,7,25),tblDaily[WardCode],"FAE")),"")</f>
        <v/>
      </c>
      <c r="P272" s="15" t="str">
        <f t="shared" si="6"/>
        <v/>
      </c>
    </row>
    <row r="273" spans="1:16" x14ac:dyDescent="0.25">
      <c r="A273" s="14">
        <v>26</v>
      </c>
      <c r="B273" s="14" t="str">
        <f>IFERROR(IF(SUMIFS(tblDaily[Admissions],tblDaily[EntryDate],DATE(2026,7,26),tblDaily[WardCode],"MAE")=0,"",SUMIFS(tblDaily[Admissions],tblDaily[EntryDate],DATE(2026,7,26),tblDaily[WardCode],"MAE")),"")</f>
        <v/>
      </c>
      <c r="C273" s="14" t="str">
        <f>IFERROR(IF(SUMIFS(tblDaily[Discharges],tblDaily[EntryDate],DATE(2026,7,26),tblDaily[WardCode],"MAE")=0,"",SUMIFS(tblDaily[Discharges],tblDaily[EntryDate],DATE(2026,7,26),tblDaily[WardCode],"MAE")),"")</f>
        <v/>
      </c>
      <c r="D273" s="14" t="str">
        <f>IFERROR(IF(SUMIFS(tblDaily[Deaths],tblDaily[EntryDate],DATE(2026,7,26),tblDaily[WardCode],"MAE")=0,"",SUMIFS(tblDaily[Deaths],tblDaily[EntryDate],DATE(2026,7,26),tblDaily[WardCode],"MAE")),"")</f>
        <v/>
      </c>
      <c r="E273" s="14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14" t="str">
        <f>IFERROR(IF(SUMIFS(tblDaily[TransfersIn],tblDaily[EntryDate],DATE(2026,7,26),tblDaily[WardCode],"MAE")=0,"",SUMIFS(tblDaily[TransfersIn],tblDaily[EntryDate],DATE(2026,7,26),tblDaily[WardCode],"MAE")),"")</f>
        <v/>
      </c>
      <c r="G273" s="14" t="str">
        <f>IFERROR(IF(SUMIFS(tblDaily[TransfersOut],tblDaily[EntryDate],DATE(2026,7,26),tblDaily[WardCode],"MAE")=0,"",SUMIFS(tblDaily[TransfersOut],tblDaily[EntryDate],DATE(2026,7,26),tblDaily[WardCode],"MAE")),"")</f>
        <v/>
      </c>
      <c r="H273" s="14" t="str">
        <f>IFERROR(IF(SUMIFS(tblDaily[Remaining],tblDaily[EntryDate],DATE(2026,7,26),tblDaily[WardCode],"MAE")=0,"",SUMIFS(tblDaily[Remaining],tblDaily[EntryDate],DATE(2026,7,26),tblDaily[WardCode],"MAE")),"")</f>
        <v/>
      </c>
      <c r="I273" s="14" t="str">
        <f>IFERROR(IF(SUMIFS(tblDaily[Admissions],tblDaily[EntryDate],DATE(2026,7,26),tblDaily[WardCode],"FAE")=0,"",SUMIFS(tblDaily[Admissions],tblDaily[EntryDate],DATE(2026,7,26),tblDaily[WardCode],"FAE")),"")</f>
        <v/>
      </c>
      <c r="J273" s="14" t="str">
        <f>IFERROR(IF(SUMIFS(tblDaily[Discharges],tblDaily[EntryDate],DATE(2026,7,26),tblDaily[WardCode],"FAE")=0,"",SUMIFS(tblDaily[Discharges],tblDaily[EntryDate],DATE(2026,7,26),tblDaily[WardCode],"FAE")),"")</f>
        <v/>
      </c>
      <c r="K273" s="14" t="str">
        <f>IFERROR(IF(SUMIFS(tblDaily[Deaths],tblDaily[EntryDate],DATE(2026,7,26),tblDaily[WardCode],"FAE")=0,"",SUMIFS(tblDaily[Deaths],tblDaily[EntryDate],DATE(2026,7,26),tblDaily[WardCode],"FAE")),"")</f>
        <v/>
      </c>
      <c r="L273" s="14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14" t="str">
        <f>IFERROR(IF(SUMIFS(tblDaily[TransfersIn],tblDaily[EntryDate],DATE(2026,7,26),tblDaily[WardCode],"FAE")=0,"",SUMIFS(tblDaily[TransfersIn],tblDaily[EntryDate],DATE(2026,7,26),tblDaily[WardCode],"FAE")),"")</f>
        <v/>
      </c>
      <c r="N273" s="14" t="str">
        <f>IFERROR(IF(SUMIFS(tblDaily[TransfersOut],tblDaily[EntryDate],DATE(2026,7,26),tblDaily[WardCode],"FAE")=0,"",SUMIFS(tblDaily[TransfersOut],tblDaily[EntryDate],DATE(2026,7,26),tblDaily[WardCode],"FAE")),"")</f>
        <v/>
      </c>
      <c r="O273" s="14" t="str">
        <f>IFERROR(IF(SUMIFS(tblDaily[Remaining],tblDaily[EntryDate],DATE(2026,7,26),tblDaily[WardCode],"FAE")=0,"",SUMIFS(tblDaily[Remaining],tblDaily[EntryDate],DATE(2026,7,26),tblDaily[WardCode],"FAE")),"")</f>
        <v/>
      </c>
      <c r="P273" s="15" t="str">
        <f t="shared" si="6"/>
        <v/>
      </c>
    </row>
    <row r="274" spans="1:16" x14ac:dyDescent="0.25">
      <c r="A274" s="14">
        <v>27</v>
      </c>
      <c r="B274" s="14" t="str">
        <f>IFERROR(IF(SUMIFS(tblDaily[Admissions],tblDaily[EntryDate],DATE(2026,7,27),tblDaily[WardCode],"MAE")=0,"",SUMIFS(tblDaily[Admissions],tblDaily[EntryDate],DATE(2026,7,27),tblDaily[WardCode],"MAE")),"")</f>
        <v/>
      </c>
      <c r="C274" s="14" t="str">
        <f>IFERROR(IF(SUMIFS(tblDaily[Discharges],tblDaily[EntryDate],DATE(2026,7,27),tblDaily[WardCode],"MAE")=0,"",SUMIFS(tblDaily[Discharges],tblDaily[EntryDate],DATE(2026,7,27),tblDaily[WardCode],"MAE")),"")</f>
        <v/>
      </c>
      <c r="D274" s="14" t="str">
        <f>IFERROR(IF(SUMIFS(tblDaily[Deaths],tblDaily[EntryDate],DATE(2026,7,27),tblDaily[WardCode],"MAE")=0,"",SUMIFS(tblDaily[Deaths],tblDaily[EntryDate],DATE(2026,7,27),tblDaily[WardCode],"MAE")),"")</f>
        <v/>
      </c>
      <c r="E274" s="14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14" t="str">
        <f>IFERROR(IF(SUMIFS(tblDaily[TransfersIn],tblDaily[EntryDate],DATE(2026,7,27),tblDaily[WardCode],"MAE")=0,"",SUMIFS(tblDaily[TransfersIn],tblDaily[EntryDate],DATE(2026,7,27),tblDaily[WardCode],"MAE")),"")</f>
        <v/>
      </c>
      <c r="G274" s="14" t="str">
        <f>IFERROR(IF(SUMIFS(tblDaily[TransfersOut],tblDaily[EntryDate],DATE(2026,7,27),tblDaily[WardCode],"MAE")=0,"",SUMIFS(tblDaily[TransfersOut],tblDaily[EntryDate],DATE(2026,7,27),tblDaily[WardCode],"MAE")),"")</f>
        <v/>
      </c>
      <c r="H274" s="14" t="str">
        <f>IFERROR(IF(SUMIFS(tblDaily[Remaining],tblDaily[EntryDate],DATE(2026,7,27),tblDaily[WardCode],"MAE")=0,"",SUMIFS(tblDaily[Remaining],tblDaily[EntryDate],DATE(2026,7,27),tblDaily[WardCode],"MAE")),"")</f>
        <v/>
      </c>
      <c r="I274" s="14" t="str">
        <f>IFERROR(IF(SUMIFS(tblDaily[Admissions],tblDaily[EntryDate],DATE(2026,7,27),tblDaily[WardCode],"FAE")=0,"",SUMIFS(tblDaily[Admissions],tblDaily[EntryDate],DATE(2026,7,27),tblDaily[WardCode],"FAE")),"")</f>
        <v/>
      </c>
      <c r="J274" s="14" t="str">
        <f>IFERROR(IF(SUMIFS(tblDaily[Discharges],tblDaily[EntryDate],DATE(2026,7,27),tblDaily[WardCode],"FAE")=0,"",SUMIFS(tblDaily[Discharges],tblDaily[EntryDate],DATE(2026,7,27),tblDaily[WardCode],"FAE")),"")</f>
        <v/>
      </c>
      <c r="K274" s="14" t="str">
        <f>IFERROR(IF(SUMIFS(tblDaily[Deaths],tblDaily[EntryDate],DATE(2026,7,27),tblDaily[WardCode],"FAE")=0,"",SUMIFS(tblDaily[Deaths],tblDaily[EntryDate],DATE(2026,7,27),tblDaily[WardCode],"FAE")),"")</f>
        <v/>
      </c>
      <c r="L274" s="14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14" t="str">
        <f>IFERROR(IF(SUMIFS(tblDaily[TransfersIn],tblDaily[EntryDate],DATE(2026,7,27),tblDaily[WardCode],"FAE")=0,"",SUMIFS(tblDaily[TransfersIn],tblDaily[EntryDate],DATE(2026,7,27),tblDaily[WardCode],"FAE")),"")</f>
        <v/>
      </c>
      <c r="N274" s="14" t="str">
        <f>IFERROR(IF(SUMIFS(tblDaily[TransfersOut],tblDaily[EntryDate],DATE(2026,7,27),tblDaily[WardCode],"FAE")=0,"",SUMIFS(tblDaily[TransfersOut],tblDaily[EntryDate],DATE(2026,7,27),tblDaily[WardCode],"FAE")),"")</f>
        <v/>
      </c>
      <c r="O274" s="14" t="str">
        <f>IFERROR(IF(SUMIFS(tblDaily[Remaining],tblDaily[EntryDate],DATE(2026,7,27),tblDaily[WardCode],"FAE")=0,"",SUMIFS(tblDaily[Remaining],tblDaily[EntryDate],DATE(2026,7,27),tblDaily[WardCode],"FAE")),"")</f>
        <v/>
      </c>
      <c r="P274" s="15" t="str">
        <f t="shared" si="6"/>
        <v/>
      </c>
    </row>
    <row r="275" spans="1:16" x14ac:dyDescent="0.25">
      <c r="A275" s="14">
        <v>28</v>
      </c>
      <c r="B275" s="14" t="str">
        <f>IFERROR(IF(SUMIFS(tblDaily[Admissions],tblDaily[EntryDate],DATE(2026,7,28),tblDaily[WardCode],"MAE")=0,"",SUMIFS(tblDaily[Admissions],tblDaily[EntryDate],DATE(2026,7,28),tblDaily[WardCode],"MAE")),"")</f>
        <v/>
      </c>
      <c r="C275" s="14" t="str">
        <f>IFERROR(IF(SUMIFS(tblDaily[Discharges],tblDaily[EntryDate],DATE(2026,7,28),tblDaily[WardCode],"MAE")=0,"",SUMIFS(tblDaily[Discharges],tblDaily[EntryDate],DATE(2026,7,28),tblDaily[WardCode],"MAE")),"")</f>
        <v/>
      </c>
      <c r="D275" s="14" t="str">
        <f>IFERROR(IF(SUMIFS(tblDaily[Deaths],tblDaily[EntryDate],DATE(2026,7,28),tblDaily[WardCode],"MAE")=0,"",SUMIFS(tblDaily[Deaths],tblDaily[EntryDate],DATE(2026,7,28),tblDaily[WardCode],"MAE")),"")</f>
        <v/>
      </c>
      <c r="E275" s="14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14" t="str">
        <f>IFERROR(IF(SUMIFS(tblDaily[TransfersIn],tblDaily[EntryDate],DATE(2026,7,28),tblDaily[WardCode],"MAE")=0,"",SUMIFS(tblDaily[TransfersIn],tblDaily[EntryDate],DATE(2026,7,28),tblDaily[WardCode],"MAE")),"")</f>
        <v/>
      </c>
      <c r="G275" s="14" t="str">
        <f>IFERROR(IF(SUMIFS(tblDaily[TransfersOut],tblDaily[EntryDate],DATE(2026,7,28),tblDaily[WardCode],"MAE")=0,"",SUMIFS(tblDaily[TransfersOut],tblDaily[EntryDate],DATE(2026,7,28),tblDaily[WardCode],"MAE")),"")</f>
        <v/>
      </c>
      <c r="H275" s="14" t="str">
        <f>IFERROR(IF(SUMIFS(tblDaily[Remaining],tblDaily[EntryDate],DATE(2026,7,28),tblDaily[WardCode],"MAE")=0,"",SUMIFS(tblDaily[Remaining],tblDaily[EntryDate],DATE(2026,7,28),tblDaily[WardCode],"MAE")),"")</f>
        <v/>
      </c>
      <c r="I275" s="14" t="str">
        <f>IFERROR(IF(SUMIFS(tblDaily[Admissions],tblDaily[EntryDate],DATE(2026,7,28),tblDaily[WardCode],"FAE")=0,"",SUMIFS(tblDaily[Admissions],tblDaily[EntryDate],DATE(2026,7,28),tblDaily[WardCode],"FAE")),"")</f>
        <v/>
      </c>
      <c r="J275" s="14" t="str">
        <f>IFERROR(IF(SUMIFS(tblDaily[Discharges],tblDaily[EntryDate],DATE(2026,7,28),tblDaily[WardCode],"FAE")=0,"",SUMIFS(tblDaily[Discharges],tblDaily[EntryDate],DATE(2026,7,28),tblDaily[WardCode],"FAE")),"")</f>
        <v/>
      </c>
      <c r="K275" s="14" t="str">
        <f>IFERROR(IF(SUMIFS(tblDaily[Deaths],tblDaily[EntryDate],DATE(2026,7,28),tblDaily[WardCode],"FAE")=0,"",SUMIFS(tblDaily[Deaths],tblDaily[EntryDate],DATE(2026,7,28),tblDaily[WardCode],"FAE")),"")</f>
        <v/>
      </c>
      <c r="L275" s="14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14" t="str">
        <f>IFERROR(IF(SUMIFS(tblDaily[TransfersIn],tblDaily[EntryDate],DATE(2026,7,28),tblDaily[WardCode],"FAE")=0,"",SUMIFS(tblDaily[TransfersIn],tblDaily[EntryDate],DATE(2026,7,28),tblDaily[WardCode],"FAE")),"")</f>
        <v/>
      </c>
      <c r="N275" s="14" t="str">
        <f>IFERROR(IF(SUMIFS(tblDaily[TransfersOut],tblDaily[EntryDate],DATE(2026,7,28),tblDaily[WardCode],"FAE")=0,"",SUMIFS(tblDaily[TransfersOut],tblDaily[EntryDate],DATE(2026,7,28),tblDaily[WardCode],"FAE")),"")</f>
        <v/>
      </c>
      <c r="O275" s="14" t="str">
        <f>IFERROR(IF(SUMIFS(tblDaily[Remaining],tblDaily[EntryDate],DATE(2026,7,28),tblDaily[WardCode],"FAE")=0,"",SUMIFS(tblDaily[Remaining],tblDaily[EntryDate],DATE(2026,7,28),tblDaily[WardCode],"FAE")),"")</f>
        <v/>
      </c>
      <c r="P275" s="15" t="str">
        <f t="shared" si="6"/>
        <v/>
      </c>
    </row>
    <row r="276" spans="1:16" x14ac:dyDescent="0.25">
      <c r="A276" s="14">
        <v>29</v>
      </c>
      <c r="B276" s="14" t="str">
        <f>IFERROR(IF(SUMIFS(tblDaily[Admissions],tblDaily[EntryDate],DATE(2026,7,29),tblDaily[WardCode],"MAE")=0,"",SUMIFS(tblDaily[Admissions],tblDaily[EntryDate],DATE(2026,7,29),tblDaily[WardCode],"MAE")),"")</f>
        <v/>
      </c>
      <c r="C276" s="14" t="str">
        <f>IFERROR(IF(SUMIFS(tblDaily[Discharges],tblDaily[EntryDate],DATE(2026,7,29),tblDaily[WardCode],"MAE")=0,"",SUMIFS(tblDaily[Discharges],tblDaily[EntryDate],DATE(2026,7,29),tblDaily[WardCode],"MAE")),"")</f>
        <v/>
      </c>
      <c r="D276" s="14" t="str">
        <f>IFERROR(IF(SUMIFS(tblDaily[Deaths],tblDaily[EntryDate],DATE(2026,7,29),tblDaily[WardCode],"MAE")=0,"",SUMIFS(tblDaily[Deaths],tblDaily[EntryDate],DATE(2026,7,29),tblDaily[WardCode],"MAE")),"")</f>
        <v/>
      </c>
      <c r="E276" s="14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14" t="str">
        <f>IFERROR(IF(SUMIFS(tblDaily[TransfersIn],tblDaily[EntryDate],DATE(2026,7,29),tblDaily[WardCode],"MAE")=0,"",SUMIFS(tblDaily[TransfersIn],tblDaily[EntryDate],DATE(2026,7,29),tblDaily[WardCode],"MAE")),"")</f>
        <v/>
      </c>
      <c r="G276" s="14" t="str">
        <f>IFERROR(IF(SUMIFS(tblDaily[TransfersOut],tblDaily[EntryDate],DATE(2026,7,29),tblDaily[WardCode],"MAE")=0,"",SUMIFS(tblDaily[TransfersOut],tblDaily[EntryDate],DATE(2026,7,29),tblDaily[WardCode],"MAE")),"")</f>
        <v/>
      </c>
      <c r="H276" s="14" t="str">
        <f>IFERROR(IF(SUMIFS(tblDaily[Remaining],tblDaily[EntryDate],DATE(2026,7,29),tblDaily[WardCode],"MAE")=0,"",SUMIFS(tblDaily[Remaining],tblDaily[EntryDate],DATE(2026,7,29),tblDaily[WardCode],"MAE")),"")</f>
        <v/>
      </c>
      <c r="I276" s="14" t="str">
        <f>IFERROR(IF(SUMIFS(tblDaily[Admissions],tblDaily[EntryDate],DATE(2026,7,29),tblDaily[WardCode],"FAE")=0,"",SUMIFS(tblDaily[Admissions],tblDaily[EntryDate],DATE(2026,7,29),tblDaily[WardCode],"FAE")),"")</f>
        <v/>
      </c>
      <c r="J276" s="14" t="str">
        <f>IFERROR(IF(SUMIFS(tblDaily[Discharges],tblDaily[EntryDate],DATE(2026,7,29),tblDaily[WardCode],"FAE")=0,"",SUMIFS(tblDaily[Discharges],tblDaily[EntryDate],DATE(2026,7,29),tblDaily[WardCode],"FAE")),"")</f>
        <v/>
      </c>
      <c r="K276" s="14" t="str">
        <f>IFERROR(IF(SUMIFS(tblDaily[Deaths],tblDaily[EntryDate],DATE(2026,7,29),tblDaily[WardCode],"FAE")=0,"",SUMIFS(tblDaily[Deaths],tblDaily[EntryDate],DATE(2026,7,29),tblDaily[WardCode],"FAE")),"")</f>
        <v/>
      </c>
      <c r="L276" s="14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14" t="str">
        <f>IFERROR(IF(SUMIFS(tblDaily[TransfersIn],tblDaily[EntryDate],DATE(2026,7,29),tblDaily[WardCode],"FAE")=0,"",SUMIFS(tblDaily[TransfersIn],tblDaily[EntryDate],DATE(2026,7,29),tblDaily[WardCode],"FAE")),"")</f>
        <v/>
      </c>
      <c r="N276" s="14" t="str">
        <f>IFERROR(IF(SUMIFS(tblDaily[TransfersOut],tblDaily[EntryDate],DATE(2026,7,29),tblDaily[WardCode],"FAE")=0,"",SUMIFS(tblDaily[TransfersOut],tblDaily[EntryDate],DATE(2026,7,29),tblDaily[WardCode],"FAE")),"")</f>
        <v/>
      </c>
      <c r="O276" s="14" t="str">
        <f>IFERROR(IF(SUMIFS(tblDaily[Remaining],tblDaily[EntryDate],DATE(2026,7,29),tblDaily[WardCode],"FAE")=0,"",SUMIFS(tblDaily[Remaining],tblDaily[EntryDate],DATE(2026,7,29),tblDaily[WardCode],"FAE")),"")</f>
        <v/>
      </c>
      <c r="P276" s="15" t="str">
        <f t="shared" si="6"/>
        <v/>
      </c>
    </row>
    <row r="277" spans="1:16" x14ac:dyDescent="0.25">
      <c r="A277" s="14">
        <v>30</v>
      </c>
      <c r="B277" s="14" t="str">
        <f>IFERROR(IF(SUMIFS(tblDaily[Admissions],tblDaily[EntryDate],DATE(2026,7,30),tblDaily[WardCode],"MAE")=0,"",SUMIFS(tblDaily[Admissions],tblDaily[EntryDate],DATE(2026,7,30),tblDaily[WardCode],"MAE")),"")</f>
        <v/>
      </c>
      <c r="C277" s="14" t="str">
        <f>IFERROR(IF(SUMIFS(tblDaily[Discharges],tblDaily[EntryDate],DATE(2026,7,30),tblDaily[WardCode],"MAE")=0,"",SUMIFS(tblDaily[Discharges],tblDaily[EntryDate],DATE(2026,7,30),tblDaily[WardCode],"MAE")),"")</f>
        <v/>
      </c>
      <c r="D277" s="14" t="str">
        <f>IFERROR(IF(SUMIFS(tblDaily[Deaths],tblDaily[EntryDate],DATE(2026,7,30),tblDaily[WardCode],"MAE")=0,"",SUMIFS(tblDaily[Deaths],tblDaily[EntryDate],DATE(2026,7,30),tblDaily[WardCode],"MAE")),"")</f>
        <v/>
      </c>
      <c r="E277" s="14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14" t="str">
        <f>IFERROR(IF(SUMIFS(tblDaily[TransfersIn],tblDaily[EntryDate],DATE(2026,7,30),tblDaily[WardCode],"MAE")=0,"",SUMIFS(tblDaily[TransfersIn],tblDaily[EntryDate],DATE(2026,7,30),tblDaily[WardCode],"MAE")),"")</f>
        <v/>
      </c>
      <c r="G277" s="14" t="str">
        <f>IFERROR(IF(SUMIFS(tblDaily[TransfersOut],tblDaily[EntryDate],DATE(2026,7,30),tblDaily[WardCode],"MAE")=0,"",SUMIFS(tblDaily[TransfersOut],tblDaily[EntryDate],DATE(2026,7,30),tblDaily[WardCode],"MAE")),"")</f>
        <v/>
      </c>
      <c r="H277" s="14" t="str">
        <f>IFERROR(IF(SUMIFS(tblDaily[Remaining],tblDaily[EntryDate],DATE(2026,7,30),tblDaily[WardCode],"MAE")=0,"",SUMIFS(tblDaily[Remaining],tblDaily[EntryDate],DATE(2026,7,30),tblDaily[WardCode],"MAE")),"")</f>
        <v/>
      </c>
      <c r="I277" s="14" t="str">
        <f>IFERROR(IF(SUMIFS(tblDaily[Admissions],tblDaily[EntryDate],DATE(2026,7,30),tblDaily[WardCode],"FAE")=0,"",SUMIFS(tblDaily[Admissions],tblDaily[EntryDate],DATE(2026,7,30),tblDaily[WardCode],"FAE")),"")</f>
        <v/>
      </c>
      <c r="J277" s="14" t="str">
        <f>IFERROR(IF(SUMIFS(tblDaily[Discharges],tblDaily[EntryDate],DATE(2026,7,30),tblDaily[WardCode],"FAE")=0,"",SUMIFS(tblDaily[Discharges],tblDaily[EntryDate],DATE(2026,7,30),tblDaily[WardCode],"FAE")),"")</f>
        <v/>
      </c>
      <c r="K277" s="14" t="str">
        <f>IFERROR(IF(SUMIFS(tblDaily[Deaths],tblDaily[EntryDate],DATE(2026,7,30),tblDaily[WardCode],"FAE")=0,"",SUMIFS(tblDaily[Deaths],tblDaily[EntryDate],DATE(2026,7,30),tblDaily[WardCode],"FAE")),"")</f>
        <v/>
      </c>
      <c r="L277" s="14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14" t="str">
        <f>IFERROR(IF(SUMIFS(tblDaily[TransfersIn],tblDaily[EntryDate],DATE(2026,7,30),tblDaily[WardCode],"FAE")=0,"",SUMIFS(tblDaily[TransfersIn],tblDaily[EntryDate],DATE(2026,7,30),tblDaily[WardCode],"FAE")),"")</f>
        <v/>
      </c>
      <c r="N277" s="14" t="str">
        <f>IFERROR(IF(SUMIFS(tblDaily[TransfersOut],tblDaily[EntryDate],DATE(2026,7,30),tblDaily[WardCode],"FAE")=0,"",SUMIFS(tblDaily[TransfersOut],tblDaily[EntryDate],DATE(2026,7,30),tblDaily[WardCode],"FAE")),"")</f>
        <v/>
      </c>
      <c r="O277" s="14" t="str">
        <f>IFERROR(IF(SUMIFS(tblDaily[Remaining],tblDaily[EntryDate],DATE(2026,7,30),tblDaily[WardCode],"FAE")=0,"",SUMIFS(tblDaily[Remaining],tblDaily[EntryDate],DATE(2026,7,30),tblDaily[WardCode],"FAE")),"")</f>
        <v/>
      </c>
      <c r="P277" s="15" t="str">
        <f t="shared" si="6"/>
        <v/>
      </c>
    </row>
    <row r="278" spans="1:16" x14ac:dyDescent="0.25">
      <c r="A278" s="14">
        <v>31</v>
      </c>
      <c r="B278" s="14" t="str">
        <f>IFERROR(IF(SUMIFS(tblDaily[Admissions],tblDaily[EntryDate],DATE(2026,7,31),tblDaily[WardCode],"MAE")=0,"",SUMIFS(tblDaily[Admissions],tblDaily[EntryDate],DATE(2026,7,31),tblDaily[WardCode],"MAE")),"")</f>
        <v/>
      </c>
      <c r="C278" s="14" t="str">
        <f>IFERROR(IF(SUMIFS(tblDaily[Discharges],tblDaily[EntryDate],DATE(2026,7,31),tblDaily[WardCode],"MAE")=0,"",SUMIFS(tblDaily[Discharges],tblDaily[EntryDate],DATE(2026,7,31),tblDaily[WardCode],"MAE")),"")</f>
        <v/>
      </c>
      <c r="D278" s="14" t="str">
        <f>IFERROR(IF(SUMIFS(tblDaily[Deaths],tblDaily[EntryDate],DATE(2026,7,31),tblDaily[WardCode],"MAE")=0,"",SUMIFS(tblDaily[Deaths],tblDaily[EntryDate],DATE(2026,7,31),tblDaily[WardCode],"MAE")),"")</f>
        <v/>
      </c>
      <c r="E278" s="14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14" t="str">
        <f>IFERROR(IF(SUMIFS(tblDaily[TransfersIn],tblDaily[EntryDate],DATE(2026,7,31),tblDaily[WardCode],"MAE")=0,"",SUMIFS(tblDaily[TransfersIn],tblDaily[EntryDate],DATE(2026,7,31),tblDaily[WardCode],"MAE")),"")</f>
        <v/>
      </c>
      <c r="G278" s="14" t="str">
        <f>IFERROR(IF(SUMIFS(tblDaily[TransfersOut],tblDaily[EntryDate],DATE(2026,7,31),tblDaily[WardCode],"MAE")=0,"",SUMIFS(tblDaily[TransfersOut],tblDaily[EntryDate],DATE(2026,7,31),tblDaily[WardCode],"MAE")),"")</f>
        <v/>
      </c>
      <c r="H278" s="14" t="str">
        <f>IFERROR(IF(SUMIFS(tblDaily[Remaining],tblDaily[EntryDate],DATE(2026,7,31),tblDaily[WardCode],"MAE")=0,"",SUMIFS(tblDaily[Remaining],tblDaily[EntryDate],DATE(2026,7,31),tblDaily[WardCode],"MAE")),"")</f>
        <v/>
      </c>
      <c r="I278" s="14" t="str">
        <f>IFERROR(IF(SUMIFS(tblDaily[Admissions],tblDaily[EntryDate],DATE(2026,7,31),tblDaily[WardCode],"FAE")=0,"",SUMIFS(tblDaily[Admissions],tblDaily[EntryDate],DATE(2026,7,31),tblDaily[WardCode],"FAE")),"")</f>
        <v/>
      </c>
      <c r="J278" s="14" t="str">
        <f>IFERROR(IF(SUMIFS(tblDaily[Discharges],tblDaily[EntryDate],DATE(2026,7,31),tblDaily[WardCode],"FAE")=0,"",SUMIFS(tblDaily[Discharges],tblDaily[EntryDate],DATE(2026,7,31),tblDaily[WardCode],"FAE")),"")</f>
        <v/>
      </c>
      <c r="K278" s="14" t="str">
        <f>IFERROR(IF(SUMIFS(tblDaily[Deaths],tblDaily[EntryDate],DATE(2026,7,31),tblDaily[WardCode],"FAE")=0,"",SUMIFS(tblDaily[Deaths],tblDaily[EntryDate],DATE(2026,7,31),tblDaily[WardCode],"FAE")),"")</f>
        <v/>
      </c>
      <c r="L278" s="14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14" t="str">
        <f>IFERROR(IF(SUMIFS(tblDaily[TransfersIn],tblDaily[EntryDate],DATE(2026,7,31),tblDaily[WardCode],"FAE")=0,"",SUMIFS(tblDaily[TransfersIn],tblDaily[EntryDate],DATE(2026,7,31),tblDaily[WardCode],"FAE")),"")</f>
        <v/>
      </c>
      <c r="N278" s="14" t="str">
        <f>IFERROR(IF(SUMIFS(tblDaily[TransfersOut],tblDaily[EntryDate],DATE(2026,7,31),tblDaily[WardCode],"FAE")=0,"",SUMIFS(tblDaily[TransfersOut],tblDaily[EntryDate],DATE(2026,7,31),tblDaily[WardCode],"FAE")),"")</f>
        <v/>
      </c>
      <c r="O278" s="14" t="str">
        <f>IFERROR(IF(SUMIFS(tblDaily[Remaining],tblDaily[EntryDate],DATE(2026,7,31),tblDaily[WardCode],"FAE")=0,"",SUMIFS(tblDaily[Remaining],tblDaily[EntryDate],DATE(2026,7,31),tblDaily[WardCode],"FAE")),"")</f>
        <v/>
      </c>
      <c r="P278" s="15" t="str">
        <f t="shared" si="6"/>
        <v/>
      </c>
    </row>
    <row r="279" spans="1:16" x14ac:dyDescent="0.25">
      <c r="A279" s="9" t="s">
        <v>112</v>
      </c>
      <c r="B279" s="9">
        <f>SUMIFS(tblDaily[Admissions],tblDaily[Month],7,tblDaily[WardCode],"MAE") - SUMIFS(tblDaily[DeathsUnder24Hrs],tblDaily[Month],7,tblDaily[WardCode],"MAE")</f>
        <v>0</v>
      </c>
      <c r="C279" s="9">
        <f>SUMIFS(tblDaily[Discharges],tblDaily[Month],7,tblDaily[WardCode],"MAE")</f>
        <v>0</v>
      </c>
      <c r="D279" s="9">
        <f>SUMIFS(tblDaily[Deaths],tblDaily[Month],7,tblDaily[WardCode],"MAE")</f>
        <v>0</v>
      </c>
      <c r="E279" s="9">
        <f>SUMIFS(tblDaily[DeathsUnder24Hrs],tblDaily[Month],7,tblDaily[WardCode],"MAE")</f>
        <v>0</v>
      </c>
      <c r="F279" s="9">
        <f>SUMIFS(tblDaily[TransfersIn],tblDaily[Month],7,tblDaily[WardCode],"MAE")</f>
        <v>0</v>
      </c>
      <c r="G279" s="9">
        <f>SUMIFS(tblDaily[TransfersOut],tblDaily[Month],7,tblDaily[WardCode],"MAE")</f>
        <v>0</v>
      </c>
      <c r="H279" s="9">
        <f>SUMIFS(tblDaily[Remaining],tblDaily[Month],7,tblDaily[WardCode],"MAE")</f>
        <v>0</v>
      </c>
      <c r="I279" s="9">
        <f>SUMIFS(tblDaily[Admissions],tblDaily[Month],7,tblDaily[WardCode],"FAE") - SUMIFS(tblDaily[DeathsUnder24Hrs],tblDaily[Month],7,tblDaily[WardCode],"FAE")</f>
        <v>0</v>
      </c>
      <c r="J279" s="9">
        <f>SUMIFS(tblDaily[Discharges],tblDaily[Month],7,tblDaily[WardCode],"FAE")</f>
        <v>0</v>
      </c>
      <c r="K279" s="9">
        <f>SUMIFS(tblDaily[Deaths],tblDaily[Month],7,tblDaily[WardCode],"FAE")</f>
        <v>0</v>
      </c>
      <c r="L279" s="9">
        <f>SUMIFS(tblDaily[DeathsUnder24Hrs],tblDaily[Month],7,tblDaily[WardCode],"FAE")</f>
        <v>0</v>
      </c>
      <c r="M279" s="9">
        <f>SUMIFS(tblDaily[TransfersIn],tblDaily[Month],7,tblDaily[WardCode],"FAE")</f>
        <v>0</v>
      </c>
      <c r="N279" s="9">
        <f>SUMIFS(tblDaily[TransfersOut],tblDaily[Month],7,tblDaily[WardCode],"FAE")</f>
        <v>0</v>
      </c>
      <c r="O279" s="9">
        <f>SUMIFS(tblDaily[Remaining],tblDaily[Month],7,tblDaily[WardCode],"FAE")</f>
        <v>0</v>
      </c>
      <c r="P279" s="9">
        <f>H279 + O279</f>
        <v>0</v>
      </c>
    </row>
    <row r="281" spans="1:16" ht="18.75" x14ac:dyDescent="0.25">
      <c r="A281" s="39" t="s">
        <v>0</v>
      </c>
      <c r="B281" s="29"/>
      <c r="C281" s="2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6" ht="15.75" x14ac:dyDescent="0.25">
      <c r="A282" s="35" t="s">
        <v>101</v>
      </c>
      <c r="B282" s="29"/>
      <c r="C282" s="2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</row>
    <row r="283" spans="1:16" x14ac:dyDescent="0.25">
      <c r="A283" s="1" t="s">
        <v>4</v>
      </c>
      <c r="B283" s="2" t="s">
        <v>2</v>
      </c>
      <c r="E283" s="1" t="s">
        <v>102</v>
      </c>
      <c r="F283" s="1" t="s">
        <v>121</v>
      </c>
      <c r="M283" s="1" t="s">
        <v>104</v>
      </c>
      <c r="N283" s="1" t="s">
        <v>67</v>
      </c>
    </row>
    <row r="284" spans="1:16" x14ac:dyDescent="0.25">
      <c r="A284" s="1" t="s">
        <v>105</v>
      </c>
      <c r="B284" s="11">
        <f>IFERROR(SUMIFS(tblDaily[Remaining],tblDaily[EntryDate],DATE(2026,7,31),tblDaily[WardCode],"MAE"),0)</f>
        <v>0</v>
      </c>
      <c r="I284" s="11">
        <f>IFERROR(SUMIFS(tblDaily[Remaining],tblDaily[EntryDate],DATE(2026,7,31),tblDaily[WardCode],"FAE"),0)</f>
        <v>0</v>
      </c>
    </row>
    <row r="285" spans="1:16" x14ac:dyDescent="0.25">
      <c r="A285" s="1" t="s">
        <v>106</v>
      </c>
      <c r="B285" s="11">
        <f>IFERROR(INDEX(tblWardConfig[BedComplement],MATCH("MAE",tblWardConfig[WardCode],0)),0)</f>
        <v>10</v>
      </c>
      <c r="I285" s="11">
        <f>IFERROR(INDEX(tblWardConfig[BedComplement],MATCH("FAE",tblWardConfig[WardCode],0)),0)</f>
        <v>10</v>
      </c>
      <c r="O285" s="12">
        <f>B285+I285</f>
        <v>20</v>
      </c>
    </row>
    <row r="286" spans="1:16" x14ac:dyDescent="0.25">
      <c r="A286" s="3" t="s">
        <v>122</v>
      </c>
      <c r="B286" s="38" t="s">
        <v>119</v>
      </c>
      <c r="C286" s="29"/>
      <c r="D286" s="29"/>
      <c r="E286" s="29"/>
      <c r="F286" s="29"/>
      <c r="G286" s="29"/>
      <c r="H286" s="29"/>
      <c r="I286" s="40" t="s">
        <v>120</v>
      </c>
      <c r="J286" s="29"/>
      <c r="K286" s="29"/>
      <c r="L286" s="29"/>
      <c r="M286" s="29"/>
      <c r="N286" s="29"/>
      <c r="O286" s="29"/>
      <c r="P286" s="13" t="s">
        <v>112</v>
      </c>
    </row>
    <row r="287" spans="1:16" x14ac:dyDescent="0.25">
      <c r="A287" s="3" t="s">
        <v>122</v>
      </c>
      <c r="B287" s="3" t="s">
        <v>123</v>
      </c>
      <c r="C287" s="3" t="s">
        <v>124</v>
      </c>
      <c r="D287" s="3" t="s">
        <v>125</v>
      </c>
      <c r="E287" s="3" t="s">
        <v>126</v>
      </c>
      <c r="F287" s="3" t="s">
        <v>127</v>
      </c>
      <c r="G287" s="3" t="s">
        <v>128</v>
      </c>
      <c r="H287" s="3" t="s">
        <v>129</v>
      </c>
      <c r="I287" s="3" t="s">
        <v>123</v>
      </c>
      <c r="J287" s="3" t="s">
        <v>124</v>
      </c>
      <c r="K287" s="3" t="s">
        <v>125</v>
      </c>
      <c r="L287" s="3" t="s">
        <v>126</v>
      </c>
      <c r="M287" s="3" t="s">
        <v>127</v>
      </c>
      <c r="N287" s="3" t="s">
        <v>128</v>
      </c>
      <c r="O287" s="3" t="s">
        <v>129</v>
      </c>
      <c r="P287" s="3" t="s">
        <v>130</v>
      </c>
    </row>
    <row r="288" spans="1:16" x14ac:dyDescent="0.25">
      <c r="A288" s="14">
        <v>1</v>
      </c>
      <c r="B288" s="14" t="str">
        <f>IFERROR(IF(SUMIFS(tblDaily[Admissions],tblDaily[EntryDate],DATE(2026,8,1),tblDaily[WardCode],"MAE")=0,"",SUMIFS(tblDaily[Admissions],tblDaily[EntryDate],DATE(2026,8,1),tblDaily[WardCode],"MAE")),"")</f>
        <v/>
      </c>
      <c r="C288" s="14" t="str">
        <f>IFERROR(IF(SUMIFS(tblDaily[Discharges],tblDaily[EntryDate],DATE(2026,8,1),tblDaily[WardCode],"MAE")=0,"",SUMIFS(tblDaily[Discharges],tblDaily[EntryDate],DATE(2026,8,1),tblDaily[WardCode],"MAE")),"")</f>
        <v/>
      </c>
      <c r="D288" s="14" t="str">
        <f>IFERROR(IF(SUMIFS(tblDaily[Deaths],tblDaily[EntryDate],DATE(2026,8,1),tblDaily[WardCode],"MAE")=0,"",SUMIFS(tblDaily[Deaths],tblDaily[EntryDate],DATE(2026,8,1),tblDaily[WardCode],"MAE")),"")</f>
        <v/>
      </c>
      <c r="E288" s="14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14" t="str">
        <f>IFERROR(IF(SUMIFS(tblDaily[TransfersIn],tblDaily[EntryDate],DATE(2026,8,1),tblDaily[WardCode],"MAE")=0,"",SUMIFS(tblDaily[TransfersIn],tblDaily[EntryDate],DATE(2026,8,1),tblDaily[WardCode],"MAE")),"")</f>
        <v/>
      </c>
      <c r="G288" s="14" t="str">
        <f>IFERROR(IF(SUMIFS(tblDaily[TransfersOut],tblDaily[EntryDate],DATE(2026,8,1),tblDaily[WardCode],"MAE")=0,"",SUMIFS(tblDaily[TransfersOut],tblDaily[EntryDate],DATE(2026,8,1),tblDaily[WardCode],"MAE")),"")</f>
        <v/>
      </c>
      <c r="H288" s="14" t="str">
        <f>IFERROR(IF(SUMIFS(tblDaily[Remaining],tblDaily[EntryDate],DATE(2026,8,1),tblDaily[WardCode],"MAE")=0,"",SUMIFS(tblDaily[Remaining],tblDaily[EntryDate],DATE(2026,8,1),tblDaily[WardCode],"MAE")),"")</f>
        <v/>
      </c>
      <c r="I288" s="14" t="str">
        <f>IFERROR(IF(SUMIFS(tblDaily[Admissions],tblDaily[EntryDate],DATE(2026,8,1),tblDaily[WardCode],"FAE")=0,"",SUMIFS(tblDaily[Admissions],tblDaily[EntryDate],DATE(2026,8,1),tblDaily[WardCode],"FAE")),"")</f>
        <v/>
      </c>
      <c r="J288" s="14" t="str">
        <f>IFERROR(IF(SUMIFS(tblDaily[Discharges],tblDaily[EntryDate],DATE(2026,8,1),tblDaily[WardCode],"FAE")=0,"",SUMIFS(tblDaily[Discharges],tblDaily[EntryDate],DATE(2026,8,1),tblDaily[WardCode],"FAE")),"")</f>
        <v/>
      </c>
      <c r="K288" s="14" t="str">
        <f>IFERROR(IF(SUMIFS(tblDaily[Deaths],tblDaily[EntryDate],DATE(2026,8,1),tblDaily[WardCode],"FAE")=0,"",SUMIFS(tblDaily[Deaths],tblDaily[EntryDate],DATE(2026,8,1),tblDaily[WardCode],"FAE")),"")</f>
        <v/>
      </c>
      <c r="L288" s="14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14" t="str">
        <f>IFERROR(IF(SUMIFS(tblDaily[TransfersIn],tblDaily[EntryDate],DATE(2026,8,1),tblDaily[WardCode],"FAE")=0,"",SUMIFS(tblDaily[TransfersIn],tblDaily[EntryDate],DATE(2026,8,1),tblDaily[WardCode],"FAE")),"")</f>
        <v/>
      </c>
      <c r="N288" s="14" t="str">
        <f>IFERROR(IF(SUMIFS(tblDaily[TransfersOut],tblDaily[EntryDate],DATE(2026,8,1),tblDaily[WardCode],"FAE")=0,"",SUMIFS(tblDaily[TransfersOut],tblDaily[EntryDate],DATE(2026,8,1),tblDaily[WardCode],"FAE")),"")</f>
        <v/>
      </c>
      <c r="O288" s="14" t="str">
        <f>IFERROR(IF(SUMIFS(tblDaily[Remaining],tblDaily[EntryDate],DATE(2026,8,1),tblDaily[WardCode],"FAE")=0,"",SUMIFS(tblDaily[Remaining],tblDaily[EntryDate],DATE(2026,8,1),tblDaily[WardCode],"FAE")),"")</f>
        <v/>
      </c>
      <c r="P288" s="15" t="str">
        <f t="shared" ref="P288:P318" si="7">IF(AND(H288="", O288=""), "", N(H288) + N(O288))</f>
        <v/>
      </c>
    </row>
    <row r="289" spans="1:16" x14ac:dyDescent="0.25">
      <c r="A289" s="14">
        <v>2</v>
      </c>
      <c r="B289" s="14" t="str">
        <f>IFERROR(IF(SUMIFS(tblDaily[Admissions],tblDaily[EntryDate],DATE(2026,8,2),tblDaily[WardCode],"MAE")=0,"",SUMIFS(tblDaily[Admissions],tblDaily[EntryDate],DATE(2026,8,2),tblDaily[WardCode],"MAE")),"")</f>
        <v/>
      </c>
      <c r="C289" s="14" t="str">
        <f>IFERROR(IF(SUMIFS(tblDaily[Discharges],tblDaily[EntryDate],DATE(2026,8,2),tblDaily[WardCode],"MAE")=0,"",SUMIFS(tblDaily[Discharges],tblDaily[EntryDate],DATE(2026,8,2),tblDaily[WardCode],"MAE")),"")</f>
        <v/>
      </c>
      <c r="D289" s="14" t="str">
        <f>IFERROR(IF(SUMIFS(tblDaily[Deaths],tblDaily[EntryDate],DATE(2026,8,2),tblDaily[WardCode],"MAE")=0,"",SUMIFS(tblDaily[Deaths],tblDaily[EntryDate],DATE(2026,8,2),tblDaily[WardCode],"MAE")),"")</f>
        <v/>
      </c>
      <c r="E289" s="14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14" t="str">
        <f>IFERROR(IF(SUMIFS(tblDaily[TransfersIn],tblDaily[EntryDate],DATE(2026,8,2),tblDaily[WardCode],"MAE")=0,"",SUMIFS(tblDaily[TransfersIn],tblDaily[EntryDate],DATE(2026,8,2),tblDaily[WardCode],"MAE")),"")</f>
        <v/>
      </c>
      <c r="G289" s="14" t="str">
        <f>IFERROR(IF(SUMIFS(tblDaily[TransfersOut],tblDaily[EntryDate],DATE(2026,8,2),tblDaily[WardCode],"MAE")=0,"",SUMIFS(tblDaily[TransfersOut],tblDaily[EntryDate],DATE(2026,8,2),tblDaily[WardCode],"MAE")),"")</f>
        <v/>
      </c>
      <c r="H289" s="14" t="str">
        <f>IFERROR(IF(SUMIFS(tblDaily[Remaining],tblDaily[EntryDate],DATE(2026,8,2),tblDaily[WardCode],"MAE")=0,"",SUMIFS(tblDaily[Remaining],tblDaily[EntryDate],DATE(2026,8,2),tblDaily[WardCode],"MAE")),"")</f>
        <v/>
      </c>
      <c r="I289" s="14" t="str">
        <f>IFERROR(IF(SUMIFS(tblDaily[Admissions],tblDaily[EntryDate],DATE(2026,8,2),tblDaily[WardCode],"FAE")=0,"",SUMIFS(tblDaily[Admissions],tblDaily[EntryDate],DATE(2026,8,2),tblDaily[WardCode],"FAE")),"")</f>
        <v/>
      </c>
      <c r="J289" s="14" t="str">
        <f>IFERROR(IF(SUMIFS(tblDaily[Discharges],tblDaily[EntryDate],DATE(2026,8,2),tblDaily[WardCode],"FAE")=0,"",SUMIFS(tblDaily[Discharges],tblDaily[EntryDate],DATE(2026,8,2),tblDaily[WardCode],"FAE")),"")</f>
        <v/>
      </c>
      <c r="K289" s="14" t="str">
        <f>IFERROR(IF(SUMIFS(tblDaily[Deaths],tblDaily[EntryDate],DATE(2026,8,2),tblDaily[WardCode],"FAE")=0,"",SUMIFS(tblDaily[Deaths],tblDaily[EntryDate],DATE(2026,8,2),tblDaily[WardCode],"FAE")),"")</f>
        <v/>
      </c>
      <c r="L289" s="14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14" t="str">
        <f>IFERROR(IF(SUMIFS(tblDaily[TransfersIn],tblDaily[EntryDate],DATE(2026,8,2),tblDaily[WardCode],"FAE")=0,"",SUMIFS(tblDaily[TransfersIn],tblDaily[EntryDate],DATE(2026,8,2),tblDaily[WardCode],"FAE")),"")</f>
        <v/>
      </c>
      <c r="N289" s="14" t="str">
        <f>IFERROR(IF(SUMIFS(tblDaily[TransfersOut],tblDaily[EntryDate],DATE(2026,8,2),tblDaily[WardCode],"FAE")=0,"",SUMIFS(tblDaily[TransfersOut],tblDaily[EntryDate],DATE(2026,8,2),tblDaily[WardCode],"FAE")),"")</f>
        <v/>
      </c>
      <c r="O289" s="14" t="str">
        <f>IFERROR(IF(SUMIFS(tblDaily[Remaining],tblDaily[EntryDate],DATE(2026,8,2),tblDaily[WardCode],"FAE")=0,"",SUMIFS(tblDaily[Remaining],tblDaily[EntryDate],DATE(2026,8,2),tblDaily[WardCode],"FAE")),"")</f>
        <v/>
      </c>
      <c r="P289" s="15" t="str">
        <f t="shared" si="7"/>
        <v/>
      </c>
    </row>
    <row r="290" spans="1:16" x14ac:dyDescent="0.25">
      <c r="A290" s="14">
        <v>3</v>
      </c>
      <c r="B290" s="14" t="str">
        <f>IFERROR(IF(SUMIFS(tblDaily[Admissions],tblDaily[EntryDate],DATE(2026,8,3),tblDaily[WardCode],"MAE")=0,"",SUMIFS(tblDaily[Admissions],tblDaily[EntryDate],DATE(2026,8,3),tblDaily[WardCode],"MAE")),"")</f>
        <v/>
      </c>
      <c r="C290" s="14" t="str">
        <f>IFERROR(IF(SUMIFS(tblDaily[Discharges],tblDaily[EntryDate],DATE(2026,8,3),tblDaily[WardCode],"MAE")=0,"",SUMIFS(tblDaily[Discharges],tblDaily[EntryDate],DATE(2026,8,3),tblDaily[WardCode],"MAE")),"")</f>
        <v/>
      </c>
      <c r="D290" s="14" t="str">
        <f>IFERROR(IF(SUMIFS(tblDaily[Deaths],tblDaily[EntryDate],DATE(2026,8,3),tblDaily[WardCode],"MAE")=0,"",SUMIFS(tblDaily[Deaths],tblDaily[EntryDate],DATE(2026,8,3),tblDaily[WardCode],"MAE")),"")</f>
        <v/>
      </c>
      <c r="E290" s="14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14" t="str">
        <f>IFERROR(IF(SUMIFS(tblDaily[TransfersIn],tblDaily[EntryDate],DATE(2026,8,3),tblDaily[WardCode],"MAE")=0,"",SUMIFS(tblDaily[TransfersIn],tblDaily[EntryDate],DATE(2026,8,3),tblDaily[WardCode],"MAE")),"")</f>
        <v/>
      </c>
      <c r="G290" s="14" t="str">
        <f>IFERROR(IF(SUMIFS(tblDaily[TransfersOut],tblDaily[EntryDate],DATE(2026,8,3),tblDaily[WardCode],"MAE")=0,"",SUMIFS(tblDaily[TransfersOut],tblDaily[EntryDate],DATE(2026,8,3),tblDaily[WardCode],"MAE")),"")</f>
        <v/>
      </c>
      <c r="H290" s="14" t="str">
        <f>IFERROR(IF(SUMIFS(tblDaily[Remaining],tblDaily[EntryDate],DATE(2026,8,3),tblDaily[WardCode],"MAE")=0,"",SUMIFS(tblDaily[Remaining],tblDaily[EntryDate],DATE(2026,8,3),tblDaily[WardCode],"MAE")),"")</f>
        <v/>
      </c>
      <c r="I290" s="14" t="str">
        <f>IFERROR(IF(SUMIFS(tblDaily[Admissions],tblDaily[EntryDate],DATE(2026,8,3),tblDaily[WardCode],"FAE")=0,"",SUMIFS(tblDaily[Admissions],tblDaily[EntryDate],DATE(2026,8,3),tblDaily[WardCode],"FAE")),"")</f>
        <v/>
      </c>
      <c r="J290" s="14" t="str">
        <f>IFERROR(IF(SUMIFS(tblDaily[Discharges],tblDaily[EntryDate],DATE(2026,8,3),tblDaily[WardCode],"FAE")=0,"",SUMIFS(tblDaily[Discharges],tblDaily[EntryDate],DATE(2026,8,3),tblDaily[WardCode],"FAE")),"")</f>
        <v/>
      </c>
      <c r="K290" s="14" t="str">
        <f>IFERROR(IF(SUMIFS(tblDaily[Deaths],tblDaily[EntryDate],DATE(2026,8,3),tblDaily[WardCode],"FAE")=0,"",SUMIFS(tblDaily[Deaths],tblDaily[EntryDate],DATE(2026,8,3),tblDaily[WardCode],"FAE")),"")</f>
        <v/>
      </c>
      <c r="L290" s="14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14" t="str">
        <f>IFERROR(IF(SUMIFS(tblDaily[TransfersIn],tblDaily[EntryDate],DATE(2026,8,3),tblDaily[WardCode],"FAE")=0,"",SUMIFS(tblDaily[TransfersIn],tblDaily[EntryDate],DATE(2026,8,3),tblDaily[WardCode],"FAE")),"")</f>
        <v/>
      </c>
      <c r="N290" s="14" t="str">
        <f>IFERROR(IF(SUMIFS(tblDaily[TransfersOut],tblDaily[EntryDate],DATE(2026,8,3),tblDaily[WardCode],"FAE")=0,"",SUMIFS(tblDaily[TransfersOut],tblDaily[EntryDate],DATE(2026,8,3),tblDaily[WardCode],"FAE")),"")</f>
        <v/>
      </c>
      <c r="O290" s="14" t="str">
        <f>IFERROR(IF(SUMIFS(tblDaily[Remaining],tblDaily[EntryDate],DATE(2026,8,3),tblDaily[WardCode],"FAE")=0,"",SUMIFS(tblDaily[Remaining],tblDaily[EntryDate],DATE(2026,8,3),tblDaily[WardCode],"FAE")),"")</f>
        <v/>
      </c>
      <c r="P290" s="15" t="str">
        <f t="shared" si="7"/>
        <v/>
      </c>
    </row>
    <row r="291" spans="1:16" x14ac:dyDescent="0.25">
      <c r="A291" s="14">
        <v>4</v>
      </c>
      <c r="B291" s="14" t="str">
        <f>IFERROR(IF(SUMIFS(tblDaily[Admissions],tblDaily[EntryDate],DATE(2026,8,4),tblDaily[WardCode],"MAE")=0,"",SUMIFS(tblDaily[Admissions],tblDaily[EntryDate],DATE(2026,8,4),tblDaily[WardCode],"MAE")),"")</f>
        <v/>
      </c>
      <c r="C291" s="14" t="str">
        <f>IFERROR(IF(SUMIFS(tblDaily[Discharges],tblDaily[EntryDate],DATE(2026,8,4),tblDaily[WardCode],"MAE")=0,"",SUMIFS(tblDaily[Discharges],tblDaily[EntryDate],DATE(2026,8,4),tblDaily[WardCode],"MAE")),"")</f>
        <v/>
      </c>
      <c r="D291" s="14" t="str">
        <f>IFERROR(IF(SUMIFS(tblDaily[Deaths],tblDaily[EntryDate],DATE(2026,8,4),tblDaily[WardCode],"MAE")=0,"",SUMIFS(tblDaily[Deaths],tblDaily[EntryDate],DATE(2026,8,4),tblDaily[WardCode],"MAE")),"")</f>
        <v/>
      </c>
      <c r="E291" s="14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14" t="str">
        <f>IFERROR(IF(SUMIFS(tblDaily[TransfersIn],tblDaily[EntryDate],DATE(2026,8,4),tblDaily[WardCode],"MAE")=0,"",SUMIFS(tblDaily[TransfersIn],tblDaily[EntryDate],DATE(2026,8,4),tblDaily[WardCode],"MAE")),"")</f>
        <v/>
      </c>
      <c r="G291" s="14" t="str">
        <f>IFERROR(IF(SUMIFS(tblDaily[TransfersOut],tblDaily[EntryDate],DATE(2026,8,4),tblDaily[WardCode],"MAE")=0,"",SUMIFS(tblDaily[TransfersOut],tblDaily[EntryDate],DATE(2026,8,4),tblDaily[WardCode],"MAE")),"")</f>
        <v/>
      </c>
      <c r="H291" s="14" t="str">
        <f>IFERROR(IF(SUMIFS(tblDaily[Remaining],tblDaily[EntryDate],DATE(2026,8,4),tblDaily[WardCode],"MAE")=0,"",SUMIFS(tblDaily[Remaining],tblDaily[EntryDate],DATE(2026,8,4),tblDaily[WardCode],"MAE")),"")</f>
        <v/>
      </c>
      <c r="I291" s="14" t="str">
        <f>IFERROR(IF(SUMIFS(tblDaily[Admissions],tblDaily[EntryDate],DATE(2026,8,4),tblDaily[WardCode],"FAE")=0,"",SUMIFS(tblDaily[Admissions],tblDaily[EntryDate],DATE(2026,8,4),tblDaily[WardCode],"FAE")),"")</f>
        <v/>
      </c>
      <c r="J291" s="14" t="str">
        <f>IFERROR(IF(SUMIFS(tblDaily[Discharges],tblDaily[EntryDate],DATE(2026,8,4),tblDaily[WardCode],"FAE")=0,"",SUMIFS(tblDaily[Discharges],tblDaily[EntryDate],DATE(2026,8,4),tblDaily[WardCode],"FAE")),"")</f>
        <v/>
      </c>
      <c r="K291" s="14" t="str">
        <f>IFERROR(IF(SUMIFS(tblDaily[Deaths],tblDaily[EntryDate],DATE(2026,8,4),tblDaily[WardCode],"FAE")=0,"",SUMIFS(tblDaily[Deaths],tblDaily[EntryDate],DATE(2026,8,4),tblDaily[WardCode],"FAE")),"")</f>
        <v/>
      </c>
      <c r="L291" s="14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14" t="str">
        <f>IFERROR(IF(SUMIFS(tblDaily[TransfersIn],tblDaily[EntryDate],DATE(2026,8,4),tblDaily[WardCode],"FAE")=0,"",SUMIFS(tblDaily[TransfersIn],tblDaily[EntryDate],DATE(2026,8,4),tblDaily[WardCode],"FAE")),"")</f>
        <v/>
      </c>
      <c r="N291" s="14" t="str">
        <f>IFERROR(IF(SUMIFS(tblDaily[TransfersOut],tblDaily[EntryDate],DATE(2026,8,4),tblDaily[WardCode],"FAE")=0,"",SUMIFS(tblDaily[TransfersOut],tblDaily[EntryDate],DATE(2026,8,4),tblDaily[WardCode],"FAE")),"")</f>
        <v/>
      </c>
      <c r="O291" s="14" t="str">
        <f>IFERROR(IF(SUMIFS(tblDaily[Remaining],tblDaily[EntryDate],DATE(2026,8,4),tblDaily[WardCode],"FAE")=0,"",SUMIFS(tblDaily[Remaining],tblDaily[EntryDate],DATE(2026,8,4),tblDaily[WardCode],"FAE")),"")</f>
        <v/>
      </c>
      <c r="P291" s="15" t="str">
        <f t="shared" si="7"/>
        <v/>
      </c>
    </row>
    <row r="292" spans="1:16" x14ac:dyDescent="0.25">
      <c r="A292" s="14">
        <v>5</v>
      </c>
      <c r="B292" s="14" t="str">
        <f>IFERROR(IF(SUMIFS(tblDaily[Admissions],tblDaily[EntryDate],DATE(2026,8,5),tblDaily[WardCode],"MAE")=0,"",SUMIFS(tblDaily[Admissions],tblDaily[EntryDate],DATE(2026,8,5),tblDaily[WardCode],"MAE")),"")</f>
        <v/>
      </c>
      <c r="C292" s="14" t="str">
        <f>IFERROR(IF(SUMIFS(tblDaily[Discharges],tblDaily[EntryDate],DATE(2026,8,5),tblDaily[WardCode],"MAE")=0,"",SUMIFS(tblDaily[Discharges],tblDaily[EntryDate],DATE(2026,8,5),tblDaily[WardCode],"MAE")),"")</f>
        <v/>
      </c>
      <c r="D292" s="14" t="str">
        <f>IFERROR(IF(SUMIFS(tblDaily[Deaths],tblDaily[EntryDate],DATE(2026,8,5),tblDaily[WardCode],"MAE")=0,"",SUMIFS(tblDaily[Deaths],tblDaily[EntryDate],DATE(2026,8,5),tblDaily[WardCode],"MAE")),"")</f>
        <v/>
      </c>
      <c r="E292" s="14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14" t="str">
        <f>IFERROR(IF(SUMIFS(tblDaily[TransfersIn],tblDaily[EntryDate],DATE(2026,8,5),tblDaily[WardCode],"MAE")=0,"",SUMIFS(tblDaily[TransfersIn],tblDaily[EntryDate],DATE(2026,8,5),tblDaily[WardCode],"MAE")),"")</f>
        <v/>
      </c>
      <c r="G292" s="14" t="str">
        <f>IFERROR(IF(SUMIFS(tblDaily[TransfersOut],tblDaily[EntryDate],DATE(2026,8,5),tblDaily[WardCode],"MAE")=0,"",SUMIFS(tblDaily[TransfersOut],tblDaily[EntryDate],DATE(2026,8,5),tblDaily[WardCode],"MAE")),"")</f>
        <v/>
      </c>
      <c r="H292" s="14" t="str">
        <f>IFERROR(IF(SUMIFS(tblDaily[Remaining],tblDaily[EntryDate],DATE(2026,8,5),tblDaily[WardCode],"MAE")=0,"",SUMIFS(tblDaily[Remaining],tblDaily[EntryDate],DATE(2026,8,5),tblDaily[WardCode],"MAE")),"")</f>
        <v/>
      </c>
      <c r="I292" s="14" t="str">
        <f>IFERROR(IF(SUMIFS(tblDaily[Admissions],tblDaily[EntryDate],DATE(2026,8,5),tblDaily[WardCode],"FAE")=0,"",SUMIFS(tblDaily[Admissions],tblDaily[EntryDate],DATE(2026,8,5),tblDaily[WardCode],"FAE")),"")</f>
        <v/>
      </c>
      <c r="J292" s="14" t="str">
        <f>IFERROR(IF(SUMIFS(tblDaily[Discharges],tblDaily[EntryDate],DATE(2026,8,5),tblDaily[WardCode],"FAE")=0,"",SUMIFS(tblDaily[Discharges],tblDaily[EntryDate],DATE(2026,8,5),tblDaily[WardCode],"FAE")),"")</f>
        <v/>
      </c>
      <c r="K292" s="14" t="str">
        <f>IFERROR(IF(SUMIFS(tblDaily[Deaths],tblDaily[EntryDate],DATE(2026,8,5),tblDaily[WardCode],"FAE")=0,"",SUMIFS(tblDaily[Deaths],tblDaily[EntryDate],DATE(2026,8,5),tblDaily[WardCode],"FAE")),"")</f>
        <v/>
      </c>
      <c r="L292" s="14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14" t="str">
        <f>IFERROR(IF(SUMIFS(tblDaily[TransfersIn],tblDaily[EntryDate],DATE(2026,8,5),tblDaily[WardCode],"FAE")=0,"",SUMIFS(tblDaily[TransfersIn],tblDaily[EntryDate],DATE(2026,8,5),tblDaily[WardCode],"FAE")),"")</f>
        <v/>
      </c>
      <c r="N292" s="14" t="str">
        <f>IFERROR(IF(SUMIFS(tblDaily[TransfersOut],tblDaily[EntryDate],DATE(2026,8,5),tblDaily[WardCode],"FAE")=0,"",SUMIFS(tblDaily[TransfersOut],tblDaily[EntryDate],DATE(2026,8,5),tblDaily[WardCode],"FAE")),"")</f>
        <v/>
      </c>
      <c r="O292" s="14" t="str">
        <f>IFERROR(IF(SUMIFS(tblDaily[Remaining],tblDaily[EntryDate],DATE(2026,8,5),tblDaily[WardCode],"FAE")=0,"",SUMIFS(tblDaily[Remaining],tblDaily[EntryDate],DATE(2026,8,5),tblDaily[WardCode],"FAE")),"")</f>
        <v/>
      </c>
      <c r="P292" s="15" t="str">
        <f t="shared" si="7"/>
        <v/>
      </c>
    </row>
    <row r="293" spans="1:16" x14ac:dyDescent="0.25">
      <c r="A293" s="14">
        <v>6</v>
      </c>
      <c r="B293" s="14" t="str">
        <f>IFERROR(IF(SUMIFS(tblDaily[Admissions],tblDaily[EntryDate],DATE(2026,8,6),tblDaily[WardCode],"MAE")=0,"",SUMIFS(tblDaily[Admissions],tblDaily[EntryDate],DATE(2026,8,6),tblDaily[WardCode],"MAE")),"")</f>
        <v/>
      </c>
      <c r="C293" s="14" t="str">
        <f>IFERROR(IF(SUMIFS(tblDaily[Discharges],tblDaily[EntryDate],DATE(2026,8,6),tblDaily[WardCode],"MAE")=0,"",SUMIFS(tblDaily[Discharges],tblDaily[EntryDate],DATE(2026,8,6),tblDaily[WardCode],"MAE")),"")</f>
        <v/>
      </c>
      <c r="D293" s="14" t="str">
        <f>IFERROR(IF(SUMIFS(tblDaily[Deaths],tblDaily[EntryDate],DATE(2026,8,6),tblDaily[WardCode],"MAE")=0,"",SUMIFS(tblDaily[Deaths],tblDaily[EntryDate],DATE(2026,8,6),tblDaily[WardCode],"MAE")),"")</f>
        <v/>
      </c>
      <c r="E293" s="14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14" t="str">
        <f>IFERROR(IF(SUMIFS(tblDaily[TransfersIn],tblDaily[EntryDate],DATE(2026,8,6),tblDaily[WardCode],"MAE")=0,"",SUMIFS(tblDaily[TransfersIn],tblDaily[EntryDate],DATE(2026,8,6),tblDaily[WardCode],"MAE")),"")</f>
        <v/>
      </c>
      <c r="G293" s="14" t="str">
        <f>IFERROR(IF(SUMIFS(tblDaily[TransfersOut],tblDaily[EntryDate],DATE(2026,8,6),tblDaily[WardCode],"MAE")=0,"",SUMIFS(tblDaily[TransfersOut],tblDaily[EntryDate],DATE(2026,8,6),tblDaily[WardCode],"MAE")),"")</f>
        <v/>
      </c>
      <c r="H293" s="14" t="str">
        <f>IFERROR(IF(SUMIFS(tblDaily[Remaining],tblDaily[EntryDate],DATE(2026,8,6),tblDaily[WardCode],"MAE")=0,"",SUMIFS(tblDaily[Remaining],tblDaily[EntryDate],DATE(2026,8,6),tblDaily[WardCode],"MAE")),"")</f>
        <v/>
      </c>
      <c r="I293" s="14" t="str">
        <f>IFERROR(IF(SUMIFS(tblDaily[Admissions],tblDaily[EntryDate],DATE(2026,8,6),tblDaily[WardCode],"FAE")=0,"",SUMIFS(tblDaily[Admissions],tblDaily[EntryDate],DATE(2026,8,6),tblDaily[WardCode],"FAE")),"")</f>
        <v/>
      </c>
      <c r="J293" s="14" t="str">
        <f>IFERROR(IF(SUMIFS(tblDaily[Discharges],tblDaily[EntryDate],DATE(2026,8,6),tblDaily[WardCode],"FAE")=0,"",SUMIFS(tblDaily[Discharges],tblDaily[EntryDate],DATE(2026,8,6),tblDaily[WardCode],"FAE")),"")</f>
        <v/>
      </c>
      <c r="K293" s="14" t="str">
        <f>IFERROR(IF(SUMIFS(tblDaily[Deaths],tblDaily[EntryDate],DATE(2026,8,6),tblDaily[WardCode],"FAE")=0,"",SUMIFS(tblDaily[Deaths],tblDaily[EntryDate],DATE(2026,8,6),tblDaily[WardCode],"FAE")),"")</f>
        <v/>
      </c>
      <c r="L293" s="14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14" t="str">
        <f>IFERROR(IF(SUMIFS(tblDaily[TransfersIn],tblDaily[EntryDate],DATE(2026,8,6),tblDaily[WardCode],"FAE")=0,"",SUMIFS(tblDaily[TransfersIn],tblDaily[EntryDate],DATE(2026,8,6),tblDaily[WardCode],"FAE")),"")</f>
        <v/>
      </c>
      <c r="N293" s="14" t="str">
        <f>IFERROR(IF(SUMIFS(tblDaily[TransfersOut],tblDaily[EntryDate],DATE(2026,8,6),tblDaily[WardCode],"FAE")=0,"",SUMIFS(tblDaily[TransfersOut],tblDaily[EntryDate],DATE(2026,8,6),tblDaily[WardCode],"FAE")),"")</f>
        <v/>
      </c>
      <c r="O293" s="14" t="str">
        <f>IFERROR(IF(SUMIFS(tblDaily[Remaining],tblDaily[EntryDate],DATE(2026,8,6),tblDaily[WardCode],"FAE")=0,"",SUMIFS(tblDaily[Remaining],tblDaily[EntryDate],DATE(2026,8,6),tblDaily[WardCode],"FAE")),"")</f>
        <v/>
      </c>
      <c r="P293" s="15" t="str">
        <f t="shared" si="7"/>
        <v/>
      </c>
    </row>
    <row r="294" spans="1:16" x14ac:dyDescent="0.25">
      <c r="A294" s="14">
        <v>7</v>
      </c>
      <c r="B294" s="14" t="str">
        <f>IFERROR(IF(SUMIFS(tblDaily[Admissions],tblDaily[EntryDate],DATE(2026,8,7),tblDaily[WardCode],"MAE")=0,"",SUMIFS(tblDaily[Admissions],tblDaily[EntryDate],DATE(2026,8,7),tblDaily[WardCode],"MAE")),"")</f>
        <v/>
      </c>
      <c r="C294" s="14" t="str">
        <f>IFERROR(IF(SUMIFS(tblDaily[Discharges],tblDaily[EntryDate],DATE(2026,8,7),tblDaily[WardCode],"MAE")=0,"",SUMIFS(tblDaily[Discharges],tblDaily[EntryDate],DATE(2026,8,7),tblDaily[WardCode],"MAE")),"")</f>
        <v/>
      </c>
      <c r="D294" s="14" t="str">
        <f>IFERROR(IF(SUMIFS(tblDaily[Deaths],tblDaily[EntryDate],DATE(2026,8,7),tblDaily[WardCode],"MAE")=0,"",SUMIFS(tblDaily[Deaths],tblDaily[EntryDate],DATE(2026,8,7),tblDaily[WardCode],"MAE")),"")</f>
        <v/>
      </c>
      <c r="E294" s="14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14" t="str">
        <f>IFERROR(IF(SUMIFS(tblDaily[TransfersIn],tblDaily[EntryDate],DATE(2026,8,7),tblDaily[WardCode],"MAE")=0,"",SUMIFS(tblDaily[TransfersIn],tblDaily[EntryDate],DATE(2026,8,7),tblDaily[WardCode],"MAE")),"")</f>
        <v/>
      </c>
      <c r="G294" s="14" t="str">
        <f>IFERROR(IF(SUMIFS(tblDaily[TransfersOut],tblDaily[EntryDate],DATE(2026,8,7),tblDaily[WardCode],"MAE")=0,"",SUMIFS(tblDaily[TransfersOut],tblDaily[EntryDate],DATE(2026,8,7),tblDaily[WardCode],"MAE")),"")</f>
        <v/>
      </c>
      <c r="H294" s="14" t="str">
        <f>IFERROR(IF(SUMIFS(tblDaily[Remaining],tblDaily[EntryDate],DATE(2026,8,7),tblDaily[WardCode],"MAE")=0,"",SUMIFS(tblDaily[Remaining],tblDaily[EntryDate],DATE(2026,8,7),tblDaily[WardCode],"MAE")),"")</f>
        <v/>
      </c>
      <c r="I294" s="14" t="str">
        <f>IFERROR(IF(SUMIFS(tblDaily[Admissions],tblDaily[EntryDate],DATE(2026,8,7),tblDaily[WardCode],"FAE")=0,"",SUMIFS(tblDaily[Admissions],tblDaily[EntryDate],DATE(2026,8,7),tblDaily[WardCode],"FAE")),"")</f>
        <v/>
      </c>
      <c r="J294" s="14" t="str">
        <f>IFERROR(IF(SUMIFS(tblDaily[Discharges],tblDaily[EntryDate],DATE(2026,8,7),tblDaily[WardCode],"FAE")=0,"",SUMIFS(tblDaily[Discharges],tblDaily[EntryDate],DATE(2026,8,7),tblDaily[WardCode],"FAE")),"")</f>
        <v/>
      </c>
      <c r="K294" s="14" t="str">
        <f>IFERROR(IF(SUMIFS(tblDaily[Deaths],tblDaily[EntryDate],DATE(2026,8,7),tblDaily[WardCode],"FAE")=0,"",SUMIFS(tblDaily[Deaths],tblDaily[EntryDate],DATE(2026,8,7),tblDaily[WardCode],"FAE")),"")</f>
        <v/>
      </c>
      <c r="L294" s="14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14" t="str">
        <f>IFERROR(IF(SUMIFS(tblDaily[TransfersIn],tblDaily[EntryDate],DATE(2026,8,7),tblDaily[WardCode],"FAE")=0,"",SUMIFS(tblDaily[TransfersIn],tblDaily[EntryDate],DATE(2026,8,7),tblDaily[WardCode],"FAE")),"")</f>
        <v/>
      </c>
      <c r="N294" s="14" t="str">
        <f>IFERROR(IF(SUMIFS(tblDaily[TransfersOut],tblDaily[EntryDate],DATE(2026,8,7),tblDaily[WardCode],"FAE")=0,"",SUMIFS(tblDaily[TransfersOut],tblDaily[EntryDate],DATE(2026,8,7),tblDaily[WardCode],"FAE")),"")</f>
        <v/>
      </c>
      <c r="O294" s="14" t="str">
        <f>IFERROR(IF(SUMIFS(tblDaily[Remaining],tblDaily[EntryDate],DATE(2026,8,7),tblDaily[WardCode],"FAE")=0,"",SUMIFS(tblDaily[Remaining],tblDaily[EntryDate],DATE(2026,8,7),tblDaily[WardCode],"FAE")),"")</f>
        <v/>
      </c>
      <c r="P294" s="15" t="str">
        <f t="shared" si="7"/>
        <v/>
      </c>
    </row>
    <row r="295" spans="1:16" x14ac:dyDescent="0.25">
      <c r="A295" s="14">
        <v>8</v>
      </c>
      <c r="B295" s="14" t="str">
        <f>IFERROR(IF(SUMIFS(tblDaily[Admissions],tblDaily[EntryDate],DATE(2026,8,8),tblDaily[WardCode],"MAE")=0,"",SUMIFS(tblDaily[Admissions],tblDaily[EntryDate],DATE(2026,8,8),tblDaily[WardCode],"MAE")),"")</f>
        <v/>
      </c>
      <c r="C295" s="14" t="str">
        <f>IFERROR(IF(SUMIFS(tblDaily[Discharges],tblDaily[EntryDate],DATE(2026,8,8),tblDaily[WardCode],"MAE")=0,"",SUMIFS(tblDaily[Discharges],tblDaily[EntryDate],DATE(2026,8,8),tblDaily[WardCode],"MAE")),"")</f>
        <v/>
      </c>
      <c r="D295" s="14" t="str">
        <f>IFERROR(IF(SUMIFS(tblDaily[Deaths],tblDaily[EntryDate],DATE(2026,8,8),tblDaily[WardCode],"MAE")=0,"",SUMIFS(tblDaily[Deaths],tblDaily[EntryDate],DATE(2026,8,8),tblDaily[WardCode],"MAE")),"")</f>
        <v/>
      </c>
      <c r="E295" s="14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14" t="str">
        <f>IFERROR(IF(SUMIFS(tblDaily[TransfersIn],tblDaily[EntryDate],DATE(2026,8,8),tblDaily[WardCode],"MAE")=0,"",SUMIFS(tblDaily[TransfersIn],tblDaily[EntryDate],DATE(2026,8,8),tblDaily[WardCode],"MAE")),"")</f>
        <v/>
      </c>
      <c r="G295" s="14" t="str">
        <f>IFERROR(IF(SUMIFS(tblDaily[TransfersOut],tblDaily[EntryDate],DATE(2026,8,8),tblDaily[WardCode],"MAE")=0,"",SUMIFS(tblDaily[TransfersOut],tblDaily[EntryDate],DATE(2026,8,8),tblDaily[WardCode],"MAE")),"")</f>
        <v/>
      </c>
      <c r="H295" s="14" t="str">
        <f>IFERROR(IF(SUMIFS(tblDaily[Remaining],tblDaily[EntryDate],DATE(2026,8,8),tblDaily[WardCode],"MAE")=0,"",SUMIFS(tblDaily[Remaining],tblDaily[EntryDate],DATE(2026,8,8),tblDaily[WardCode],"MAE")),"")</f>
        <v/>
      </c>
      <c r="I295" s="14" t="str">
        <f>IFERROR(IF(SUMIFS(tblDaily[Admissions],tblDaily[EntryDate],DATE(2026,8,8),tblDaily[WardCode],"FAE")=0,"",SUMIFS(tblDaily[Admissions],tblDaily[EntryDate],DATE(2026,8,8),tblDaily[WardCode],"FAE")),"")</f>
        <v/>
      </c>
      <c r="J295" s="14" t="str">
        <f>IFERROR(IF(SUMIFS(tblDaily[Discharges],tblDaily[EntryDate],DATE(2026,8,8),tblDaily[WardCode],"FAE")=0,"",SUMIFS(tblDaily[Discharges],tblDaily[EntryDate],DATE(2026,8,8),tblDaily[WardCode],"FAE")),"")</f>
        <v/>
      </c>
      <c r="K295" s="14" t="str">
        <f>IFERROR(IF(SUMIFS(tblDaily[Deaths],tblDaily[EntryDate],DATE(2026,8,8),tblDaily[WardCode],"FAE")=0,"",SUMIFS(tblDaily[Deaths],tblDaily[EntryDate],DATE(2026,8,8),tblDaily[WardCode],"FAE")),"")</f>
        <v/>
      </c>
      <c r="L295" s="14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14" t="str">
        <f>IFERROR(IF(SUMIFS(tblDaily[TransfersIn],tblDaily[EntryDate],DATE(2026,8,8),tblDaily[WardCode],"FAE")=0,"",SUMIFS(tblDaily[TransfersIn],tblDaily[EntryDate],DATE(2026,8,8),tblDaily[WardCode],"FAE")),"")</f>
        <v/>
      </c>
      <c r="N295" s="14" t="str">
        <f>IFERROR(IF(SUMIFS(tblDaily[TransfersOut],tblDaily[EntryDate],DATE(2026,8,8),tblDaily[WardCode],"FAE")=0,"",SUMIFS(tblDaily[TransfersOut],tblDaily[EntryDate],DATE(2026,8,8),tblDaily[WardCode],"FAE")),"")</f>
        <v/>
      </c>
      <c r="O295" s="14" t="str">
        <f>IFERROR(IF(SUMIFS(tblDaily[Remaining],tblDaily[EntryDate],DATE(2026,8,8),tblDaily[WardCode],"FAE")=0,"",SUMIFS(tblDaily[Remaining],tblDaily[EntryDate],DATE(2026,8,8),tblDaily[WardCode],"FAE")),"")</f>
        <v/>
      </c>
      <c r="P295" s="15" t="str">
        <f t="shared" si="7"/>
        <v/>
      </c>
    </row>
    <row r="296" spans="1:16" x14ac:dyDescent="0.25">
      <c r="A296" s="14">
        <v>9</v>
      </c>
      <c r="B296" s="14" t="str">
        <f>IFERROR(IF(SUMIFS(tblDaily[Admissions],tblDaily[EntryDate],DATE(2026,8,9),tblDaily[WardCode],"MAE")=0,"",SUMIFS(tblDaily[Admissions],tblDaily[EntryDate],DATE(2026,8,9),tblDaily[WardCode],"MAE")),"")</f>
        <v/>
      </c>
      <c r="C296" s="14" t="str">
        <f>IFERROR(IF(SUMIFS(tblDaily[Discharges],tblDaily[EntryDate],DATE(2026,8,9),tblDaily[WardCode],"MAE")=0,"",SUMIFS(tblDaily[Discharges],tblDaily[EntryDate],DATE(2026,8,9),tblDaily[WardCode],"MAE")),"")</f>
        <v/>
      </c>
      <c r="D296" s="14" t="str">
        <f>IFERROR(IF(SUMIFS(tblDaily[Deaths],tblDaily[EntryDate],DATE(2026,8,9),tblDaily[WardCode],"MAE")=0,"",SUMIFS(tblDaily[Deaths],tblDaily[EntryDate],DATE(2026,8,9),tblDaily[WardCode],"MAE")),"")</f>
        <v/>
      </c>
      <c r="E296" s="14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14" t="str">
        <f>IFERROR(IF(SUMIFS(tblDaily[TransfersIn],tblDaily[EntryDate],DATE(2026,8,9),tblDaily[WardCode],"MAE")=0,"",SUMIFS(tblDaily[TransfersIn],tblDaily[EntryDate],DATE(2026,8,9),tblDaily[WardCode],"MAE")),"")</f>
        <v/>
      </c>
      <c r="G296" s="14" t="str">
        <f>IFERROR(IF(SUMIFS(tblDaily[TransfersOut],tblDaily[EntryDate],DATE(2026,8,9),tblDaily[WardCode],"MAE")=0,"",SUMIFS(tblDaily[TransfersOut],tblDaily[EntryDate],DATE(2026,8,9),tblDaily[WardCode],"MAE")),"")</f>
        <v/>
      </c>
      <c r="H296" s="14" t="str">
        <f>IFERROR(IF(SUMIFS(tblDaily[Remaining],tblDaily[EntryDate],DATE(2026,8,9),tblDaily[WardCode],"MAE")=0,"",SUMIFS(tblDaily[Remaining],tblDaily[EntryDate],DATE(2026,8,9),tblDaily[WardCode],"MAE")),"")</f>
        <v/>
      </c>
      <c r="I296" s="14" t="str">
        <f>IFERROR(IF(SUMIFS(tblDaily[Admissions],tblDaily[EntryDate],DATE(2026,8,9),tblDaily[WardCode],"FAE")=0,"",SUMIFS(tblDaily[Admissions],tblDaily[EntryDate],DATE(2026,8,9),tblDaily[WardCode],"FAE")),"")</f>
        <v/>
      </c>
      <c r="J296" s="14" t="str">
        <f>IFERROR(IF(SUMIFS(tblDaily[Discharges],tblDaily[EntryDate],DATE(2026,8,9),tblDaily[WardCode],"FAE")=0,"",SUMIFS(tblDaily[Discharges],tblDaily[EntryDate],DATE(2026,8,9),tblDaily[WardCode],"FAE")),"")</f>
        <v/>
      </c>
      <c r="K296" s="14" t="str">
        <f>IFERROR(IF(SUMIFS(tblDaily[Deaths],tblDaily[EntryDate],DATE(2026,8,9),tblDaily[WardCode],"FAE")=0,"",SUMIFS(tblDaily[Deaths],tblDaily[EntryDate],DATE(2026,8,9),tblDaily[WardCode],"FAE")),"")</f>
        <v/>
      </c>
      <c r="L296" s="14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14" t="str">
        <f>IFERROR(IF(SUMIFS(tblDaily[TransfersIn],tblDaily[EntryDate],DATE(2026,8,9),tblDaily[WardCode],"FAE")=0,"",SUMIFS(tblDaily[TransfersIn],tblDaily[EntryDate],DATE(2026,8,9),tblDaily[WardCode],"FAE")),"")</f>
        <v/>
      </c>
      <c r="N296" s="14" t="str">
        <f>IFERROR(IF(SUMIFS(tblDaily[TransfersOut],tblDaily[EntryDate],DATE(2026,8,9),tblDaily[WardCode],"FAE")=0,"",SUMIFS(tblDaily[TransfersOut],tblDaily[EntryDate],DATE(2026,8,9),tblDaily[WardCode],"FAE")),"")</f>
        <v/>
      </c>
      <c r="O296" s="14" t="str">
        <f>IFERROR(IF(SUMIFS(tblDaily[Remaining],tblDaily[EntryDate],DATE(2026,8,9),tblDaily[WardCode],"FAE")=0,"",SUMIFS(tblDaily[Remaining],tblDaily[EntryDate],DATE(2026,8,9),tblDaily[WardCode],"FAE")),"")</f>
        <v/>
      </c>
      <c r="P296" s="15" t="str">
        <f t="shared" si="7"/>
        <v/>
      </c>
    </row>
    <row r="297" spans="1:16" x14ac:dyDescent="0.25">
      <c r="A297" s="14">
        <v>10</v>
      </c>
      <c r="B297" s="14" t="str">
        <f>IFERROR(IF(SUMIFS(tblDaily[Admissions],tblDaily[EntryDate],DATE(2026,8,10),tblDaily[WardCode],"MAE")=0,"",SUMIFS(tblDaily[Admissions],tblDaily[EntryDate],DATE(2026,8,10),tblDaily[WardCode],"MAE")),"")</f>
        <v/>
      </c>
      <c r="C297" s="14" t="str">
        <f>IFERROR(IF(SUMIFS(tblDaily[Discharges],tblDaily[EntryDate],DATE(2026,8,10),tblDaily[WardCode],"MAE")=0,"",SUMIFS(tblDaily[Discharges],tblDaily[EntryDate],DATE(2026,8,10),tblDaily[WardCode],"MAE")),"")</f>
        <v/>
      </c>
      <c r="D297" s="14" t="str">
        <f>IFERROR(IF(SUMIFS(tblDaily[Deaths],tblDaily[EntryDate],DATE(2026,8,10),tblDaily[WardCode],"MAE")=0,"",SUMIFS(tblDaily[Deaths],tblDaily[EntryDate],DATE(2026,8,10),tblDaily[WardCode],"MAE")),"")</f>
        <v/>
      </c>
      <c r="E297" s="14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14" t="str">
        <f>IFERROR(IF(SUMIFS(tblDaily[TransfersIn],tblDaily[EntryDate],DATE(2026,8,10),tblDaily[WardCode],"MAE")=0,"",SUMIFS(tblDaily[TransfersIn],tblDaily[EntryDate],DATE(2026,8,10),tblDaily[WardCode],"MAE")),"")</f>
        <v/>
      </c>
      <c r="G297" s="14" t="str">
        <f>IFERROR(IF(SUMIFS(tblDaily[TransfersOut],tblDaily[EntryDate],DATE(2026,8,10),tblDaily[WardCode],"MAE")=0,"",SUMIFS(tblDaily[TransfersOut],tblDaily[EntryDate],DATE(2026,8,10),tblDaily[WardCode],"MAE")),"")</f>
        <v/>
      </c>
      <c r="H297" s="14" t="str">
        <f>IFERROR(IF(SUMIFS(tblDaily[Remaining],tblDaily[EntryDate],DATE(2026,8,10),tblDaily[WardCode],"MAE")=0,"",SUMIFS(tblDaily[Remaining],tblDaily[EntryDate],DATE(2026,8,10),tblDaily[WardCode],"MAE")),"")</f>
        <v/>
      </c>
      <c r="I297" s="14" t="str">
        <f>IFERROR(IF(SUMIFS(tblDaily[Admissions],tblDaily[EntryDate],DATE(2026,8,10),tblDaily[WardCode],"FAE")=0,"",SUMIFS(tblDaily[Admissions],tblDaily[EntryDate],DATE(2026,8,10),tblDaily[WardCode],"FAE")),"")</f>
        <v/>
      </c>
      <c r="J297" s="14" t="str">
        <f>IFERROR(IF(SUMIFS(tblDaily[Discharges],tblDaily[EntryDate],DATE(2026,8,10),tblDaily[WardCode],"FAE")=0,"",SUMIFS(tblDaily[Discharges],tblDaily[EntryDate],DATE(2026,8,10),tblDaily[WardCode],"FAE")),"")</f>
        <v/>
      </c>
      <c r="K297" s="14" t="str">
        <f>IFERROR(IF(SUMIFS(tblDaily[Deaths],tblDaily[EntryDate],DATE(2026,8,10),tblDaily[WardCode],"FAE")=0,"",SUMIFS(tblDaily[Deaths],tblDaily[EntryDate],DATE(2026,8,10),tblDaily[WardCode],"FAE")),"")</f>
        <v/>
      </c>
      <c r="L297" s="14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14" t="str">
        <f>IFERROR(IF(SUMIFS(tblDaily[TransfersIn],tblDaily[EntryDate],DATE(2026,8,10),tblDaily[WardCode],"FAE")=0,"",SUMIFS(tblDaily[TransfersIn],tblDaily[EntryDate],DATE(2026,8,10),tblDaily[WardCode],"FAE")),"")</f>
        <v/>
      </c>
      <c r="N297" s="14" t="str">
        <f>IFERROR(IF(SUMIFS(tblDaily[TransfersOut],tblDaily[EntryDate],DATE(2026,8,10),tblDaily[WardCode],"FAE")=0,"",SUMIFS(tblDaily[TransfersOut],tblDaily[EntryDate],DATE(2026,8,10),tblDaily[WardCode],"FAE")),"")</f>
        <v/>
      </c>
      <c r="O297" s="14" t="str">
        <f>IFERROR(IF(SUMIFS(tblDaily[Remaining],tblDaily[EntryDate],DATE(2026,8,10),tblDaily[WardCode],"FAE")=0,"",SUMIFS(tblDaily[Remaining],tblDaily[EntryDate],DATE(2026,8,10),tblDaily[WardCode],"FAE")),"")</f>
        <v/>
      </c>
      <c r="P297" s="15" t="str">
        <f t="shared" si="7"/>
        <v/>
      </c>
    </row>
    <row r="298" spans="1:16" x14ac:dyDescent="0.25">
      <c r="A298" s="14">
        <v>11</v>
      </c>
      <c r="B298" s="14" t="str">
        <f>IFERROR(IF(SUMIFS(tblDaily[Admissions],tblDaily[EntryDate],DATE(2026,8,11),tblDaily[WardCode],"MAE")=0,"",SUMIFS(tblDaily[Admissions],tblDaily[EntryDate],DATE(2026,8,11),tblDaily[WardCode],"MAE")),"")</f>
        <v/>
      </c>
      <c r="C298" s="14" t="str">
        <f>IFERROR(IF(SUMIFS(tblDaily[Discharges],tblDaily[EntryDate],DATE(2026,8,11),tblDaily[WardCode],"MAE")=0,"",SUMIFS(tblDaily[Discharges],tblDaily[EntryDate],DATE(2026,8,11),tblDaily[WardCode],"MAE")),"")</f>
        <v/>
      </c>
      <c r="D298" s="14" t="str">
        <f>IFERROR(IF(SUMIFS(tblDaily[Deaths],tblDaily[EntryDate],DATE(2026,8,11),tblDaily[WardCode],"MAE")=0,"",SUMIFS(tblDaily[Deaths],tblDaily[EntryDate],DATE(2026,8,11),tblDaily[WardCode],"MAE")),"")</f>
        <v/>
      </c>
      <c r="E298" s="14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14" t="str">
        <f>IFERROR(IF(SUMIFS(tblDaily[TransfersIn],tblDaily[EntryDate],DATE(2026,8,11),tblDaily[WardCode],"MAE")=0,"",SUMIFS(tblDaily[TransfersIn],tblDaily[EntryDate],DATE(2026,8,11),tblDaily[WardCode],"MAE")),"")</f>
        <v/>
      </c>
      <c r="G298" s="14" t="str">
        <f>IFERROR(IF(SUMIFS(tblDaily[TransfersOut],tblDaily[EntryDate],DATE(2026,8,11),tblDaily[WardCode],"MAE")=0,"",SUMIFS(tblDaily[TransfersOut],tblDaily[EntryDate],DATE(2026,8,11),tblDaily[WardCode],"MAE")),"")</f>
        <v/>
      </c>
      <c r="H298" s="14" t="str">
        <f>IFERROR(IF(SUMIFS(tblDaily[Remaining],tblDaily[EntryDate],DATE(2026,8,11),tblDaily[WardCode],"MAE")=0,"",SUMIFS(tblDaily[Remaining],tblDaily[EntryDate],DATE(2026,8,11),tblDaily[WardCode],"MAE")),"")</f>
        <v/>
      </c>
      <c r="I298" s="14" t="str">
        <f>IFERROR(IF(SUMIFS(tblDaily[Admissions],tblDaily[EntryDate],DATE(2026,8,11),tblDaily[WardCode],"FAE")=0,"",SUMIFS(tblDaily[Admissions],tblDaily[EntryDate],DATE(2026,8,11),tblDaily[WardCode],"FAE")),"")</f>
        <v/>
      </c>
      <c r="J298" s="14" t="str">
        <f>IFERROR(IF(SUMIFS(tblDaily[Discharges],tblDaily[EntryDate],DATE(2026,8,11),tblDaily[WardCode],"FAE")=0,"",SUMIFS(tblDaily[Discharges],tblDaily[EntryDate],DATE(2026,8,11),tblDaily[WardCode],"FAE")),"")</f>
        <v/>
      </c>
      <c r="K298" s="14" t="str">
        <f>IFERROR(IF(SUMIFS(tblDaily[Deaths],tblDaily[EntryDate],DATE(2026,8,11),tblDaily[WardCode],"FAE")=0,"",SUMIFS(tblDaily[Deaths],tblDaily[EntryDate],DATE(2026,8,11),tblDaily[WardCode],"FAE")),"")</f>
        <v/>
      </c>
      <c r="L298" s="14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14" t="str">
        <f>IFERROR(IF(SUMIFS(tblDaily[TransfersIn],tblDaily[EntryDate],DATE(2026,8,11),tblDaily[WardCode],"FAE")=0,"",SUMIFS(tblDaily[TransfersIn],tblDaily[EntryDate],DATE(2026,8,11),tblDaily[WardCode],"FAE")),"")</f>
        <v/>
      </c>
      <c r="N298" s="14" t="str">
        <f>IFERROR(IF(SUMIFS(tblDaily[TransfersOut],tblDaily[EntryDate],DATE(2026,8,11),tblDaily[WardCode],"FAE")=0,"",SUMIFS(tblDaily[TransfersOut],tblDaily[EntryDate],DATE(2026,8,11),tblDaily[WardCode],"FAE")),"")</f>
        <v/>
      </c>
      <c r="O298" s="14" t="str">
        <f>IFERROR(IF(SUMIFS(tblDaily[Remaining],tblDaily[EntryDate],DATE(2026,8,11),tblDaily[WardCode],"FAE")=0,"",SUMIFS(tblDaily[Remaining],tblDaily[EntryDate],DATE(2026,8,11),tblDaily[WardCode],"FAE")),"")</f>
        <v/>
      </c>
      <c r="P298" s="15" t="str">
        <f t="shared" si="7"/>
        <v/>
      </c>
    </row>
    <row r="299" spans="1:16" x14ac:dyDescent="0.25">
      <c r="A299" s="14">
        <v>12</v>
      </c>
      <c r="B299" s="14" t="str">
        <f>IFERROR(IF(SUMIFS(tblDaily[Admissions],tblDaily[EntryDate],DATE(2026,8,12),tblDaily[WardCode],"MAE")=0,"",SUMIFS(tblDaily[Admissions],tblDaily[EntryDate],DATE(2026,8,12),tblDaily[WardCode],"MAE")),"")</f>
        <v/>
      </c>
      <c r="C299" s="14" t="str">
        <f>IFERROR(IF(SUMIFS(tblDaily[Discharges],tblDaily[EntryDate],DATE(2026,8,12),tblDaily[WardCode],"MAE")=0,"",SUMIFS(tblDaily[Discharges],tblDaily[EntryDate],DATE(2026,8,12),tblDaily[WardCode],"MAE")),"")</f>
        <v/>
      </c>
      <c r="D299" s="14" t="str">
        <f>IFERROR(IF(SUMIFS(tblDaily[Deaths],tblDaily[EntryDate],DATE(2026,8,12),tblDaily[WardCode],"MAE")=0,"",SUMIFS(tblDaily[Deaths],tblDaily[EntryDate],DATE(2026,8,12),tblDaily[WardCode],"MAE")),"")</f>
        <v/>
      </c>
      <c r="E299" s="14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14" t="str">
        <f>IFERROR(IF(SUMIFS(tblDaily[TransfersIn],tblDaily[EntryDate],DATE(2026,8,12),tblDaily[WardCode],"MAE")=0,"",SUMIFS(tblDaily[TransfersIn],tblDaily[EntryDate],DATE(2026,8,12),tblDaily[WardCode],"MAE")),"")</f>
        <v/>
      </c>
      <c r="G299" s="14" t="str">
        <f>IFERROR(IF(SUMIFS(tblDaily[TransfersOut],tblDaily[EntryDate],DATE(2026,8,12),tblDaily[WardCode],"MAE")=0,"",SUMIFS(tblDaily[TransfersOut],tblDaily[EntryDate],DATE(2026,8,12),tblDaily[WardCode],"MAE")),"")</f>
        <v/>
      </c>
      <c r="H299" s="14" t="str">
        <f>IFERROR(IF(SUMIFS(tblDaily[Remaining],tblDaily[EntryDate],DATE(2026,8,12),tblDaily[WardCode],"MAE")=0,"",SUMIFS(tblDaily[Remaining],tblDaily[EntryDate],DATE(2026,8,12),tblDaily[WardCode],"MAE")),"")</f>
        <v/>
      </c>
      <c r="I299" s="14" t="str">
        <f>IFERROR(IF(SUMIFS(tblDaily[Admissions],tblDaily[EntryDate],DATE(2026,8,12),tblDaily[WardCode],"FAE")=0,"",SUMIFS(tblDaily[Admissions],tblDaily[EntryDate],DATE(2026,8,12),tblDaily[WardCode],"FAE")),"")</f>
        <v/>
      </c>
      <c r="J299" s="14" t="str">
        <f>IFERROR(IF(SUMIFS(tblDaily[Discharges],tblDaily[EntryDate],DATE(2026,8,12),tblDaily[WardCode],"FAE")=0,"",SUMIFS(tblDaily[Discharges],tblDaily[EntryDate],DATE(2026,8,12),tblDaily[WardCode],"FAE")),"")</f>
        <v/>
      </c>
      <c r="K299" s="14" t="str">
        <f>IFERROR(IF(SUMIFS(tblDaily[Deaths],tblDaily[EntryDate],DATE(2026,8,12),tblDaily[WardCode],"FAE")=0,"",SUMIFS(tblDaily[Deaths],tblDaily[EntryDate],DATE(2026,8,12),tblDaily[WardCode],"FAE")),"")</f>
        <v/>
      </c>
      <c r="L299" s="14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14" t="str">
        <f>IFERROR(IF(SUMIFS(tblDaily[TransfersIn],tblDaily[EntryDate],DATE(2026,8,12),tblDaily[WardCode],"FAE")=0,"",SUMIFS(tblDaily[TransfersIn],tblDaily[EntryDate],DATE(2026,8,12),tblDaily[WardCode],"FAE")),"")</f>
        <v/>
      </c>
      <c r="N299" s="14" t="str">
        <f>IFERROR(IF(SUMIFS(tblDaily[TransfersOut],tblDaily[EntryDate],DATE(2026,8,12),tblDaily[WardCode],"FAE")=0,"",SUMIFS(tblDaily[TransfersOut],tblDaily[EntryDate],DATE(2026,8,12),tblDaily[WardCode],"FAE")),"")</f>
        <v/>
      </c>
      <c r="O299" s="14" t="str">
        <f>IFERROR(IF(SUMIFS(tblDaily[Remaining],tblDaily[EntryDate],DATE(2026,8,12),tblDaily[WardCode],"FAE")=0,"",SUMIFS(tblDaily[Remaining],tblDaily[EntryDate],DATE(2026,8,12),tblDaily[WardCode],"FAE")),"")</f>
        <v/>
      </c>
      <c r="P299" s="15" t="str">
        <f t="shared" si="7"/>
        <v/>
      </c>
    </row>
    <row r="300" spans="1:16" x14ac:dyDescent="0.25">
      <c r="A300" s="14">
        <v>13</v>
      </c>
      <c r="B300" s="14" t="str">
        <f>IFERROR(IF(SUMIFS(tblDaily[Admissions],tblDaily[EntryDate],DATE(2026,8,13),tblDaily[WardCode],"MAE")=0,"",SUMIFS(tblDaily[Admissions],tblDaily[EntryDate],DATE(2026,8,13),tblDaily[WardCode],"MAE")),"")</f>
        <v/>
      </c>
      <c r="C300" s="14" t="str">
        <f>IFERROR(IF(SUMIFS(tblDaily[Discharges],tblDaily[EntryDate],DATE(2026,8,13),tblDaily[WardCode],"MAE")=0,"",SUMIFS(tblDaily[Discharges],tblDaily[EntryDate],DATE(2026,8,13),tblDaily[WardCode],"MAE")),"")</f>
        <v/>
      </c>
      <c r="D300" s="14" t="str">
        <f>IFERROR(IF(SUMIFS(tblDaily[Deaths],tblDaily[EntryDate],DATE(2026,8,13),tblDaily[WardCode],"MAE")=0,"",SUMIFS(tblDaily[Deaths],tblDaily[EntryDate],DATE(2026,8,13),tblDaily[WardCode],"MAE")),"")</f>
        <v/>
      </c>
      <c r="E300" s="14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14" t="str">
        <f>IFERROR(IF(SUMIFS(tblDaily[TransfersIn],tblDaily[EntryDate],DATE(2026,8,13),tblDaily[WardCode],"MAE")=0,"",SUMIFS(tblDaily[TransfersIn],tblDaily[EntryDate],DATE(2026,8,13),tblDaily[WardCode],"MAE")),"")</f>
        <v/>
      </c>
      <c r="G300" s="14" t="str">
        <f>IFERROR(IF(SUMIFS(tblDaily[TransfersOut],tblDaily[EntryDate],DATE(2026,8,13),tblDaily[WardCode],"MAE")=0,"",SUMIFS(tblDaily[TransfersOut],tblDaily[EntryDate],DATE(2026,8,13),tblDaily[WardCode],"MAE")),"")</f>
        <v/>
      </c>
      <c r="H300" s="14" t="str">
        <f>IFERROR(IF(SUMIFS(tblDaily[Remaining],tblDaily[EntryDate],DATE(2026,8,13),tblDaily[WardCode],"MAE")=0,"",SUMIFS(tblDaily[Remaining],tblDaily[EntryDate],DATE(2026,8,13),tblDaily[WardCode],"MAE")),"")</f>
        <v/>
      </c>
      <c r="I300" s="14" t="str">
        <f>IFERROR(IF(SUMIFS(tblDaily[Admissions],tblDaily[EntryDate],DATE(2026,8,13),tblDaily[WardCode],"FAE")=0,"",SUMIFS(tblDaily[Admissions],tblDaily[EntryDate],DATE(2026,8,13),tblDaily[WardCode],"FAE")),"")</f>
        <v/>
      </c>
      <c r="J300" s="14" t="str">
        <f>IFERROR(IF(SUMIFS(tblDaily[Discharges],tblDaily[EntryDate],DATE(2026,8,13),tblDaily[WardCode],"FAE")=0,"",SUMIFS(tblDaily[Discharges],tblDaily[EntryDate],DATE(2026,8,13),tblDaily[WardCode],"FAE")),"")</f>
        <v/>
      </c>
      <c r="K300" s="14" t="str">
        <f>IFERROR(IF(SUMIFS(tblDaily[Deaths],tblDaily[EntryDate],DATE(2026,8,13),tblDaily[WardCode],"FAE")=0,"",SUMIFS(tblDaily[Deaths],tblDaily[EntryDate],DATE(2026,8,13),tblDaily[WardCode],"FAE")),"")</f>
        <v/>
      </c>
      <c r="L300" s="14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14" t="str">
        <f>IFERROR(IF(SUMIFS(tblDaily[TransfersIn],tblDaily[EntryDate],DATE(2026,8,13),tblDaily[WardCode],"FAE")=0,"",SUMIFS(tblDaily[TransfersIn],tblDaily[EntryDate],DATE(2026,8,13),tblDaily[WardCode],"FAE")),"")</f>
        <v/>
      </c>
      <c r="N300" s="14" t="str">
        <f>IFERROR(IF(SUMIFS(tblDaily[TransfersOut],tblDaily[EntryDate],DATE(2026,8,13),tblDaily[WardCode],"FAE")=0,"",SUMIFS(tblDaily[TransfersOut],tblDaily[EntryDate],DATE(2026,8,13),tblDaily[WardCode],"FAE")),"")</f>
        <v/>
      </c>
      <c r="O300" s="14" t="str">
        <f>IFERROR(IF(SUMIFS(tblDaily[Remaining],tblDaily[EntryDate],DATE(2026,8,13),tblDaily[WardCode],"FAE")=0,"",SUMIFS(tblDaily[Remaining],tblDaily[EntryDate],DATE(2026,8,13),tblDaily[WardCode],"FAE")),"")</f>
        <v/>
      </c>
      <c r="P300" s="15" t="str">
        <f t="shared" si="7"/>
        <v/>
      </c>
    </row>
    <row r="301" spans="1:16" x14ac:dyDescent="0.25">
      <c r="A301" s="14">
        <v>14</v>
      </c>
      <c r="B301" s="14" t="str">
        <f>IFERROR(IF(SUMIFS(tblDaily[Admissions],tblDaily[EntryDate],DATE(2026,8,14),tblDaily[WardCode],"MAE")=0,"",SUMIFS(tblDaily[Admissions],tblDaily[EntryDate],DATE(2026,8,14),tblDaily[WardCode],"MAE")),"")</f>
        <v/>
      </c>
      <c r="C301" s="14" t="str">
        <f>IFERROR(IF(SUMIFS(tblDaily[Discharges],tblDaily[EntryDate],DATE(2026,8,14),tblDaily[WardCode],"MAE")=0,"",SUMIFS(tblDaily[Discharges],tblDaily[EntryDate],DATE(2026,8,14),tblDaily[WardCode],"MAE")),"")</f>
        <v/>
      </c>
      <c r="D301" s="14" t="str">
        <f>IFERROR(IF(SUMIFS(tblDaily[Deaths],tblDaily[EntryDate],DATE(2026,8,14),tblDaily[WardCode],"MAE")=0,"",SUMIFS(tblDaily[Deaths],tblDaily[EntryDate],DATE(2026,8,14),tblDaily[WardCode],"MAE")),"")</f>
        <v/>
      </c>
      <c r="E301" s="14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14" t="str">
        <f>IFERROR(IF(SUMIFS(tblDaily[TransfersIn],tblDaily[EntryDate],DATE(2026,8,14),tblDaily[WardCode],"MAE")=0,"",SUMIFS(tblDaily[TransfersIn],tblDaily[EntryDate],DATE(2026,8,14),tblDaily[WardCode],"MAE")),"")</f>
        <v/>
      </c>
      <c r="G301" s="14" t="str">
        <f>IFERROR(IF(SUMIFS(tblDaily[TransfersOut],tblDaily[EntryDate],DATE(2026,8,14),tblDaily[WardCode],"MAE")=0,"",SUMIFS(tblDaily[TransfersOut],tblDaily[EntryDate],DATE(2026,8,14),tblDaily[WardCode],"MAE")),"")</f>
        <v/>
      </c>
      <c r="H301" s="14" t="str">
        <f>IFERROR(IF(SUMIFS(tblDaily[Remaining],tblDaily[EntryDate],DATE(2026,8,14),tblDaily[WardCode],"MAE")=0,"",SUMIFS(tblDaily[Remaining],tblDaily[EntryDate],DATE(2026,8,14),tblDaily[WardCode],"MAE")),"")</f>
        <v/>
      </c>
      <c r="I301" s="14" t="str">
        <f>IFERROR(IF(SUMIFS(tblDaily[Admissions],tblDaily[EntryDate],DATE(2026,8,14),tblDaily[WardCode],"FAE")=0,"",SUMIFS(tblDaily[Admissions],tblDaily[EntryDate],DATE(2026,8,14),tblDaily[WardCode],"FAE")),"")</f>
        <v/>
      </c>
      <c r="J301" s="14" t="str">
        <f>IFERROR(IF(SUMIFS(tblDaily[Discharges],tblDaily[EntryDate],DATE(2026,8,14),tblDaily[WardCode],"FAE")=0,"",SUMIFS(tblDaily[Discharges],tblDaily[EntryDate],DATE(2026,8,14),tblDaily[WardCode],"FAE")),"")</f>
        <v/>
      </c>
      <c r="K301" s="14" t="str">
        <f>IFERROR(IF(SUMIFS(tblDaily[Deaths],tblDaily[EntryDate],DATE(2026,8,14),tblDaily[WardCode],"FAE")=0,"",SUMIFS(tblDaily[Deaths],tblDaily[EntryDate],DATE(2026,8,14),tblDaily[WardCode],"FAE")),"")</f>
        <v/>
      </c>
      <c r="L301" s="14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14" t="str">
        <f>IFERROR(IF(SUMIFS(tblDaily[TransfersIn],tblDaily[EntryDate],DATE(2026,8,14),tblDaily[WardCode],"FAE")=0,"",SUMIFS(tblDaily[TransfersIn],tblDaily[EntryDate],DATE(2026,8,14),tblDaily[WardCode],"FAE")),"")</f>
        <v/>
      </c>
      <c r="N301" s="14" t="str">
        <f>IFERROR(IF(SUMIFS(tblDaily[TransfersOut],tblDaily[EntryDate],DATE(2026,8,14),tblDaily[WardCode],"FAE")=0,"",SUMIFS(tblDaily[TransfersOut],tblDaily[EntryDate],DATE(2026,8,14),tblDaily[WardCode],"FAE")),"")</f>
        <v/>
      </c>
      <c r="O301" s="14" t="str">
        <f>IFERROR(IF(SUMIFS(tblDaily[Remaining],tblDaily[EntryDate],DATE(2026,8,14),tblDaily[WardCode],"FAE")=0,"",SUMIFS(tblDaily[Remaining],tblDaily[EntryDate],DATE(2026,8,14),tblDaily[WardCode],"FAE")),"")</f>
        <v/>
      </c>
      <c r="P301" s="15" t="str">
        <f t="shared" si="7"/>
        <v/>
      </c>
    </row>
    <row r="302" spans="1:16" x14ac:dyDescent="0.25">
      <c r="A302" s="14">
        <v>15</v>
      </c>
      <c r="B302" s="14" t="str">
        <f>IFERROR(IF(SUMIFS(tblDaily[Admissions],tblDaily[EntryDate],DATE(2026,8,15),tblDaily[WardCode],"MAE")=0,"",SUMIFS(tblDaily[Admissions],tblDaily[EntryDate],DATE(2026,8,15),tblDaily[WardCode],"MAE")),"")</f>
        <v/>
      </c>
      <c r="C302" s="14" t="str">
        <f>IFERROR(IF(SUMIFS(tblDaily[Discharges],tblDaily[EntryDate],DATE(2026,8,15),tblDaily[WardCode],"MAE")=0,"",SUMIFS(tblDaily[Discharges],tblDaily[EntryDate],DATE(2026,8,15),tblDaily[WardCode],"MAE")),"")</f>
        <v/>
      </c>
      <c r="D302" s="14" t="str">
        <f>IFERROR(IF(SUMIFS(tblDaily[Deaths],tblDaily[EntryDate],DATE(2026,8,15),tblDaily[WardCode],"MAE")=0,"",SUMIFS(tblDaily[Deaths],tblDaily[EntryDate],DATE(2026,8,15),tblDaily[WardCode],"MAE")),"")</f>
        <v/>
      </c>
      <c r="E302" s="14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14" t="str">
        <f>IFERROR(IF(SUMIFS(tblDaily[TransfersIn],tblDaily[EntryDate],DATE(2026,8,15),tblDaily[WardCode],"MAE")=0,"",SUMIFS(tblDaily[TransfersIn],tblDaily[EntryDate],DATE(2026,8,15),tblDaily[WardCode],"MAE")),"")</f>
        <v/>
      </c>
      <c r="G302" s="14" t="str">
        <f>IFERROR(IF(SUMIFS(tblDaily[TransfersOut],tblDaily[EntryDate],DATE(2026,8,15),tblDaily[WardCode],"MAE")=0,"",SUMIFS(tblDaily[TransfersOut],tblDaily[EntryDate],DATE(2026,8,15),tblDaily[WardCode],"MAE")),"")</f>
        <v/>
      </c>
      <c r="H302" s="14" t="str">
        <f>IFERROR(IF(SUMIFS(tblDaily[Remaining],tblDaily[EntryDate],DATE(2026,8,15),tblDaily[WardCode],"MAE")=0,"",SUMIFS(tblDaily[Remaining],tblDaily[EntryDate],DATE(2026,8,15),tblDaily[WardCode],"MAE")),"")</f>
        <v/>
      </c>
      <c r="I302" s="14" t="str">
        <f>IFERROR(IF(SUMIFS(tblDaily[Admissions],tblDaily[EntryDate],DATE(2026,8,15),tblDaily[WardCode],"FAE")=0,"",SUMIFS(tblDaily[Admissions],tblDaily[EntryDate],DATE(2026,8,15),tblDaily[WardCode],"FAE")),"")</f>
        <v/>
      </c>
      <c r="J302" s="14" t="str">
        <f>IFERROR(IF(SUMIFS(tblDaily[Discharges],tblDaily[EntryDate],DATE(2026,8,15),tblDaily[WardCode],"FAE")=0,"",SUMIFS(tblDaily[Discharges],tblDaily[EntryDate],DATE(2026,8,15),tblDaily[WardCode],"FAE")),"")</f>
        <v/>
      </c>
      <c r="K302" s="14" t="str">
        <f>IFERROR(IF(SUMIFS(tblDaily[Deaths],tblDaily[EntryDate],DATE(2026,8,15),tblDaily[WardCode],"FAE")=0,"",SUMIFS(tblDaily[Deaths],tblDaily[EntryDate],DATE(2026,8,15),tblDaily[WardCode],"FAE")),"")</f>
        <v/>
      </c>
      <c r="L302" s="14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14" t="str">
        <f>IFERROR(IF(SUMIFS(tblDaily[TransfersIn],tblDaily[EntryDate],DATE(2026,8,15),tblDaily[WardCode],"FAE")=0,"",SUMIFS(tblDaily[TransfersIn],tblDaily[EntryDate],DATE(2026,8,15),tblDaily[WardCode],"FAE")),"")</f>
        <v/>
      </c>
      <c r="N302" s="14" t="str">
        <f>IFERROR(IF(SUMIFS(tblDaily[TransfersOut],tblDaily[EntryDate],DATE(2026,8,15),tblDaily[WardCode],"FAE")=0,"",SUMIFS(tblDaily[TransfersOut],tblDaily[EntryDate],DATE(2026,8,15),tblDaily[WardCode],"FAE")),"")</f>
        <v/>
      </c>
      <c r="O302" s="14" t="str">
        <f>IFERROR(IF(SUMIFS(tblDaily[Remaining],tblDaily[EntryDate],DATE(2026,8,15),tblDaily[WardCode],"FAE")=0,"",SUMIFS(tblDaily[Remaining],tblDaily[EntryDate],DATE(2026,8,15),tblDaily[WardCode],"FAE")),"")</f>
        <v/>
      </c>
      <c r="P302" s="15" t="str">
        <f t="shared" si="7"/>
        <v/>
      </c>
    </row>
    <row r="303" spans="1:16" x14ac:dyDescent="0.25">
      <c r="A303" s="14">
        <v>16</v>
      </c>
      <c r="B303" s="14" t="str">
        <f>IFERROR(IF(SUMIFS(tblDaily[Admissions],tblDaily[EntryDate],DATE(2026,8,16),tblDaily[WardCode],"MAE")=0,"",SUMIFS(tblDaily[Admissions],tblDaily[EntryDate],DATE(2026,8,16),tblDaily[WardCode],"MAE")),"")</f>
        <v/>
      </c>
      <c r="C303" s="14" t="str">
        <f>IFERROR(IF(SUMIFS(tblDaily[Discharges],tblDaily[EntryDate],DATE(2026,8,16),tblDaily[WardCode],"MAE")=0,"",SUMIFS(tblDaily[Discharges],tblDaily[EntryDate],DATE(2026,8,16),tblDaily[WardCode],"MAE")),"")</f>
        <v/>
      </c>
      <c r="D303" s="14" t="str">
        <f>IFERROR(IF(SUMIFS(tblDaily[Deaths],tblDaily[EntryDate],DATE(2026,8,16),tblDaily[WardCode],"MAE")=0,"",SUMIFS(tblDaily[Deaths],tblDaily[EntryDate],DATE(2026,8,16),tblDaily[WardCode],"MAE")),"")</f>
        <v/>
      </c>
      <c r="E303" s="14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14" t="str">
        <f>IFERROR(IF(SUMIFS(tblDaily[TransfersIn],tblDaily[EntryDate],DATE(2026,8,16),tblDaily[WardCode],"MAE")=0,"",SUMIFS(tblDaily[TransfersIn],tblDaily[EntryDate],DATE(2026,8,16),tblDaily[WardCode],"MAE")),"")</f>
        <v/>
      </c>
      <c r="G303" s="14" t="str">
        <f>IFERROR(IF(SUMIFS(tblDaily[TransfersOut],tblDaily[EntryDate],DATE(2026,8,16),tblDaily[WardCode],"MAE")=0,"",SUMIFS(tblDaily[TransfersOut],tblDaily[EntryDate],DATE(2026,8,16),tblDaily[WardCode],"MAE")),"")</f>
        <v/>
      </c>
      <c r="H303" s="14" t="str">
        <f>IFERROR(IF(SUMIFS(tblDaily[Remaining],tblDaily[EntryDate],DATE(2026,8,16),tblDaily[WardCode],"MAE")=0,"",SUMIFS(tblDaily[Remaining],tblDaily[EntryDate],DATE(2026,8,16),tblDaily[WardCode],"MAE")),"")</f>
        <v/>
      </c>
      <c r="I303" s="14" t="str">
        <f>IFERROR(IF(SUMIFS(tblDaily[Admissions],tblDaily[EntryDate],DATE(2026,8,16),tblDaily[WardCode],"FAE")=0,"",SUMIFS(tblDaily[Admissions],tblDaily[EntryDate],DATE(2026,8,16),tblDaily[WardCode],"FAE")),"")</f>
        <v/>
      </c>
      <c r="J303" s="14" t="str">
        <f>IFERROR(IF(SUMIFS(tblDaily[Discharges],tblDaily[EntryDate],DATE(2026,8,16),tblDaily[WardCode],"FAE")=0,"",SUMIFS(tblDaily[Discharges],tblDaily[EntryDate],DATE(2026,8,16),tblDaily[WardCode],"FAE")),"")</f>
        <v/>
      </c>
      <c r="K303" s="14" t="str">
        <f>IFERROR(IF(SUMIFS(tblDaily[Deaths],tblDaily[EntryDate],DATE(2026,8,16),tblDaily[WardCode],"FAE")=0,"",SUMIFS(tblDaily[Deaths],tblDaily[EntryDate],DATE(2026,8,16),tblDaily[WardCode],"FAE")),"")</f>
        <v/>
      </c>
      <c r="L303" s="14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14" t="str">
        <f>IFERROR(IF(SUMIFS(tblDaily[TransfersIn],tblDaily[EntryDate],DATE(2026,8,16),tblDaily[WardCode],"FAE")=0,"",SUMIFS(tblDaily[TransfersIn],tblDaily[EntryDate],DATE(2026,8,16),tblDaily[WardCode],"FAE")),"")</f>
        <v/>
      </c>
      <c r="N303" s="14" t="str">
        <f>IFERROR(IF(SUMIFS(tblDaily[TransfersOut],tblDaily[EntryDate],DATE(2026,8,16),tblDaily[WardCode],"FAE")=0,"",SUMIFS(tblDaily[TransfersOut],tblDaily[EntryDate],DATE(2026,8,16),tblDaily[WardCode],"FAE")),"")</f>
        <v/>
      </c>
      <c r="O303" s="14" t="str">
        <f>IFERROR(IF(SUMIFS(tblDaily[Remaining],tblDaily[EntryDate],DATE(2026,8,16),tblDaily[WardCode],"FAE")=0,"",SUMIFS(tblDaily[Remaining],tblDaily[EntryDate],DATE(2026,8,16),tblDaily[WardCode],"FAE")),"")</f>
        <v/>
      </c>
      <c r="P303" s="15" t="str">
        <f t="shared" si="7"/>
        <v/>
      </c>
    </row>
    <row r="304" spans="1:16" x14ac:dyDescent="0.25">
      <c r="A304" s="14">
        <v>17</v>
      </c>
      <c r="B304" s="14" t="str">
        <f>IFERROR(IF(SUMIFS(tblDaily[Admissions],tblDaily[EntryDate],DATE(2026,8,17),tblDaily[WardCode],"MAE")=0,"",SUMIFS(tblDaily[Admissions],tblDaily[EntryDate],DATE(2026,8,17),tblDaily[WardCode],"MAE")),"")</f>
        <v/>
      </c>
      <c r="C304" s="14" t="str">
        <f>IFERROR(IF(SUMIFS(tblDaily[Discharges],tblDaily[EntryDate],DATE(2026,8,17),tblDaily[WardCode],"MAE")=0,"",SUMIFS(tblDaily[Discharges],tblDaily[EntryDate],DATE(2026,8,17),tblDaily[WardCode],"MAE")),"")</f>
        <v/>
      </c>
      <c r="D304" s="14" t="str">
        <f>IFERROR(IF(SUMIFS(tblDaily[Deaths],tblDaily[EntryDate],DATE(2026,8,17),tblDaily[WardCode],"MAE")=0,"",SUMIFS(tblDaily[Deaths],tblDaily[EntryDate],DATE(2026,8,17),tblDaily[WardCode],"MAE")),"")</f>
        <v/>
      </c>
      <c r="E304" s="14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14" t="str">
        <f>IFERROR(IF(SUMIFS(tblDaily[TransfersIn],tblDaily[EntryDate],DATE(2026,8,17),tblDaily[WardCode],"MAE")=0,"",SUMIFS(tblDaily[TransfersIn],tblDaily[EntryDate],DATE(2026,8,17),tblDaily[WardCode],"MAE")),"")</f>
        <v/>
      </c>
      <c r="G304" s="14" t="str">
        <f>IFERROR(IF(SUMIFS(tblDaily[TransfersOut],tblDaily[EntryDate],DATE(2026,8,17),tblDaily[WardCode],"MAE")=0,"",SUMIFS(tblDaily[TransfersOut],tblDaily[EntryDate],DATE(2026,8,17),tblDaily[WardCode],"MAE")),"")</f>
        <v/>
      </c>
      <c r="H304" s="14" t="str">
        <f>IFERROR(IF(SUMIFS(tblDaily[Remaining],tblDaily[EntryDate],DATE(2026,8,17),tblDaily[WardCode],"MAE")=0,"",SUMIFS(tblDaily[Remaining],tblDaily[EntryDate],DATE(2026,8,17),tblDaily[WardCode],"MAE")),"")</f>
        <v/>
      </c>
      <c r="I304" s="14" t="str">
        <f>IFERROR(IF(SUMIFS(tblDaily[Admissions],tblDaily[EntryDate],DATE(2026,8,17),tblDaily[WardCode],"FAE")=0,"",SUMIFS(tblDaily[Admissions],tblDaily[EntryDate],DATE(2026,8,17),tblDaily[WardCode],"FAE")),"")</f>
        <v/>
      </c>
      <c r="J304" s="14" t="str">
        <f>IFERROR(IF(SUMIFS(tblDaily[Discharges],tblDaily[EntryDate],DATE(2026,8,17),tblDaily[WardCode],"FAE")=0,"",SUMIFS(tblDaily[Discharges],tblDaily[EntryDate],DATE(2026,8,17),tblDaily[WardCode],"FAE")),"")</f>
        <v/>
      </c>
      <c r="K304" s="14" t="str">
        <f>IFERROR(IF(SUMIFS(tblDaily[Deaths],tblDaily[EntryDate],DATE(2026,8,17),tblDaily[WardCode],"FAE")=0,"",SUMIFS(tblDaily[Deaths],tblDaily[EntryDate],DATE(2026,8,17),tblDaily[WardCode],"FAE")),"")</f>
        <v/>
      </c>
      <c r="L304" s="14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14" t="str">
        <f>IFERROR(IF(SUMIFS(tblDaily[TransfersIn],tblDaily[EntryDate],DATE(2026,8,17),tblDaily[WardCode],"FAE")=0,"",SUMIFS(tblDaily[TransfersIn],tblDaily[EntryDate],DATE(2026,8,17),tblDaily[WardCode],"FAE")),"")</f>
        <v/>
      </c>
      <c r="N304" s="14" t="str">
        <f>IFERROR(IF(SUMIFS(tblDaily[TransfersOut],tblDaily[EntryDate],DATE(2026,8,17),tblDaily[WardCode],"FAE")=0,"",SUMIFS(tblDaily[TransfersOut],tblDaily[EntryDate],DATE(2026,8,17),tblDaily[WardCode],"FAE")),"")</f>
        <v/>
      </c>
      <c r="O304" s="14" t="str">
        <f>IFERROR(IF(SUMIFS(tblDaily[Remaining],tblDaily[EntryDate],DATE(2026,8,17),tblDaily[WardCode],"FAE")=0,"",SUMIFS(tblDaily[Remaining],tblDaily[EntryDate],DATE(2026,8,17),tblDaily[WardCode],"FAE")),"")</f>
        <v/>
      </c>
      <c r="P304" s="15" t="str">
        <f t="shared" si="7"/>
        <v/>
      </c>
    </row>
    <row r="305" spans="1:16" x14ac:dyDescent="0.25">
      <c r="A305" s="14">
        <v>18</v>
      </c>
      <c r="B305" s="14" t="str">
        <f>IFERROR(IF(SUMIFS(tblDaily[Admissions],tblDaily[EntryDate],DATE(2026,8,18),tblDaily[WardCode],"MAE")=0,"",SUMIFS(tblDaily[Admissions],tblDaily[EntryDate],DATE(2026,8,18),tblDaily[WardCode],"MAE")),"")</f>
        <v/>
      </c>
      <c r="C305" s="14" t="str">
        <f>IFERROR(IF(SUMIFS(tblDaily[Discharges],tblDaily[EntryDate],DATE(2026,8,18),tblDaily[WardCode],"MAE")=0,"",SUMIFS(tblDaily[Discharges],tblDaily[EntryDate],DATE(2026,8,18),tblDaily[WardCode],"MAE")),"")</f>
        <v/>
      </c>
      <c r="D305" s="14" t="str">
        <f>IFERROR(IF(SUMIFS(tblDaily[Deaths],tblDaily[EntryDate],DATE(2026,8,18),tblDaily[WardCode],"MAE")=0,"",SUMIFS(tblDaily[Deaths],tblDaily[EntryDate],DATE(2026,8,18),tblDaily[WardCode],"MAE")),"")</f>
        <v/>
      </c>
      <c r="E305" s="14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14" t="str">
        <f>IFERROR(IF(SUMIFS(tblDaily[TransfersIn],tblDaily[EntryDate],DATE(2026,8,18),tblDaily[WardCode],"MAE")=0,"",SUMIFS(tblDaily[TransfersIn],tblDaily[EntryDate],DATE(2026,8,18),tblDaily[WardCode],"MAE")),"")</f>
        <v/>
      </c>
      <c r="G305" s="14" t="str">
        <f>IFERROR(IF(SUMIFS(tblDaily[TransfersOut],tblDaily[EntryDate],DATE(2026,8,18),tblDaily[WardCode],"MAE")=0,"",SUMIFS(tblDaily[TransfersOut],tblDaily[EntryDate],DATE(2026,8,18),tblDaily[WardCode],"MAE")),"")</f>
        <v/>
      </c>
      <c r="H305" s="14" t="str">
        <f>IFERROR(IF(SUMIFS(tblDaily[Remaining],tblDaily[EntryDate],DATE(2026,8,18),tblDaily[WardCode],"MAE")=0,"",SUMIFS(tblDaily[Remaining],tblDaily[EntryDate],DATE(2026,8,18),tblDaily[WardCode],"MAE")),"")</f>
        <v/>
      </c>
      <c r="I305" s="14" t="str">
        <f>IFERROR(IF(SUMIFS(tblDaily[Admissions],tblDaily[EntryDate],DATE(2026,8,18),tblDaily[WardCode],"FAE")=0,"",SUMIFS(tblDaily[Admissions],tblDaily[EntryDate],DATE(2026,8,18),tblDaily[WardCode],"FAE")),"")</f>
        <v/>
      </c>
      <c r="J305" s="14" t="str">
        <f>IFERROR(IF(SUMIFS(tblDaily[Discharges],tblDaily[EntryDate],DATE(2026,8,18),tblDaily[WardCode],"FAE")=0,"",SUMIFS(tblDaily[Discharges],tblDaily[EntryDate],DATE(2026,8,18),tblDaily[WardCode],"FAE")),"")</f>
        <v/>
      </c>
      <c r="K305" s="14" t="str">
        <f>IFERROR(IF(SUMIFS(tblDaily[Deaths],tblDaily[EntryDate],DATE(2026,8,18),tblDaily[WardCode],"FAE")=0,"",SUMIFS(tblDaily[Deaths],tblDaily[EntryDate],DATE(2026,8,18),tblDaily[WardCode],"FAE")),"")</f>
        <v/>
      </c>
      <c r="L305" s="14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14" t="str">
        <f>IFERROR(IF(SUMIFS(tblDaily[TransfersIn],tblDaily[EntryDate],DATE(2026,8,18),tblDaily[WardCode],"FAE")=0,"",SUMIFS(tblDaily[TransfersIn],tblDaily[EntryDate],DATE(2026,8,18),tblDaily[WardCode],"FAE")),"")</f>
        <v/>
      </c>
      <c r="N305" s="14" t="str">
        <f>IFERROR(IF(SUMIFS(tblDaily[TransfersOut],tblDaily[EntryDate],DATE(2026,8,18),tblDaily[WardCode],"FAE")=0,"",SUMIFS(tblDaily[TransfersOut],tblDaily[EntryDate],DATE(2026,8,18),tblDaily[WardCode],"FAE")),"")</f>
        <v/>
      </c>
      <c r="O305" s="14" t="str">
        <f>IFERROR(IF(SUMIFS(tblDaily[Remaining],tblDaily[EntryDate],DATE(2026,8,18),tblDaily[WardCode],"FAE")=0,"",SUMIFS(tblDaily[Remaining],tblDaily[EntryDate],DATE(2026,8,18),tblDaily[WardCode],"FAE")),"")</f>
        <v/>
      </c>
      <c r="P305" s="15" t="str">
        <f t="shared" si="7"/>
        <v/>
      </c>
    </row>
    <row r="306" spans="1:16" x14ac:dyDescent="0.25">
      <c r="A306" s="14">
        <v>19</v>
      </c>
      <c r="B306" s="14" t="str">
        <f>IFERROR(IF(SUMIFS(tblDaily[Admissions],tblDaily[EntryDate],DATE(2026,8,19),tblDaily[WardCode],"MAE")=0,"",SUMIFS(tblDaily[Admissions],tblDaily[EntryDate],DATE(2026,8,19),tblDaily[WardCode],"MAE")),"")</f>
        <v/>
      </c>
      <c r="C306" s="14" t="str">
        <f>IFERROR(IF(SUMIFS(tblDaily[Discharges],tblDaily[EntryDate],DATE(2026,8,19),tblDaily[WardCode],"MAE")=0,"",SUMIFS(tblDaily[Discharges],tblDaily[EntryDate],DATE(2026,8,19),tblDaily[WardCode],"MAE")),"")</f>
        <v/>
      </c>
      <c r="D306" s="14" t="str">
        <f>IFERROR(IF(SUMIFS(tblDaily[Deaths],tblDaily[EntryDate],DATE(2026,8,19),tblDaily[WardCode],"MAE")=0,"",SUMIFS(tblDaily[Deaths],tblDaily[EntryDate],DATE(2026,8,19),tblDaily[WardCode],"MAE")),"")</f>
        <v/>
      </c>
      <c r="E306" s="14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14" t="str">
        <f>IFERROR(IF(SUMIFS(tblDaily[TransfersIn],tblDaily[EntryDate],DATE(2026,8,19),tblDaily[WardCode],"MAE")=0,"",SUMIFS(tblDaily[TransfersIn],tblDaily[EntryDate],DATE(2026,8,19),tblDaily[WardCode],"MAE")),"")</f>
        <v/>
      </c>
      <c r="G306" s="14" t="str">
        <f>IFERROR(IF(SUMIFS(tblDaily[TransfersOut],tblDaily[EntryDate],DATE(2026,8,19),tblDaily[WardCode],"MAE")=0,"",SUMIFS(tblDaily[TransfersOut],tblDaily[EntryDate],DATE(2026,8,19),tblDaily[WardCode],"MAE")),"")</f>
        <v/>
      </c>
      <c r="H306" s="14" t="str">
        <f>IFERROR(IF(SUMIFS(tblDaily[Remaining],tblDaily[EntryDate],DATE(2026,8,19),tblDaily[WardCode],"MAE")=0,"",SUMIFS(tblDaily[Remaining],tblDaily[EntryDate],DATE(2026,8,19),tblDaily[WardCode],"MAE")),"")</f>
        <v/>
      </c>
      <c r="I306" s="14" t="str">
        <f>IFERROR(IF(SUMIFS(tblDaily[Admissions],tblDaily[EntryDate],DATE(2026,8,19),tblDaily[WardCode],"FAE")=0,"",SUMIFS(tblDaily[Admissions],tblDaily[EntryDate],DATE(2026,8,19),tblDaily[WardCode],"FAE")),"")</f>
        <v/>
      </c>
      <c r="J306" s="14" t="str">
        <f>IFERROR(IF(SUMIFS(tblDaily[Discharges],tblDaily[EntryDate],DATE(2026,8,19),tblDaily[WardCode],"FAE")=0,"",SUMIFS(tblDaily[Discharges],tblDaily[EntryDate],DATE(2026,8,19),tblDaily[WardCode],"FAE")),"")</f>
        <v/>
      </c>
      <c r="K306" s="14" t="str">
        <f>IFERROR(IF(SUMIFS(tblDaily[Deaths],tblDaily[EntryDate],DATE(2026,8,19),tblDaily[WardCode],"FAE")=0,"",SUMIFS(tblDaily[Deaths],tblDaily[EntryDate],DATE(2026,8,19),tblDaily[WardCode],"FAE")),"")</f>
        <v/>
      </c>
      <c r="L306" s="14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14" t="str">
        <f>IFERROR(IF(SUMIFS(tblDaily[TransfersIn],tblDaily[EntryDate],DATE(2026,8,19),tblDaily[WardCode],"FAE")=0,"",SUMIFS(tblDaily[TransfersIn],tblDaily[EntryDate],DATE(2026,8,19),tblDaily[WardCode],"FAE")),"")</f>
        <v/>
      </c>
      <c r="N306" s="14" t="str">
        <f>IFERROR(IF(SUMIFS(tblDaily[TransfersOut],tblDaily[EntryDate],DATE(2026,8,19),tblDaily[WardCode],"FAE")=0,"",SUMIFS(tblDaily[TransfersOut],tblDaily[EntryDate],DATE(2026,8,19),tblDaily[WardCode],"FAE")),"")</f>
        <v/>
      </c>
      <c r="O306" s="14" t="str">
        <f>IFERROR(IF(SUMIFS(tblDaily[Remaining],tblDaily[EntryDate],DATE(2026,8,19),tblDaily[WardCode],"FAE")=0,"",SUMIFS(tblDaily[Remaining],tblDaily[EntryDate],DATE(2026,8,19),tblDaily[WardCode],"FAE")),"")</f>
        <v/>
      </c>
      <c r="P306" s="15" t="str">
        <f t="shared" si="7"/>
        <v/>
      </c>
    </row>
    <row r="307" spans="1:16" x14ac:dyDescent="0.25">
      <c r="A307" s="14">
        <v>20</v>
      </c>
      <c r="B307" s="14" t="str">
        <f>IFERROR(IF(SUMIFS(tblDaily[Admissions],tblDaily[EntryDate],DATE(2026,8,20),tblDaily[WardCode],"MAE")=0,"",SUMIFS(tblDaily[Admissions],tblDaily[EntryDate],DATE(2026,8,20),tblDaily[WardCode],"MAE")),"")</f>
        <v/>
      </c>
      <c r="C307" s="14" t="str">
        <f>IFERROR(IF(SUMIFS(tblDaily[Discharges],tblDaily[EntryDate],DATE(2026,8,20),tblDaily[WardCode],"MAE")=0,"",SUMIFS(tblDaily[Discharges],tblDaily[EntryDate],DATE(2026,8,20),tblDaily[WardCode],"MAE")),"")</f>
        <v/>
      </c>
      <c r="D307" s="14" t="str">
        <f>IFERROR(IF(SUMIFS(tblDaily[Deaths],tblDaily[EntryDate],DATE(2026,8,20),tblDaily[WardCode],"MAE")=0,"",SUMIFS(tblDaily[Deaths],tblDaily[EntryDate],DATE(2026,8,20),tblDaily[WardCode],"MAE")),"")</f>
        <v/>
      </c>
      <c r="E307" s="14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14" t="str">
        <f>IFERROR(IF(SUMIFS(tblDaily[TransfersIn],tblDaily[EntryDate],DATE(2026,8,20),tblDaily[WardCode],"MAE")=0,"",SUMIFS(tblDaily[TransfersIn],tblDaily[EntryDate],DATE(2026,8,20),tblDaily[WardCode],"MAE")),"")</f>
        <v/>
      </c>
      <c r="G307" s="14" t="str">
        <f>IFERROR(IF(SUMIFS(tblDaily[TransfersOut],tblDaily[EntryDate],DATE(2026,8,20),tblDaily[WardCode],"MAE")=0,"",SUMIFS(tblDaily[TransfersOut],tblDaily[EntryDate],DATE(2026,8,20),tblDaily[WardCode],"MAE")),"")</f>
        <v/>
      </c>
      <c r="H307" s="14" t="str">
        <f>IFERROR(IF(SUMIFS(tblDaily[Remaining],tblDaily[EntryDate],DATE(2026,8,20),tblDaily[WardCode],"MAE")=0,"",SUMIFS(tblDaily[Remaining],tblDaily[EntryDate],DATE(2026,8,20),tblDaily[WardCode],"MAE")),"")</f>
        <v/>
      </c>
      <c r="I307" s="14" t="str">
        <f>IFERROR(IF(SUMIFS(tblDaily[Admissions],tblDaily[EntryDate],DATE(2026,8,20),tblDaily[WardCode],"FAE")=0,"",SUMIFS(tblDaily[Admissions],tblDaily[EntryDate],DATE(2026,8,20),tblDaily[WardCode],"FAE")),"")</f>
        <v/>
      </c>
      <c r="J307" s="14" t="str">
        <f>IFERROR(IF(SUMIFS(tblDaily[Discharges],tblDaily[EntryDate],DATE(2026,8,20),tblDaily[WardCode],"FAE")=0,"",SUMIFS(tblDaily[Discharges],tblDaily[EntryDate],DATE(2026,8,20),tblDaily[WardCode],"FAE")),"")</f>
        <v/>
      </c>
      <c r="K307" s="14" t="str">
        <f>IFERROR(IF(SUMIFS(tblDaily[Deaths],tblDaily[EntryDate],DATE(2026,8,20),tblDaily[WardCode],"FAE")=0,"",SUMIFS(tblDaily[Deaths],tblDaily[EntryDate],DATE(2026,8,20),tblDaily[WardCode],"FAE")),"")</f>
        <v/>
      </c>
      <c r="L307" s="14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14" t="str">
        <f>IFERROR(IF(SUMIFS(tblDaily[TransfersIn],tblDaily[EntryDate],DATE(2026,8,20),tblDaily[WardCode],"FAE")=0,"",SUMIFS(tblDaily[TransfersIn],tblDaily[EntryDate],DATE(2026,8,20),tblDaily[WardCode],"FAE")),"")</f>
        <v/>
      </c>
      <c r="N307" s="14" t="str">
        <f>IFERROR(IF(SUMIFS(tblDaily[TransfersOut],tblDaily[EntryDate],DATE(2026,8,20),tblDaily[WardCode],"FAE")=0,"",SUMIFS(tblDaily[TransfersOut],tblDaily[EntryDate],DATE(2026,8,20),tblDaily[WardCode],"FAE")),"")</f>
        <v/>
      </c>
      <c r="O307" s="14" t="str">
        <f>IFERROR(IF(SUMIFS(tblDaily[Remaining],tblDaily[EntryDate],DATE(2026,8,20),tblDaily[WardCode],"FAE")=0,"",SUMIFS(tblDaily[Remaining],tblDaily[EntryDate],DATE(2026,8,20),tblDaily[WardCode],"FAE")),"")</f>
        <v/>
      </c>
      <c r="P307" s="15" t="str">
        <f t="shared" si="7"/>
        <v/>
      </c>
    </row>
    <row r="308" spans="1:16" x14ac:dyDescent="0.25">
      <c r="A308" s="14">
        <v>21</v>
      </c>
      <c r="B308" s="14" t="str">
        <f>IFERROR(IF(SUMIFS(tblDaily[Admissions],tblDaily[EntryDate],DATE(2026,8,21),tblDaily[WardCode],"MAE")=0,"",SUMIFS(tblDaily[Admissions],tblDaily[EntryDate],DATE(2026,8,21),tblDaily[WardCode],"MAE")),"")</f>
        <v/>
      </c>
      <c r="C308" s="14" t="str">
        <f>IFERROR(IF(SUMIFS(tblDaily[Discharges],tblDaily[EntryDate],DATE(2026,8,21),tblDaily[WardCode],"MAE")=0,"",SUMIFS(tblDaily[Discharges],tblDaily[EntryDate],DATE(2026,8,21),tblDaily[WardCode],"MAE")),"")</f>
        <v/>
      </c>
      <c r="D308" s="14" t="str">
        <f>IFERROR(IF(SUMIFS(tblDaily[Deaths],tblDaily[EntryDate],DATE(2026,8,21),tblDaily[WardCode],"MAE")=0,"",SUMIFS(tblDaily[Deaths],tblDaily[EntryDate],DATE(2026,8,21),tblDaily[WardCode],"MAE")),"")</f>
        <v/>
      </c>
      <c r="E308" s="14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14" t="str">
        <f>IFERROR(IF(SUMIFS(tblDaily[TransfersIn],tblDaily[EntryDate],DATE(2026,8,21),tblDaily[WardCode],"MAE")=0,"",SUMIFS(tblDaily[TransfersIn],tblDaily[EntryDate],DATE(2026,8,21),tblDaily[WardCode],"MAE")),"")</f>
        <v/>
      </c>
      <c r="G308" s="14" t="str">
        <f>IFERROR(IF(SUMIFS(tblDaily[TransfersOut],tblDaily[EntryDate],DATE(2026,8,21),tblDaily[WardCode],"MAE")=0,"",SUMIFS(tblDaily[TransfersOut],tblDaily[EntryDate],DATE(2026,8,21),tblDaily[WardCode],"MAE")),"")</f>
        <v/>
      </c>
      <c r="H308" s="14" t="str">
        <f>IFERROR(IF(SUMIFS(tblDaily[Remaining],tblDaily[EntryDate],DATE(2026,8,21),tblDaily[WardCode],"MAE")=0,"",SUMIFS(tblDaily[Remaining],tblDaily[EntryDate],DATE(2026,8,21),tblDaily[WardCode],"MAE")),"")</f>
        <v/>
      </c>
      <c r="I308" s="14" t="str">
        <f>IFERROR(IF(SUMIFS(tblDaily[Admissions],tblDaily[EntryDate],DATE(2026,8,21),tblDaily[WardCode],"FAE")=0,"",SUMIFS(tblDaily[Admissions],tblDaily[EntryDate],DATE(2026,8,21),tblDaily[WardCode],"FAE")),"")</f>
        <v/>
      </c>
      <c r="J308" s="14" t="str">
        <f>IFERROR(IF(SUMIFS(tblDaily[Discharges],tblDaily[EntryDate],DATE(2026,8,21),tblDaily[WardCode],"FAE")=0,"",SUMIFS(tblDaily[Discharges],tblDaily[EntryDate],DATE(2026,8,21),tblDaily[WardCode],"FAE")),"")</f>
        <v/>
      </c>
      <c r="K308" s="14" t="str">
        <f>IFERROR(IF(SUMIFS(tblDaily[Deaths],tblDaily[EntryDate],DATE(2026,8,21),tblDaily[WardCode],"FAE")=0,"",SUMIFS(tblDaily[Deaths],tblDaily[EntryDate],DATE(2026,8,21),tblDaily[WardCode],"FAE")),"")</f>
        <v/>
      </c>
      <c r="L308" s="14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14" t="str">
        <f>IFERROR(IF(SUMIFS(tblDaily[TransfersIn],tblDaily[EntryDate],DATE(2026,8,21),tblDaily[WardCode],"FAE")=0,"",SUMIFS(tblDaily[TransfersIn],tblDaily[EntryDate],DATE(2026,8,21),tblDaily[WardCode],"FAE")),"")</f>
        <v/>
      </c>
      <c r="N308" s="14" t="str">
        <f>IFERROR(IF(SUMIFS(tblDaily[TransfersOut],tblDaily[EntryDate],DATE(2026,8,21),tblDaily[WardCode],"FAE")=0,"",SUMIFS(tblDaily[TransfersOut],tblDaily[EntryDate],DATE(2026,8,21),tblDaily[WardCode],"FAE")),"")</f>
        <v/>
      </c>
      <c r="O308" s="14" t="str">
        <f>IFERROR(IF(SUMIFS(tblDaily[Remaining],tblDaily[EntryDate],DATE(2026,8,21),tblDaily[WardCode],"FAE")=0,"",SUMIFS(tblDaily[Remaining],tblDaily[EntryDate],DATE(2026,8,21),tblDaily[WardCode],"FAE")),"")</f>
        <v/>
      </c>
      <c r="P308" s="15" t="str">
        <f t="shared" si="7"/>
        <v/>
      </c>
    </row>
    <row r="309" spans="1:16" x14ac:dyDescent="0.25">
      <c r="A309" s="14">
        <v>22</v>
      </c>
      <c r="B309" s="14" t="str">
        <f>IFERROR(IF(SUMIFS(tblDaily[Admissions],tblDaily[EntryDate],DATE(2026,8,22),tblDaily[WardCode],"MAE")=0,"",SUMIFS(tblDaily[Admissions],tblDaily[EntryDate],DATE(2026,8,22),tblDaily[WardCode],"MAE")),"")</f>
        <v/>
      </c>
      <c r="C309" s="14" t="str">
        <f>IFERROR(IF(SUMIFS(tblDaily[Discharges],tblDaily[EntryDate],DATE(2026,8,22),tblDaily[WardCode],"MAE")=0,"",SUMIFS(tblDaily[Discharges],tblDaily[EntryDate],DATE(2026,8,22),tblDaily[WardCode],"MAE")),"")</f>
        <v/>
      </c>
      <c r="D309" s="14" t="str">
        <f>IFERROR(IF(SUMIFS(tblDaily[Deaths],tblDaily[EntryDate],DATE(2026,8,22),tblDaily[WardCode],"MAE")=0,"",SUMIFS(tblDaily[Deaths],tblDaily[EntryDate],DATE(2026,8,22),tblDaily[WardCode],"MAE")),"")</f>
        <v/>
      </c>
      <c r="E309" s="14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14" t="str">
        <f>IFERROR(IF(SUMIFS(tblDaily[TransfersIn],tblDaily[EntryDate],DATE(2026,8,22),tblDaily[WardCode],"MAE")=0,"",SUMIFS(tblDaily[TransfersIn],tblDaily[EntryDate],DATE(2026,8,22),tblDaily[WardCode],"MAE")),"")</f>
        <v/>
      </c>
      <c r="G309" s="14" t="str">
        <f>IFERROR(IF(SUMIFS(tblDaily[TransfersOut],tblDaily[EntryDate],DATE(2026,8,22),tblDaily[WardCode],"MAE")=0,"",SUMIFS(tblDaily[TransfersOut],tblDaily[EntryDate],DATE(2026,8,22),tblDaily[WardCode],"MAE")),"")</f>
        <v/>
      </c>
      <c r="H309" s="14" t="str">
        <f>IFERROR(IF(SUMIFS(tblDaily[Remaining],tblDaily[EntryDate],DATE(2026,8,22),tblDaily[WardCode],"MAE")=0,"",SUMIFS(tblDaily[Remaining],tblDaily[EntryDate],DATE(2026,8,22),tblDaily[WardCode],"MAE")),"")</f>
        <v/>
      </c>
      <c r="I309" s="14" t="str">
        <f>IFERROR(IF(SUMIFS(tblDaily[Admissions],tblDaily[EntryDate],DATE(2026,8,22),tblDaily[WardCode],"FAE")=0,"",SUMIFS(tblDaily[Admissions],tblDaily[EntryDate],DATE(2026,8,22),tblDaily[WardCode],"FAE")),"")</f>
        <v/>
      </c>
      <c r="J309" s="14" t="str">
        <f>IFERROR(IF(SUMIFS(tblDaily[Discharges],tblDaily[EntryDate],DATE(2026,8,22),tblDaily[WardCode],"FAE")=0,"",SUMIFS(tblDaily[Discharges],tblDaily[EntryDate],DATE(2026,8,22),tblDaily[WardCode],"FAE")),"")</f>
        <v/>
      </c>
      <c r="K309" s="14" t="str">
        <f>IFERROR(IF(SUMIFS(tblDaily[Deaths],tblDaily[EntryDate],DATE(2026,8,22),tblDaily[WardCode],"FAE")=0,"",SUMIFS(tblDaily[Deaths],tblDaily[EntryDate],DATE(2026,8,22),tblDaily[WardCode],"FAE")),"")</f>
        <v/>
      </c>
      <c r="L309" s="14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14" t="str">
        <f>IFERROR(IF(SUMIFS(tblDaily[TransfersIn],tblDaily[EntryDate],DATE(2026,8,22),tblDaily[WardCode],"FAE")=0,"",SUMIFS(tblDaily[TransfersIn],tblDaily[EntryDate],DATE(2026,8,22),tblDaily[WardCode],"FAE")),"")</f>
        <v/>
      </c>
      <c r="N309" s="14" t="str">
        <f>IFERROR(IF(SUMIFS(tblDaily[TransfersOut],tblDaily[EntryDate],DATE(2026,8,22),tblDaily[WardCode],"FAE")=0,"",SUMIFS(tblDaily[TransfersOut],tblDaily[EntryDate],DATE(2026,8,22),tblDaily[WardCode],"FAE")),"")</f>
        <v/>
      </c>
      <c r="O309" s="14" t="str">
        <f>IFERROR(IF(SUMIFS(tblDaily[Remaining],tblDaily[EntryDate],DATE(2026,8,22),tblDaily[WardCode],"FAE")=0,"",SUMIFS(tblDaily[Remaining],tblDaily[EntryDate],DATE(2026,8,22),tblDaily[WardCode],"FAE")),"")</f>
        <v/>
      </c>
      <c r="P309" s="15" t="str">
        <f t="shared" si="7"/>
        <v/>
      </c>
    </row>
    <row r="310" spans="1:16" x14ac:dyDescent="0.25">
      <c r="A310" s="14">
        <v>23</v>
      </c>
      <c r="B310" s="14" t="str">
        <f>IFERROR(IF(SUMIFS(tblDaily[Admissions],tblDaily[EntryDate],DATE(2026,8,23),tblDaily[WardCode],"MAE")=0,"",SUMIFS(tblDaily[Admissions],tblDaily[EntryDate],DATE(2026,8,23),tblDaily[WardCode],"MAE")),"")</f>
        <v/>
      </c>
      <c r="C310" s="14" t="str">
        <f>IFERROR(IF(SUMIFS(tblDaily[Discharges],tblDaily[EntryDate],DATE(2026,8,23),tblDaily[WardCode],"MAE")=0,"",SUMIFS(tblDaily[Discharges],tblDaily[EntryDate],DATE(2026,8,23),tblDaily[WardCode],"MAE")),"")</f>
        <v/>
      </c>
      <c r="D310" s="14" t="str">
        <f>IFERROR(IF(SUMIFS(tblDaily[Deaths],tblDaily[EntryDate],DATE(2026,8,23),tblDaily[WardCode],"MAE")=0,"",SUMIFS(tblDaily[Deaths],tblDaily[EntryDate],DATE(2026,8,23),tblDaily[WardCode],"MAE")),"")</f>
        <v/>
      </c>
      <c r="E310" s="14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14" t="str">
        <f>IFERROR(IF(SUMIFS(tblDaily[TransfersIn],tblDaily[EntryDate],DATE(2026,8,23),tblDaily[WardCode],"MAE")=0,"",SUMIFS(tblDaily[TransfersIn],tblDaily[EntryDate],DATE(2026,8,23),tblDaily[WardCode],"MAE")),"")</f>
        <v/>
      </c>
      <c r="G310" s="14" t="str">
        <f>IFERROR(IF(SUMIFS(tblDaily[TransfersOut],tblDaily[EntryDate],DATE(2026,8,23),tblDaily[WardCode],"MAE")=0,"",SUMIFS(tblDaily[TransfersOut],tblDaily[EntryDate],DATE(2026,8,23),tblDaily[WardCode],"MAE")),"")</f>
        <v/>
      </c>
      <c r="H310" s="14" t="str">
        <f>IFERROR(IF(SUMIFS(tblDaily[Remaining],tblDaily[EntryDate],DATE(2026,8,23),tblDaily[WardCode],"MAE")=0,"",SUMIFS(tblDaily[Remaining],tblDaily[EntryDate],DATE(2026,8,23),tblDaily[WardCode],"MAE")),"")</f>
        <v/>
      </c>
      <c r="I310" s="14" t="str">
        <f>IFERROR(IF(SUMIFS(tblDaily[Admissions],tblDaily[EntryDate],DATE(2026,8,23),tblDaily[WardCode],"FAE")=0,"",SUMIFS(tblDaily[Admissions],tblDaily[EntryDate],DATE(2026,8,23),tblDaily[WardCode],"FAE")),"")</f>
        <v/>
      </c>
      <c r="J310" s="14" t="str">
        <f>IFERROR(IF(SUMIFS(tblDaily[Discharges],tblDaily[EntryDate],DATE(2026,8,23),tblDaily[WardCode],"FAE")=0,"",SUMIFS(tblDaily[Discharges],tblDaily[EntryDate],DATE(2026,8,23),tblDaily[WardCode],"FAE")),"")</f>
        <v/>
      </c>
      <c r="K310" s="14" t="str">
        <f>IFERROR(IF(SUMIFS(tblDaily[Deaths],tblDaily[EntryDate],DATE(2026,8,23),tblDaily[WardCode],"FAE")=0,"",SUMIFS(tblDaily[Deaths],tblDaily[EntryDate],DATE(2026,8,23),tblDaily[WardCode],"FAE")),"")</f>
        <v/>
      </c>
      <c r="L310" s="14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14" t="str">
        <f>IFERROR(IF(SUMIFS(tblDaily[TransfersIn],tblDaily[EntryDate],DATE(2026,8,23),tblDaily[WardCode],"FAE")=0,"",SUMIFS(tblDaily[TransfersIn],tblDaily[EntryDate],DATE(2026,8,23),tblDaily[WardCode],"FAE")),"")</f>
        <v/>
      </c>
      <c r="N310" s="14" t="str">
        <f>IFERROR(IF(SUMIFS(tblDaily[TransfersOut],tblDaily[EntryDate],DATE(2026,8,23),tblDaily[WardCode],"FAE")=0,"",SUMIFS(tblDaily[TransfersOut],tblDaily[EntryDate],DATE(2026,8,23),tblDaily[WardCode],"FAE")),"")</f>
        <v/>
      </c>
      <c r="O310" s="14" t="str">
        <f>IFERROR(IF(SUMIFS(tblDaily[Remaining],tblDaily[EntryDate],DATE(2026,8,23),tblDaily[WardCode],"FAE")=0,"",SUMIFS(tblDaily[Remaining],tblDaily[EntryDate],DATE(2026,8,23),tblDaily[WardCode],"FAE")),"")</f>
        <v/>
      </c>
      <c r="P310" s="15" t="str">
        <f t="shared" si="7"/>
        <v/>
      </c>
    </row>
    <row r="311" spans="1:16" x14ac:dyDescent="0.25">
      <c r="A311" s="14">
        <v>24</v>
      </c>
      <c r="B311" s="14" t="str">
        <f>IFERROR(IF(SUMIFS(tblDaily[Admissions],tblDaily[EntryDate],DATE(2026,8,24),tblDaily[WardCode],"MAE")=0,"",SUMIFS(tblDaily[Admissions],tblDaily[EntryDate],DATE(2026,8,24),tblDaily[WardCode],"MAE")),"")</f>
        <v/>
      </c>
      <c r="C311" s="14" t="str">
        <f>IFERROR(IF(SUMIFS(tblDaily[Discharges],tblDaily[EntryDate],DATE(2026,8,24),tblDaily[WardCode],"MAE")=0,"",SUMIFS(tblDaily[Discharges],tblDaily[EntryDate],DATE(2026,8,24),tblDaily[WardCode],"MAE")),"")</f>
        <v/>
      </c>
      <c r="D311" s="14" t="str">
        <f>IFERROR(IF(SUMIFS(tblDaily[Deaths],tblDaily[EntryDate],DATE(2026,8,24),tblDaily[WardCode],"MAE")=0,"",SUMIFS(tblDaily[Deaths],tblDaily[EntryDate],DATE(2026,8,24),tblDaily[WardCode],"MAE")),"")</f>
        <v/>
      </c>
      <c r="E311" s="14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14" t="str">
        <f>IFERROR(IF(SUMIFS(tblDaily[TransfersIn],tblDaily[EntryDate],DATE(2026,8,24),tblDaily[WardCode],"MAE")=0,"",SUMIFS(tblDaily[TransfersIn],tblDaily[EntryDate],DATE(2026,8,24),tblDaily[WardCode],"MAE")),"")</f>
        <v/>
      </c>
      <c r="G311" s="14" t="str">
        <f>IFERROR(IF(SUMIFS(tblDaily[TransfersOut],tblDaily[EntryDate],DATE(2026,8,24),tblDaily[WardCode],"MAE")=0,"",SUMIFS(tblDaily[TransfersOut],tblDaily[EntryDate],DATE(2026,8,24),tblDaily[WardCode],"MAE")),"")</f>
        <v/>
      </c>
      <c r="H311" s="14" t="str">
        <f>IFERROR(IF(SUMIFS(tblDaily[Remaining],tblDaily[EntryDate],DATE(2026,8,24),tblDaily[WardCode],"MAE")=0,"",SUMIFS(tblDaily[Remaining],tblDaily[EntryDate],DATE(2026,8,24),tblDaily[WardCode],"MAE")),"")</f>
        <v/>
      </c>
      <c r="I311" s="14" t="str">
        <f>IFERROR(IF(SUMIFS(tblDaily[Admissions],tblDaily[EntryDate],DATE(2026,8,24),tblDaily[WardCode],"FAE")=0,"",SUMIFS(tblDaily[Admissions],tblDaily[EntryDate],DATE(2026,8,24),tblDaily[WardCode],"FAE")),"")</f>
        <v/>
      </c>
      <c r="J311" s="14" t="str">
        <f>IFERROR(IF(SUMIFS(tblDaily[Discharges],tblDaily[EntryDate],DATE(2026,8,24),tblDaily[WardCode],"FAE")=0,"",SUMIFS(tblDaily[Discharges],tblDaily[EntryDate],DATE(2026,8,24),tblDaily[WardCode],"FAE")),"")</f>
        <v/>
      </c>
      <c r="K311" s="14" t="str">
        <f>IFERROR(IF(SUMIFS(tblDaily[Deaths],tblDaily[EntryDate],DATE(2026,8,24),tblDaily[WardCode],"FAE")=0,"",SUMIFS(tblDaily[Deaths],tblDaily[EntryDate],DATE(2026,8,24),tblDaily[WardCode],"FAE")),"")</f>
        <v/>
      </c>
      <c r="L311" s="14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14" t="str">
        <f>IFERROR(IF(SUMIFS(tblDaily[TransfersIn],tblDaily[EntryDate],DATE(2026,8,24),tblDaily[WardCode],"FAE")=0,"",SUMIFS(tblDaily[TransfersIn],tblDaily[EntryDate],DATE(2026,8,24),tblDaily[WardCode],"FAE")),"")</f>
        <v/>
      </c>
      <c r="N311" s="14" t="str">
        <f>IFERROR(IF(SUMIFS(tblDaily[TransfersOut],tblDaily[EntryDate],DATE(2026,8,24),tblDaily[WardCode],"FAE")=0,"",SUMIFS(tblDaily[TransfersOut],tblDaily[EntryDate],DATE(2026,8,24),tblDaily[WardCode],"FAE")),"")</f>
        <v/>
      </c>
      <c r="O311" s="14" t="str">
        <f>IFERROR(IF(SUMIFS(tblDaily[Remaining],tblDaily[EntryDate],DATE(2026,8,24),tblDaily[WardCode],"FAE")=0,"",SUMIFS(tblDaily[Remaining],tblDaily[EntryDate],DATE(2026,8,24),tblDaily[WardCode],"FAE")),"")</f>
        <v/>
      </c>
      <c r="P311" s="15" t="str">
        <f t="shared" si="7"/>
        <v/>
      </c>
    </row>
    <row r="312" spans="1:16" x14ac:dyDescent="0.25">
      <c r="A312" s="14">
        <v>25</v>
      </c>
      <c r="B312" s="14" t="str">
        <f>IFERROR(IF(SUMIFS(tblDaily[Admissions],tblDaily[EntryDate],DATE(2026,8,25),tblDaily[WardCode],"MAE")=0,"",SUMIFS(tblDaily[Admissions],tblDaily[EntryDate],DATE(2026,8,25),tblDaily[WardCode],"MAE")),"")</f>
        <v/>
      </c>
      <c r="C312" s="14" t="str">
        <f>IFERROR(IF(SUMIFS(tblDaily[Discharges],tblDaily[EntryDate],DATE(2026,8,25),tblDaily[WardCode],"MAE")=0,"",SUMIFS(tblDaily[Discharges],tblDaily[EntryDate],DATE(2026,8,25),tblDaily[WardCode],"MAE")),"")</f>
        <v/>
      </c>
      <c r="D312" s="14" t="str">
        <f>IFERROR(IF(SUMIFS(tblDaily[Deaths],tblDaily[EntryDate],DATE(2026,8,25),tblDaily[WardCode],"MAE")=0,"",SUMIFS(tblDaily[Deaths],tblDaily[EntryDate],DATE(2026,8,25),tblDaily[WardCode],"MAE")),"")</f>
        <v/>
      </c>
      <c r="E312" s="14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14" t="str">
        <f>IFERROR(IF(SUMIFS(tblDaily[TransfersIn],tblDaily[EntryDate],DATE(2026,8,25),tblDaily[WardCode],"MAE")=0,"",SUMIFS(tblDaily[TransfersIn],tblDaily[EntryDate],DATE(2026,8,25),tblDaily[WardCode],"MAE")),"")</f>
        <v/>
      </c>
      <c r="G312" s="14" t="str">
        <f>IFERROR(IF(SUMIFS(tblDaily[TransfersOut],tblDaily[EntryDate],DATE(2026,8,25),tblDaily[WardCode],"MAE")=0,"",SUMIFS(tblDaily[TransfersOut],tblDaily[EntryDate],DATE(2026,8,25),tblDaily[WardCode],"MAE")),"")</f>
        <v/>
      </c>
      <c r="H312" s="14" t="str">
        <f>IFERROR(IF(SUMIFS(tblDaily[Remaining],tblDaily[EntryDate],DATE(2026,8,25),tblDaily[WardCode],"MAE")=0,"",SUMIFS(tblDaily[Remaining],tblDaily[EntryDate],DATE(2026,8,25),tblDaily[WardCode],"MAE")),"")</f>
        <v/>
      </c>
      <c r="I312" s="14" t="str">
        <f>IFERROR(IF(SUMIFS(tblDaily[Admissions],tblDaily[EntryDate],DATE(2026,8,25),tblDaily[WardCode],"FAE")=0,"",SUMIFS(tblDaily[Admissions],tblDaily[EntryDate],DATE(2026,8,25),tblDaily[WardCode],"FAE")),"")</f>
        <v/>
      </c>
      <c r="J312" s="14" t="str">
        <f>IFERROR(IF(SUMIFS(tblDaily[Discharges],tblDaily[EntryDate],DATE(2026,8,25),tblDaily[WardCode],"FAE")=0,"",SUMIFS(tblDaily[Discharges],tblDaily[EntryDate],DATE(2026,8,25),tblDaily[WardCode],"FAE")),"")</f>
        <v/>
      </c>
      <c r="K312" s="14" t="str">
        <f>IFERROR(IF(SUMIFS(tblDaily[Deaths],tblDaily[EntryDate],DATE(2026,8,25),tblDaily[WardCode],"FAE")=0,"",SUMIFS(tblDaily[Deaths],tblDaily[EntryDate],DATE(2026,8,25),tblDaily[WardCode],"FAE")),"")</f>
        <v/>
      </c>
      <c r="L312" s="14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14" t="str">
        <f>IFERROR(IF(SUMIFS(tblDaily[TransfersIn],tblDaily[EntryDate],DATE(2026,8,25),tblDaily[WardCode],"FAE")=0,"",SUMIFS(tblDaily[TransfersIn],tblDaily[EntryDate],DATE(2026,8,25),tblDaily[WardCode],"FAE")),"")</f>
        <v/>
      </c>
      <c r="N312" s="14" t="str">
        <f>IFERROR(IF(SUMIFS(tblDaily[TransfersOut],tblDaily[EntryDate],DATE(2026,8,25),tblDaily[WardCode],"FAE")=0,"",SUMIFS(tblDaily[TransfersOut],tblDaily[EntryDate],DATE(2026,8,25),tblDaily[WardCode],"FAE")),"")</f>
        <v/>
      </c>
      <c r="O312" s="14" t="str">
        <f>IFERROR(IF(SUMIFS(tblDaily[Remaining],tblDaily[EntryDate],DATE(2026,8,25),tblDaily[WardCode],"FAE")=0,"",SUMIFS(tblDaily[Remaining],tblDaily[EntryDate],DATE(2026,8,25),tblDaily[WardCode],"FAE")),"")</f>
        <v/>
      </c>
      <c r="P312" s="15" t="str">
        <f t="shared" si="7"/>
        <v/>
      </c>
    </row>
    <row r="313" spans="1:16" x14ac:dyDescent="0.25">
      <c r="A313" s="14">
        <v>26</v>
      </c>
      <c r="B313" s="14" t="str">
        <f>IFERROR(IF(SUMIFS(tblDaily[Admissions],tblDaily[EntryDate],DATE(2026,8,26),tblDaily[WardCode],"MAE")=0,"",SUMIFS(tblDaily[Admissions],tblDaily[EntryDate],DATE(2026,8,26),tblDaily[WardCode],"MAE")),"")</f>
        <v/>
      </c>
      <c r="C313" s="14" t="str">
        <f>IFERROR(IF(SUMIFS(tblDaily[Discharges],tblDaily[EntryDate],DATE(2026,8,26),tblDaily[WardCode],"MAE")=0,"",SUMIFS(tblDaily[Discharges],tblDaily[EntryDate],DATE(2026,8,26),tblDaily[WardCode],"MAE")),"")</f>
        <v/>
      </c>
      <c r="D313" s="14" t="str">
        <f>IFERROR(IF(SUMIFS(tblDaily[Deaths],tblDaily[EntryDate],DATE(2026,8,26),tblDaily[WardCode],"MAE")=0,"",SUMIFS(tblDaily[Deaths],tblDaily[EntryDate],DATE(2026,8,26),tblDaily[WardCode],"MAE")),"")</f>
        <v/>
      </c>
      <c r="E313" s="14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14" t="str">
        <f>IFERROR(IF(SUMIFS(tblDaily[TransfersIn],tblDaily[EntryDate],DATE(2026,8,26),tblDaily[WardCode],"MAE")=0,"",SUMIFS(tblDaily[TransfersIn],tblDaily[EntryDate],DATE(2026,8,26),tblDaily[WardCode],"MAE")),"")</f>
        <v/>
      </c>
      <c r="G313" s="14" t="str">
        <f>IFERROR(IF(SUMIFS(tblDaily[TransfersOut],tblDaily[EntryDate],DATE(2026,8,26),tblDaily[WardCode],"MAE")=0,"",SUMIFS(tblDaily[TransfersOut],tblDaily[EntryDate],DATE(2026,8,26),tblDaily[WardCode],"MAE")),"")</f>
        <v/>
      </c>
      <c r="H313" s="14" t="str">
        <f>IFERROR(IF(SUMIFS(tblDaily[Remaining],tblDaily[EntryDate],DATE(2026,8,26),tblDaily[WardCode],"MAE")=0,"",SUMIFS(tblDaily[Remaining],tblDaily[EntryDate],DATE(2026,8,26),tblDaily[WardCode],"MAE")),"")</f>
        <v/>
      </c>
      <c r="I313" s="14" t="str">
        <f>IFERROR(IF(SUMIFS(tblDaily[Admissions],tblDaily[EntryDate],DATE(2026,8,26),tblDaily[WardCode],"FAE")=0,"",SUMIFS(tblDaily[Admissions],tblDaily[EntryDate],DATE(2026,8,26),tblDaily[WardCode],"FAE")),"")</f>
        <v/>
      </c>
      <c r="J313" s="14" t="str">
        <f>IFERROR(IF(SUMIFS(tblDaily[Discharges],tblDaily[EntryDate],DATE(2026,8,26),tblDaily[WardCode],"FAE")=0,"",SUMIFS(tblDaily[Discharges],tblDaily[EntryDate],DATE(2026,8,26),tblDaily[WardCode],"FAE")),"")</f>
        <v/>
      </c>
      <c r="K313" s="14" t="str">
        <f>IFERROR(IF(SUMIFS(tblDaily[Deaths],tblDaily[EntryDate],DATE(2026,8,26),tblDaily[WardCode],"FAE")=0,"",SUMIFS(tblDaily[Deaths],tblDaily[EntryDate],DATE(2026,8,26),tblDaily[WardCode],"FAE")),"")</f>
        <v/>
      </c>
      <c r="L313" s="14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14" t="str">
        <f>IFERROR(IF(SUMIFS(tblDaily[TransfersIn],tblDaily[EntryDate],DATE(2026,8,26),tblDaily[WardCode],"FAE")=0,"",SUMIFS(tblDaily[TransfersIn],tblDaily[EntryDate],DATE(2026,8,26),tblDaily[WardCode],"FAE")),"")</f>
        <v/>
      </c>
      <c r="N313" s="14" t="str">
        <f>IFERROR(IF(SUMIFS(tblDaily[TransfersOut],tblDaily[EntryDate],DATE(2026,8,26),tblDaily[WardCode],"FAE")=0,"",SUMIFS(tblDaily[TransfersOut],tblDaily[EntryDate],DATE(2026,8,26),tblDaily[WardCode],"FAE")),"")</f>
        <v/>
      </c>
      <c r="O313" s="14" t="str">
        <f>IFERROR(IF(SUMIFS(tblDaily[Remaining],tblDaily[EntryDate],DATE(2026,8,26),tblDaily[WardCode],"FAE")=0,"",SUMIFS(tblDaily[Remaining],tblDaily[EntryDate],DATE(2026,8,26),tblDaily[WardCode],"FAE")),"")</f>
        <v/>
      </c>
      <c r="P313" s="15" t="str">
        <f t="shared" si="7"/>
        <v/>
      </c>
    </row>
    <row r="314" spans="1:16" x14ac:dyDescent="0.25">
      <c r="A314" s="14">
        <v>27</v>
      </c>
      <c r="B314" s="14" t="str">
        <f>IFERROR(IF(SUMIFS(tblDaily[Admissions],tblDaily[EntryDate],DATE(2026,8,27),tblDaily[WardCode],"MAE")=0,"",SUMIFS(tblDaily[Admissions],tblDaily[EntryDate],DATE(2026,8,27),tblDaily[WardCode],"MAE")),"")</f>
        <v/>
      </c>
      <c r="C314" s="14" t="str">
        <f>IFERROR(IF(SUMIFS(tblDaily[Discharges],tblDaily[EntryDate],DATE(2026,8,27),tblDaily[WardCode],"MAE")=0,"",SUMIFS(tblDaily[Discharges],tblDaily[EntryDate],DATE(2026,8,27),tblDaily[WardCode],"MAE")),"")</f>
        <v/>
      </c>
      <c r="D314" s="14" t="str">
        <f>IFERROR(IF(SUMIFS(tblDaily[Deaths],tblDaily[EntryDate],DATE(2026,8,27),tblDaily[WardCode],"MAE")=0,"",SUMIFS(tblDaily[Deaths],tblDaily[EntryDate],DATE(2026,8,27),tblDaily[WardCode],"MAE")),"")</f>
        <v/>
      </c>
      <c r="E314" s="14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14" t="str">
        <f>IFERROR(IF(SUMIFS(tblDaily[TransfersIn],tblDaily[EntryDate],DATE(2026,8,27),tblDaily[WardCode],"MAE")=0,"",SUMIFS(tblDaily[TransfersIn],tblDaily[EntryDate],DATE(2026,8,27),tblDaily[WardCode],"MAE")),"")</f>
        <v/>
      </c>
      <c r="G314" s="14" t="str">
        <f>IFERROR(IF(SUMIFS(tblDaily[TransfersOut],tblDaily[EntryDate],DATE(2026,8,27),tblDaily[WardCode],"MAE")=0,"",SUMIFS(tblDaily[TransfersOut],tblDaily[EntryDate],DATE(2026,8,27),tblDaily[WardCode],"MAE")),"")</f>
        <v/>
      </c>
      <c r="H314" s="14" t="str">
        <f>IFERROR(IF(SUMIFS(tblDaily[Remaining],tblDaily[EntryDate],DATE(2026,8,27),tblDaily[WardCode],"MAE")=0,"",SUMIFS(tblDaily[Remaining],tblDaily[EntryDate],DATE(2026,8,27),tblDaily[WardCode],"MAE")),"")</f>
        <v/>
      </c>
      <c r="I314" s="14" t="str">
        <f>IFERROR(IF(SUMIFS(tblDaily[Admissions],tblDaily[EntryDate],DATE(2026,8,27),tblDaily[WardCode],"FAE")=0,"",SUMIFS(tblDaily[Admissions],tblDaily[EntryDate],DATE(2026,8,27),tblDaily[WardCode],"FAE")),"")</f>
        <v/>
      </c>
      <c r="J314" s="14" t="str">
        <f>IFERROR(IF(SUMIFS(tblDaily[Discharges],tblDaily[EntryDate],DATE(2026,8,27),tblDaily[WardCode],"FAE")=0,"",SUMIFS(tblDaily[Discharges],tblDaily[EntryDate],DATE(2026,8,27),tblDaily[WardCode],"FAE")),"")</f>
        <v/>
      </c>
      <c r="K314" s="14" t="str">
        <f>IFERROR(IF(SUMIFS(tblDaily[Deaths],tblDaily[EntryDate],DATE(2026,8,27),tblDaily[WardCode],"FAE")=0,"",SUMIFS(tblDaily[Deaths],tblDaily[EntryDate],DATE(2026,8,27),tblDaily[WardCode],"FAE")),"")</f>
        <v/>
      </c>
      <c r="L314" s="14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14" t="str">
        <f>IFERROR(IF(SUMIFS(tblDaily[TransfersIn],tblDaily[EntryDate],DATE(2026,8,27),tblDaily[WardCode],"FAE")=0,"",SUMIFS(tblDaily[TransfersIn],tblDaily[EntryDate],DATE(2026,8,27),tblDaily[WardCode],"FAE")),"")</f>
        <v/>
      </c>
      <c r="N314" s="14" t="str">
        <f>IFERROR(IF(SUMIFS(tblDaily[TransfersOut],tblDaily[EntryDate],DATE(2026,8,27),tblDaily[WardCode],"FAE")=0,"",SUMIFS(tblDaily[TransfersOut],tblDaily[EntryDate],DATE(2026,8,27),tblDaily[WardCode],"FAE")),"")</f>
        <v/>
      </c>
      <c r="O314" s="14" t="str">
        <f>IFERROR(IF(SUMIFS(tblDaily[Remaining],tblDaily[EntryDate],DATE(2026,8,27),tblDaily[WardCode],"FAE")=0,"",SUMIFS(tblDaily[Remaining],tblDaily[EntryDate],DATE(2026,8,27),tblDaily[WardCode],"FAE")),"")</f>
        <v/>
      </c>
      <c r="P314" s="15" t="str">
        <f t="shared" si="7"/>
        <v/>
      </c>
    </row>
    <row r="315" spans="1:16" x14ac:dyDescent="0.25">
      <c r="A315" s="14">
        <v>28</v>
      </c>
      <c r="B315" s="14" t="str">
        <f>IFERROR(IF(SUMIFS(tblDaily[Admissions],tblDaily[EntryDate],DATE(2026,8,28),tblDaily[WardCode],"MAE")=0,"",SUMIFS(tblDaily[Admissions],tblDaily[EntryDate],DATE(2026,8,28),tblDaily[WardCode],"MAE")),"")</f>
        <v/>
      </c>
      <c r="C315" s="14" t="str">
        <f>IFERROR(IF(SUMIFS(tblDaily[Discharges],tblDaily[EntryDate],DATE(2026,8,28),tblDaily[WardCode],"MAE")=0,"",SUMIFS(tblDaily[Discharges],tblDaily[EntryDate],DATE(2026,8,28),tblDaily[WardCode],"MAE")),"")</f>
        <v/>
      </c>
      <c r="D315" s="14" t="str">
        <f>IFERROR(IF(SUMIFS(tblDaily[Deaths],tblDaily[EntryDate],DATE(2026,8,28),tblDaily[WardCode],"MAE")=0,"",SUMIFS(tblDaily[Deaths],tblDaily[EntryDate],DATE(2026,8,28),tblDaily[WardCode],"MAE")),"")</f>
        <v/>
      </c>
      <c r="E315" s="14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14" t="str">
        <f>IFERROR(IF(SUMIFS(tblDaily[TransfersIn],tblDaily[EntryDate],DATE(2026,8,28),tblDaily[WardCode],"MAE")=0,"",SUMIFS(tblDaily[TransfersIn],tblDaily[EntryDate],DATE(2026,8,28),tblDaily[WardCode],"MAE")),"")</f>
        <v/>
      </c>
      <c r="G315" s="14" t="str">
        <f>IFERROR(IF(SUMIFS(tblDaily[TransfersOut],tblDaily[EntryDate],DATE(2026,8,28),tblDaily[WardCode],"MAE")=0,"",SUMIFS(tblDaily[TransfersOut],tblDaily[EntryDate],DATE(2026,8,28),tblDaily[WardCode],"MAE")),"")</f>
        <v/>
      </c>
      <c r="H315" s="14" t="str">
        <f>IFERROR(IF(SUMIFS(tblDaily[Remaining],tblDaily[EntryDate],DATE(2026,8,28),tblDaily[WardCode],"MAE")=0,"",SUMIFS(tblDaily[Remaining],tblDaily[EntryDate],DATE(2026,8,28),tblDaily[WardCode],"MAE")),"")</f>
        <v/>
      </c>
      <c r="I315" s="14" t="str">
        <f>IFERROR(IF(SUMIFS(tblDaily[Admissions],tblDaily[EntryDate],DATE(2026,8,28),tblDaily[WardCode],"FAE")=0,"",SUMIFS(tblDaily[Admissions],tblDaily[EntryDate],DATE(2026,8,28),tblDaily[WardCode],"FAE")),"")</f>
        <v/>
      </c>
      <c r="J315" s="14" t="str">
        <f>IFERROR(IF(SUMIFS(tblDaily[Discharges],tblDaily[EntryDate],DATE(2026,8,28),tblDaily[WardCode],"FAE")=0,"",SUMIFS(tblDaily[Discharges],tblDaily[EntryDate],DATE(2026,8,28),tblDaily[WardCode],"FAE")),"")</f>
        <v/>
      </c>
      <c r="K315" s="14" t="str">
        <f>IFERROR(IF(SUMIFS(tblDaily[Deaths],tblDaily[EntryDate],DATE(2026,8,28),tblDaily[WardCode],"FAE")=0,"",SUMIFS(tblDaily[Deaths],tblDaily[EntryDate],DATE(2026,8,28),tblDaily[WardCode],"FAE")),"")</f>
        <v/>
      </c>
      <c r="L315" s="14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14" t="str">
        <f>IFERROR(IF(SUMIFS(tblDaily[TransfersIn],tblDaily[EntryDate],DATE(2026,8,28),tblDaily[WardCode],"FAE")=0,"",SUMIFS(tblDaily[TransfersIn],tblDaily[EntryDate],DATE(2026,8,28),tblDaily[WardCode],"FAE")),"")</f>
        <v/>
      </c>
      <c r="N315" s="14" t="str">
        <f>IFERROR(IF(SUMIFS(tblDaily[TransfersOut],tblDaily[EntryDate],DATE(2026,8,28),tblDaily[WardCode],"FAE")=0,"",SUMIFS(tblDaily[TransfersOut],tblDaily[EntryDate],DATE(2026,8,28),tblDaily[WardCode],"FAE")),"")</f>
        <v/>
      </c>
      <c r="O315" s="14" t="str">
        <f>IFERROR(IF(SUMIFS(tblDaily[Remaining],tblDaily[EntryDate],DATE(2026,8,28),tblDaily[WardCode],"FAE")=0,"",SUMIFS(tblDaily[Remaining],tblDaily[EntryDate],DATE(2026,8,28),tblDaily[WardCode],"FAE")),"")</f>
        <v/>
      </c>
      <c r="P315" s="15" t="str">
        <f t="shared" si="7"/>
        <v/>
      </c>
    </row>
    <row r="316" spans="1:16" x14ac:dyDescent="0.25">
      <c r="A316" s="14">
        <v>29</v>
      </c>
      <c r="B316" s="14" t="str">
        <f>IFERROR(IF(SUMIFS(tblDaily[Admissions],tblDaily[EntryDate],DATE(2026,8,29),tblDaily[WardCode],"MAE")=0,"",SUMIFS(tblDaily[Admissions],tblDaily[EntryDate],DATE(2026,8,29),tblDaily[WardCode],"MAE")),"")</f>
        <v/>
      </c>
      <c r="C316" s="14" t="str">
        <f>IFERROR(IF(SUMIFS(tblDaily[Discharges],tblDaily[EntryDate],DATE(2026,8,29),tblDaily[WardCode],"MAE")=0,"",SUMIFS(tblDaily[Discharges],tblDaily[EntryDate],DATE(2026,8,29),tblDaily[WardCode],"MAE")),"")</f>
        <v/>
      </c>
      <c r="D316" s="14" t="str">
        <f>IFERROR(IF(SUMIFS(tblDaily[Deaths],tblDaily[EntryDate],DATE(2026,8,29),tblDaily[WardCode],"MAE")=0,"",SUMIFS(tblDaily[Deaths],tblDaily[EntryDate],DATE(2026,8,29),tblDaily[WardCode],"MAE")),"")</f>
        <v/>
      </c>
      <c r="E316" s="14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14" t="str">
        <f>IFERROR(IF(SUMIFS(tblDaily[TransfersIn],tblDaily[EntryDate],DATE(2026,8,29),tblDaily[WardCode],"MAE")=0,"",SUMIFS(tblDaily[TransfersIn],tblDaily[EntryDate],DATE(2026,8,29),tblDaily[WardCode],"MAE")),"")</f>
        <v/>
      </c>
      <c r="G316" s="14" t="str">
        <f>IFERROR(IF(SUMIFS(tblDaily[TransfersOut],tblDaily[EntryDate],DATE(2026,8,29),tblDaily[WardCode],"MAE")=0,"",SUMIFS(tblDaily[TransfersOut],tblDaily[EntryDate],DATE(2026,8,29),tblDaily[WardCode],"MAE")),"")</f>
        <v/>
      </c>
      <c r="H316" s="14" t="str">
        <f>IFERROR(IF(SUMIFS(tblDaily[Remaining],tblDaily[EntryDate],DATE(2026,8,29),tblDaily[WardCode],"MAE")=0,"",SUMIFS(tblDaily[Remaining],tblDaily[EntryDate],DATE(2026,8,29),tblDaily[WardCode],"MAE")),"")</f>
        <v/>
      </c>
      <c r="I316" s="14" t="str">
        <f>IFERROR(IF(SUMIFS(tblDaily[Admissions],tblDaily[EntryDate],DATE(2026,8,29),tblDaily[WardCode],"FAE")=0,"",SUMIFS(tblDaily[Admissions],tblDaily[EntryDate],DATE(2026,8,29),tblDaily[WardCode],"FAE")),"")</f>
        <v/>
      </c>
      <c r="J316" s="14" t="str">
        <f>IFERROR(IF(SUMIFS(tblDaily[Discharges],tblDaily[EntryDate],DATE(2026,8,29),tblDaily[WardCode],"FAE")=0,"",SUMIFS(tblDaily[Discharges],tblDaily[EntryDate],DATE(2026,8,29),tblDaily[WardCode],"FAE")),"")</f>
        <v/>
      </c>
      <c r="K316" s="14" t="str">
        <f>IFERROR(IF(SUMIFS(tblDaily[Deaths],tblDaily[EntryDate],DATE(2026,8,29),tblDaily[WardCode],"FAE")=0,"",SUMIFS(tblDaily[Deaths],tblDaily[EntryDate],DATE(2026,8,29),tblDaily[WardCode],"FAE")),"")</f>
        <v/>
      </c>
      <c r="L316" s="14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14" t="str">
        <f>IFERROR(IF(SUMIFS(tblDaily[TransfersIn],tblDaily[EntryDate],DATE(2026,8,29),tblDaily[WardCode],"FAE")=0,"",SUMIFS(tblDaily[TransfersIn],tblDaily[EntryDate],DATE(2026,8,29),tblDaily[WardCode],"FAE")),"")</f>
        <v/>
      </c>
      <c r="N316" s="14" t="str">
        <f>IFERROR(IF(SUMIFS(tblDaily[TransfersOut],tblDaily[EntryDate],DATE(2026,8,29),tblDaily[WardCode],"FAE")=0,"",SUMIFS(tblDaily[TransfersOut],tblDaily[EntryDate],DATE(2026,8,29),tblDaily[WardCode],"FAE")),"")</f>
        <v/>
      </c>
      <c r="O316" s="14" t="str">
        <f>IFERROR(IF(SUMIFS(tblDaily[Remaining],tblDaily[EntryDate],DATE(2026,8,29),tblDaily[WardCode],"FAE")=0,"",SUMIFS(tblDaily[Remaining],tblDaily[EntryDate],DATE(2026,8,29),tblDaily[WardCode],"FAE")),"")</f>
        <v/>
      </c>
      <c r="P316" s="15" t="str">
        <f t="shared" si="7"/>
        <v/>
      </c>
    </row>
    <row r="317" spans="1:16" x14ac:dyDescent="0.25">
      <c r="A317" s="14">
        <v>30</v>
      </c>
      <c r="B317" s="14" t="str">
        <f>IFERROR(IF(SUMIFS(tblDaily[Admissions],tblDaily[EntryDate],DATE(2026,8,30),tblDaily[WardCode],"MAE")=0,"",SUMIFS(tblDaily[Admissions],tblDaily[EntryDate],DATE(2026,8,30),tblDaily[WardCode],"MAE")),"")</f>
        <v/>
      </c>
      <c r="C317" s="14" t="str">
        <f>IFERROR(IF(SUMIFS(tblDaily[Discharges],tblDaily[EntryDate],DATE(2026,8,30),tblDaily[WardCode],"MAE")=0,"",SUMIFS(tblDaily[Discharges],tblDaily[EntryDate],DATE(2026,8,30),tblDaily[WardCode],"MAE")),"")</f>
        <v/>
      </c>
      <c r="D317" s="14" t="str">
        <f>IFERROR(IF(SUMIFS(tblDaily[Deaths],tblDaily[EntryDate],DATE(2026,8,30),tblDaily[WardCode],"MAE")=0,"",SUMIFS(tblDaily[Deaths],tblDaily[EntryDate],DATE(2026,8,30),tblDaily[WardCode],"MAE")),"")</f>
        <v/>
      </c>
      <c r="E317" s="14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14" t="str">
        <f>IFERROR(IF(SUMIFS(tblDaily[TransfersIn],tblDaily[EntryDate],DATE(2026,8,30),tblDaily[WardCode],"MAE")=0,"",SUMIFS(tblDaily[TransfersIn],tblDaily[EntryDate],DATE(2026,8,30),tblDaily[WardCode],"MAE")),"")</f>
        <v/>
      </c>
      <c r="G317" s="14" t="str">
        <f>IFERROR(IF(SUMIFS(tblDaily[TransfersOut],tblDaily[EntryDate],DATE(2026,8,30),tblDaily[WardCode],"MAE")=0,"",SUMIFS(tblDaily[TransfersOut],tblDaily[EntryDate],DATE(2026,8,30),tblDaily[WardCode],"MAE")),"")</f>
        <v/>
      </c>
      <c r="H317" s="14" t="str">
        <f>IFERROR(IF(SUMIFS(tblDaily[Remaining],tblDaily[EntryDate],DATE(2026,8,30),tblDaily[WardCode],"MAE")=0,"",SUMIFS(tblDaily[Remaining],tblDaily[EntryDate],DATE(2026,8,30),tblDaily[WardCode],"MAE")),"")</f>
        <v/>
      </c>
      <c r="I317" s="14" t="str">
        <f>IFERROR(IF(SUMIFS(tblDaily[Admissions],tblDaily[EntryDate],DATE(2026,8,30),tblDaily[WardCode],"FAE")=0,"",SUMIFS(tblDaily[Admissions],tblDaily[EntryDate],DATE(2026,8,30),tblDaily[WardCode],"FAE")),"")</f>
        <v/>
      </c>
      <c r="J317" s="14" t="str">
        <f>IFERROR(IF(SUMIFS(tblDaily[Discharges],tblDaily[EntryDate],DATE(2026,8,30),tblDaily[WardCode],"FAE")=0,"",SUMIFS(tblDaily[Discharges],tblDaily[EntryDate],DATE(2026,8,30),tblDaily[WardCode],"FAE")),"")</f>
        <v/>
      </c>
      <c r="K317" s="14" t="str">
        <f>IFERROR(IF(SUMIFS(tblDaily[Deaths],tblDaily[EntryDate],DATE(2026,8,30),tblDaily[WardCode],"FAE")=0,"",SUMIFS(tblDaily[Deaths],tblDaily[EntryDate],DATE(2026,8,30),tblDaily[WardCode],"FAE")),"")</f>
        <v/>
      </c>
      <c r="L317" s="14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14" t="str">
        <f>IFERROR(IF(SUMIFS(tblDaily[TransfersIn],tblDaily[EntryDate],DATE(2026,8,30),tblDaily[WardCode],"FAE")=0,"",SUMIFS(tblDaily[TransfersIn],tblDaily[EntryDate],DATE(2026,8,30),tblDaily[WardCode],"FAE")),"")</f>
        <v/>
      </c>
      <c r="N317" s="14" t="str">
        <f>IFERROR(IF(SUMIFS(tblDaily[TransfersOut],tblDaily[EntryDate],DATE(2026,8,30),tblDaily[WardCode],"FAE")=0,"",SUMIFS(tblDaily[TransfersOut],tblDaily[EntryDate],DATE(2026,8,30),tblDaily[WardCode],"FAE")),"")</f>
        <v/>
      </c>
      <c r="O317" s="14" t="str">
        <f>IFERROR(IF(SUMIFS(tblDaily[Remaining],tblDaily[EntryDate],DATE(2026,8,30),tblDaily[WardCode],"FAE")=0,"",SUMIFS(tblDaily[Remaining],tblDaily[EntryDate],DATE(2026,8,30),tblDaily[WardCode],"FAE")),"")</f>
        <v/>
      </c>
      <c r="P317" s="15" t="str">
        <f t="shared" si="7"/>
        <v/>
      </c>
    </row>
    <row r="318" spans="1:16" x14ac:dyDescent="0.25">
      <c r="A318" s="14">
        <v>31</v>
      </c>
      <c r="B318" s="14" t="str">
        <f>IFERROR(IF(SUMIFS(tblDaily[Admissions],tblDaily[EntryDate],DATE(2026,8,31),tblDaily[WardCode],"MAE")=0,"",SUMIFS(tblDaily[Admissions],tblDaily[EntryDate],DATE(2026,8,31),tblDaily[WardCode],"MAE")),"")</f>
        <v/>
      </c>
      <c r="C318" s="14" t="str">
        <f>IFERROR(IF(SUMIFS(tblDaily[Discharges],tblDaily[EntryDate],DATE(2026,8,31),tblDaily[WardCode],"MAE")=0,"",SUMIFS(tblDaily[Discharges],tblDaily[EntryDate],DATE(2026,8,31),tblDaily[WardCode],"MAE")),"")</f>
        <v/>
      </c>
      <c r="D318" s="14" t="str">
        <f>IFERROR(IF(SUMIFS(tblDaily[Deaths],tblDaily[EntryDate],DATE(2026,8,31),tblDaily[WardCode],"MAE")=0,"",SUMIFS(tblDaily[Deaths],tblDaily[EntryDate],DATE(2026,8,31),tblDaily[WardCode],"MAE")),"")</f>
        <v/>
      </c>
      <c r="E318" s="14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14" t="str">
        <f>IFERROR(IF(SUMIFS(tblDaily[TransfersIn],tblDaily[EntryDate],DATE(2026,8,31),tblDaily[WardCode],"MAE")=0,"",SUMIFS(tblDaily[TransfersIn],tblDaily[EntryDate],DATE(2026,8,31),tblDaily[WardCode],"MAE")),"")</f>
        <v/>
      </c>
      <c r="G318" s="14" t="str">
        <f>IFERROR(IF(SUMIFS(tblDaily[TransfersOut],tblDaily[EntryDate],DATE(2026,8,31),tblDaily[WardCode],"MAE")=0,"",SUMIFS(tblDaily[TransfersOut],tblDaily[EntryDate],DATE(2026,8,31),tblDaily[WardCode],"MAE")),"")</f>
        <v/>
      </c>
      <c r="H318" s="14" t="str">
        <f>IFERROR(IF(SUMIFS(tblDaily[Remaining],tblDaily[EntryDate],DATE(2026,8,31),tblDaily[WardCode],"MAE")=0,"",SUMIFS(tblDaily[Remaining],tblDaily[EntryDate],DATE(2026,8,31),tblDaily[WardCode],"MAE")),"")</f>
        <v/>
      </c>
      <c r="I318" s="14" t="str">
        <f>IFERROR(IF(SUMIFS(tblDaily[Admissions],tblDaily[EntryDate],DATE(2026,8,31),tblDaily[WardCode],"FAE")=0,"",SUMIFS(tblDaily[Admissions],tblDaily[EntryDate],DATE(2026,8,31),tblDaily[WardCode],"FAE")),"")</f>
        <v/>
      </c>
      <c r="J318" s="14" t="str">
        <f>IFERROR(IF(SUMIFS(tblDaily[Discharges],tblDaily[EntryDate],DATE(2026,8,31),tblDaily[WardCode],"FAE")=0,"",SUMIFS(tblDaily[Discharges],tblDaily[EntryDate],DATE(2026,8,31),tblDaily[WardCode],"FAE")),"")</f>
        <v/>
      </c>
      <c r="K318" s="14" t="str">
        <f>IFERROR(IF(SUMIFS(tblDaily[Deaths],tblDaily[EntryDate],DATE(2026,8,31),tblDaily[WardCode],"FAE")=0,"",SUMIFS(tblDaily[Deaths],tblDaily[EntryDate],DATE(2026,8,31),tblDaily[WardCode],"FAE")),"")</f>
        <v/>
      </c>
      <c r="L318" s="14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14" t="str">
        <f>IFERROR(IF(SUMIFS(tblDaily[TransfersIn],tblDaily[EntryDate],DATE(2026,8,31),tblDaily[WardCode],"FAE")=0,"",SUMIFS(tblDaily[TransfersIn],tblDaily[EntryDate],DATE(2026,8,31),tblDaily[WardCode],"FAE")),"")</f>
        <v/>
      </c>
      <c r="N318" s="14" t="str">
        <f>IFERROR(IF(SUMIFS(tblDaily[TransfersOut],tblDaily[EntryDate],DATE(2026,8,31),tblDaily[WardCode],"FAE")=0,"",SUMIFS(tblDaily[TransfersOut],tblDaily[EntryDate],DATE(2026,8,31),tblDaily[WardCode],"FAE")),"")</f>
        <v/>
      </c>
      <c r="O318" s="14" t="str">
        <f>IFERROR(IF(SUMIFS(tblDaily[Remaining],tblDaily[EntryDate],DATE(2026,8,31),tblDaily[WardCode],"FAE")=0,"",SUMIFS(tblDaily[Remaining],tblDaily[EntryDate],DATE(2026,8,31),tblDaily[WardCode],"FAE")),"")</f>
        <v/>
      </c>
      <c r="P318" s="15" t="str">
        <f t="shared" si="7"/>
        <v/>
      </c>
    </row>
    <row r="319" spans="1:16" x14ac:dyDescent="0.25">
      <c r="A319" s="9" t="s">
        <v>112</v>
      </c>
      <c r="B319" s="9">
        <f>SUMIFS(tblDaily[Admissions],tblDaily[Month],8,tblDaily[WardCode],"MAE") - SUMIFS(tblDaily[DeathsUnder24Hrs],tblDaily[Month],8,tblDaily[WardCode],"MAE")</f>
        <v>0</v>
      </c>
      <c r="C319" s="9">
        <f>SUMIFS(tblDaily[Discharges],tblDaily[Month],8,tblDaily[WardCode],"MAE")</f>
        <v>0</v>
      </c>
      <c r="D319" s="9">
        <f>SUMIFS(tblDaily[Deaths],tblDaily[Month],8,tblDaily[WardCode],"MAE")</f>
        <v>0</v>
      </c>
      <c r="E319" s="9">
        <f>SUMIFS(tblDaily[DeathsUnder24Hrs],tblDaily[Month],8,tblDaily[WardCode],"MAE")</f>
        <v>0</v>
      </c>
      <c r="F319" s="9">
        <f>SUMIFS(tblDaily[TransfersIn],tblDaily[Month],8,tblDaily[WardCode],"MAE")</f>
        <v>0</v>
      </c>
      <c r="G319" s="9">
        <f>SUMIFS(tblDaily[TransfersOut],tblDaily[Month],8,tblDaily[WardCode],"MAE")</f>
        <v>0</v>
      </c>
      <c r="H319" s="9">
        <f>SUMIFS(tblDaily[Remaining],tblDaily[Month],8,tblDaily[WardCode],"MAE")</f>
        <v>0</v>
      </c>
      <c r="I319" s="9">
        <f>SUMIFS(tblDaily[Admissions],tblDaily[Month],8,tblDaily[WardCode],"FAE") - SUMIFS(tblDaily[DeathsUnder24Hrs],tblDaily[Month],8,tblDaily[WardCode],"FAE")</f>
        <v>0</v>
      </c>
      <c r="J319" s="9">
        <f>SUMIFS(tblDaily[Discharges],tblDaily[Month],8,tblDaily[WardCode],"FAE")</f>
        <v>0</v>
      </c>
      <c r="K319" s="9">
        <f>SUMIFS(tblDaily[Deaths],tblDaily[Month],8,tblDaily[WardCode],"FAE")</f>
        <v>0</v>
      </c>
      <c r="L319" s="9">
        <f>SUMIFS(tblDaily[DeathsUnder24Hrs],tblDaily[Month],8,tblDaily[WardCode],"FAE")</f>
        <v>0</v>
      </c>
      <c r="M319" s="9">
        <f>SUMIFS(tblDaily[TransfersIn],tblDaily[Month],8,tblDaily[WardCode],"FAE")</f>
        <v>0</v>
      </c>
      <c r="N319" s="9">
        <f>SUMIFS(tblDaily[TransfersOut],tblDaily[Month],8,tblDaily[WardCode],"FAE")</f>
        <v>0</v>
      </c>
      <c r="O319" s="9">
        <f>SUMIFS(tblDaily[Remaining],tblDaily[Month],8,tblDaily[WardCode],"FAE")</f>
        <v>0</v>
      </c>
      <c r="P319" s="9">
        <f>H319 + O319</f>
        <v>0</v>
      </c>
    </row>
    <row r="321" spans="1:16" ht="18.75" x14ac:dyDescent="0.25">
      <c r="A321" s="39" t="s">
        <v>0</v>
      </c>
      <c r="B321" s="29"/>
      <c r="C321" s="2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</row>
    <row r="322" spans="1:16" ht="15.75" x14ac:dyDescent="0.25">
      <c r="A322" s="35" t="s">
        <v>101</v>
      </c>
      <c r="B322" s="29"/>
      <c r="C322" s="2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</row>
    <row r="323" spans="1:16" x14ac:dyDescent="0.25">
      <c r="A323" s="1" t="s">
        <v>4</v>
      </c>
      <c r="B323" s="2" t="s">
        <v>2</v>
      </c>
      <c r="E323" s="1" t="s">
        <v>102</v>
      </c>
      <c r="F323" s="1" t="s">
        <v>121</v>
      </c>
      <c r="M323" s="1" t="s">
        <v>104</v>
      </c>
      <c r="N323" s="1" t="s">
        <v>68</v>
      </c>
    </row>
    <row r="324" spans="1:16" x14ac:dyDescent="0.25">
      <c r="A324" s="1" t="s">
        <v>105</v>
      </c>
      <c r="B324" s="11">
        <f>IFERROR(SUMIFS(tblDaily[Remaining],tblDaily[EntryDate],DATE(2026,8,31),tblDaily[WardCode],"MAE"),0)</f>
        <v>0</v>
      </c>
      <c r="I324" s="11">
        <f>IFERROR(SUMIFS(tblDaily[Remaining],tblDaily[EntryDate],DATE(2026,8,31),tblDaily[WardCode],"FAE"),0)</f>
        <v>0</v>
      </c>
    </row>
    <row r="325" spans="1:16" x14ac:dyDescent="0.25">
      <c r="A325" s="1" t="s">
        <v>106</v>
      </c>
      <c r="B325" s="11">
        <f>IFERROR(INDEX(tblWardConfig[BedComplement],MATCH("MAE",tblWardConfig[WardCode],0)),0)</f>
        <v>10</v>
      </c>
      <c r="I325" s="11">
        <f>IFERROR(INDEX(tblWardConfig[BedComplement],MATCH("FAE",tblWardConfig[WardCode],0)),0)</f>
        <v>10</v>
      </c>
      <c r="O325" s="12">
        <f>B325+I325</f>
        <v>20</v>
      </c>
    </row>
    <row r="326" spans="1:16" x14ac:dyDescent="0.25">
      <c r="A326" s="3" t="s">
        <v>122</v>
      </c>
      <c r="B326" s="38" t="s">
        <v>119</v>
      </c>
      <c r="C326" s="29"/>
      <c r="D326" s="29"/>
      <c r="E326" s="29"/>
      <c r="F326" s="29"/>
      <c r="G326" s="29"/>
      <c r="H326" s="29"/>
      <c r="I326" s="40" t="s">
        <v>120</v>
      </c>
      <c r="J326" s="29"/>
      <c r="K326" s="29"/>
      <c r="L326" s="29"/>
      <c r="M326" s="29"/>
      <c r="N326" s="29"/>
      <c r="O326" s="29"/>
      <c r="P326" s="13" t="s">
        <v>112</v>
      </c>
    </row>
    <row r="327" spans="1:16" x14ac:dyDescent="0.25">
      <c r="A327" s="3" t="s">
        <v>122</v>
      </c>
      <c r="B327" s="3" t="s">
        <v>123</v>
      </c>
      <c r="C327" s="3" t="s">
        <v>124</v>
      </c>
      <c r="D327" s="3" t="s">
        <v>125</v>
      </c>
      <c r="E327" s="3" t="s">
        <v>126</v>
      </c>
      <c r="F327" s="3" t="s">
        <v>127</v>
      </c>
      <c r="G327" s="3" t="s">
        <v>128</v>
      </c>
      <c r="H327" s="3" t="s">
        <v>129</v>
      </c>
      <c r="I327" s="3" t="s">
        <v>123</v>
      </c>
      <c r="J327" s="3" t="s">
        <v>124</v>
      </c>
      <c r="K327" s="3" t="s">
        <v>125</v>
      </c>
      <c r="L327" s="3" t="s">
        <v>126</v>
      </c>
      <c r="M327" s="3" t="s">
        <v>127</v>
      </c>
      <c r="N327" s="3" t="s">
        <v>128</v>
      </c>
      <c r="O327" s="3" t="s">
        <v>129</v>
      </c>
      <c r="P327" s="3" t="s">
        <v>130</v>
      </c>
    </row>
    <row r="328" spans="1:16" x14ac:dyDescent="0.25">
      <c r="A328" s="14">
        <v>1</v>
      </c>
      <c r="B328" s="14" t="str">
        <f>IFERROR(IF(SUMIFS(tblDaily[Admissions],tblDaily[EntryDate],DATE(2026,9,1),tblDaily[WardCode],"MAE")=0,"",SUMIFS(tblDaily[Admissions],tblDaily[EntryDate],DATE(2026,9,1),tblDaily[WardCode],"MAE")),"")</f>
        <v/>
      </c>
      <c r="C328" s="14" t="str">
        <f>IFERROR(IF(SUMIFS(tblDaily[Discharges],tblDaily[EntryDate],DATE(2026,9,1),tblDaily[WardCode],"MAE")=0,"",SUMIFS(tblDaily[Discharges],tblDaily[EntryDate],DATE(2026,9,1),tblDaily[WardCode],"MAE")),"")</f>
        <v/>
      </c>
      <c r="D328" s="14" t="str">
        <f>IFERROR(IF(SUMIFS(tblDaily[Deaths],tblDaily[EntryDate],DATE(2026,9,1),tblDaily[WardCode],"MAE")=0,"",SUMIFS(tblDaily[Deaths],tblDaily[EntryDate],DATE(2026,9,1),tblDaily[WardCode],"MAE")),"")</f>
        <v/>
      </c>
      <c r="E328" s="14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14" t="str">
        <f>IFERROR(IF(SUMIFS(tblDaily[TransfersIn],tblDaily[EntryDate],DATE(2026,9,1),tblDaily[WardCode],"MAE")=0,"",SUMIFS(tblDaily[TransfersIn],tblDaily[EntryDate],DATE(2026,9,1),tblDaily[WardCode],"MAE")),"")</f>
        <v/>
      </c>
      <c r="G328" s="14" t="str">
        <f>IFERROR(IF(SUMIFS(tblDaily[TransfersOut],tblDaily[EntryDate],DATE(2026,9,1),tblDaily[WardCode],"MAE")=0,"",SUMIFS(tblDaily[TransfersOut],tblDaily[EntryDate],DATE(2026,9,1),tblDaily[WardCode],"MAE")),"")</f>
        <v/>
      </c>
      <c r="H328" s="14" t="str">
        <f>IFERROR(IF(SUMIFS(tblDaily[Remaining],tblDaily[EntryDate],DATE(2026,9,1),tblDaily[WardCode],"MAE")=0,"",SUMIFS(tblDaily[Remaining],tblDaily[EntryDate],DATE(2026,9,1),tblDaily[WardCode],"MAE")),"")</f>
        <v/>
      </c>
      <c r="I328" s="14" t="str">
        <f>IFERROR(IF(SUMIFS(tblDaily[Admissions],tblDaily[EntryDate],DATE(2026,9,1),tblDaily[WardCode],"FAE")=0,"",SUMIFS(tblDaily[Admissions],tblDaily[EntryDate],DATE(2026,9,1),tblDaily[WardCode],"FAE")),"")</f>
        <v/>
      </c>
      <c r="J328" s="14" t="str">
        <f>IFERROR(IF(SUMIFS(tblDaily[Discharges],tblDaily[EntryDate],DATE(2026,9,1),tblDaily[WardCode],"FAE")=0,"",SUMIFS(tblDaily[Discharges],tblDaily[EntryDate],DATE(2026,9,1),tblDaily[WardCode],"FAE")),"")</f>
        <v/>
      </c>
      <c r="K328" s="14" t="str">
        <f>IFERROR(IF(SUMIFS(tblDaily[Deaths],tblDaily[EntryDate],DATE(2026,9,1),tblDaily[WardCode],"FAE")=0,"",SUMIFS(tblDaily[Deaths],tblDaily[EntryDate],DATE(2026,9,1),tblDaily[WardCode],"FAE")),"")</f>
        <v/>
      </c>
      <c r="L328" s="14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14" t="str">
        <f>IFERROR(IF(SUMIFS(tblDaily[TransfersIn],tblDaily[EntryDate],DATE(2026,9,1),tblDaily[WardCode],"FAE")=0,"",SUMIFS(tblDaily[TransfersIn],tblDaily[EntryDate],DATE(2026,9,1),tblDaily[WardCode],"FAE")),"")</f>
        <v/>
      </c>
      <c r="N328" s="14" t="str">
        <f>IFERROR(IF(SUMIFS(tblDaily[TransfersOut],tblDaily[EntryDate],DATE(2026,9,1),tblDaily[WardCode],"FAE")=0,"",SUMIFS(tblDaily[TransfersOut],tblDaily[EntryDate],DATE(2026,9,1),tblDaily[WardCode],"FAE")),"")</f>
        <v/>
      </c>
      <c r="O328" s="14" t="str">
        <f>IFERROR(IF(SUMIFS(tblDaily[Remaining],tblDaily[EntryDate],DATE(2026,9,1),tblDaily[WardCode],"FAE")=0,"",SUMIFS(tblDaily[Remaining],tblDaily[EntryDate],DATE(2026,9,1),tblDaily[WardCode],"FAE")),"")</f>
        <v/>
      </c>
      <c r="P328" s="15" t="str">
        <f t="shared" ref="P328:P357" si="8">IF(AND(H328="", O328=""), "", N(H328) + N(O328))</f>
        <v/>
      </c>
    </row>
    <row r="329" spans="1:16" x14ac:dyDescent="0.25">
      <c r="A329" s="14">
        <v>2</v>
      </c>
      <c r="B329" s="14" t="str">
        <f>IFERROR(IF(SUMIFS(tblDaily[Admissions],tblDaily[EntryDate],DATE(2026,9,2),tblDaily[WardCode],"MAE")=0,"",SUMIFS(tblDaily[Admissions],tblDaily[EntryDate],DATE(2026,9,2),tblDaily[WardCode],"MAE")),"")</f>
        <v/>
      </c>
      <c r="C329" s="14" t="str">
        <f>IFERROR(IF(SUMIFS(tblDaily[Discharges],tblDaily[EntryDate],DATE(2026,9,2),tblDaily[WardCode],"MAE")=0,"",SUMIFS(tblDaily[Discharges],tblDaily[EntryDate],DATE(2026,9,2),tblDaily[WardCode],"MAE")),"")</f>
        <v/>
      </c>
      <c r="D329" s="14" t="str">
        <f>IFERROR(IF(SUMIFS(tblDaily[Deaths],tblDaily[EntryDate],DATE(2026,9,2),tblDaily[WardCode],"MAE")=0,"",SUMIFS(tblDaily[Deaths],tblDaily[EntryDate],DATE(2026,9,2),tblDaily[WardCode],"MAE")),"")</f>
        <v/>
      </c>
      <c r="E329" s="14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14" t="str">
        <f>IFERROR(IF(SUMIFS(tblDaily[TransfersIn],tblDaily[EntryDate],DATE(2026,9,2),tblDaily[WardCode],"MAE")=0,"",SUMIFS(tblDaily[TransfersIn],tblDaily[EntryDate],DATE(2026,9,2),tblDaily[WardCode],"MAE")),"")</f>
        <v/>
      </c>
      <c r="G329" s="14" t="str">
        <f>IFERROR(IF(SUMIFS(tblDaily[TransfersOut],tblDaily[EntryDate],DATE(2026,9,2),tblDaily[WardCode],"MAE")=0,"",SUMIFS(tblDaily[TransfersOut],tblDaily[EntryDate],DATE(2026,9,2),tblDaily[WardCode],"MAE")),"")</f>
        <v/>
      </c>
      <c r="H329" s="14" t="str">
        <f>IFERROR(IF(SUMIFS(tblDaily[Remaining],tblDaily[EntryDate],DATE(2026,9,2),tblDaily[WardCode],"MAE")=0,"",SUMIFS(tblDaily[Remaining],tblDaily[EntryDate],DATE(2026,9,2),tblDaily[WardCode],"MAE")),"")</f>
        <v/>
      </c>
      <c r="I329" s="14" t="str">
        <f>IFERROR(IF(SUMIFS(tblDaily[Admissions],tblDaily[EntryDate],DATE(2026,9,2),tblDaily[WardCode],"FAE")=0,"",SUMIFS(tblDaily[Admissions],tblDaily[EntryDate],DATE(2026,9,2),tblDaily[WardCode],"FAE")),"")</f>
        <v/>
      </c>
      <c r="J329" s="14" t="str">
        <f>IFERROR(IF(SUMIFS(tblDaily[Discharges],tblDaily[EntryDate],DATE(2026,9,2),tblDaily[WardCode],"FAE")=0,"",SUMIFS(tblDaily[Discharges],tblDaily[EntryDate],DATE(2026,9,2),tblDaily[WardCode],"FAE")),"")</f>
        <v/>
      </c>
      <c r="K329" s="14" t="str">
        <f>IFERROR(IF(SUMIFS(tblDaily[Deaths],tblDaily[EntryDate],DATE(2026,9,2),tblDaily[WardCode],"FAE")=0,"",SUMIFS(tblDaily[Deaths],tblDaily[EntryDate],DATE(2026,9,2),tblDaily[WardCode],"FAE")),"")</f>
        <v/>
      </c>
      <c r="L329" s="14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14" t="str">
        <f>IFERROR(IF(SUMIFS(tblDaily[TransfersIn],tblDaily[EntryDate],DATE(2026,9,2),tblDaily[WardCode],"FAE")=0,"",SUMIFS(tblDaily[TransfersIn],tblDaily[EntryDate],DATE(2026,9,2),tblDaily[WardCode],"FAE")),"")</f>
        <v/>
      </c>
      <c r="N329" s="14" t="str">
        <f>IFERROR(IF(SUMIFS(tblDaily[TransfersOut],tblDaily[EntryDate],DATE(2026,9,2),tblDaily[WardCode],"FAE")=0,"",SUMIFS(tblDaily[TransfersOut],tblDaily[EntryDate],DATE(2026,9,2),tblDaily[WardCode],"FAE")),"")</f>
        <v/>
      </c>
      <c r="O329" s="14" t="str">
        <f>IFERROR(IF(SUMIFS(tblDaily[Remaining],tblDaily[EntryDate],DATE(2026,9,2),tblDaily[WardCode],"FAE")=0,"",SUMIFS(tblDaily[Remaining],tblDaily[EntryDate],DATE(2026,9,2),tblDaily[WardCode],"FAE")),"")</f>
        <v/>
      </c>
      <c r="P329" s="15" t="str">
        <f t="shared" si="8"/>
        <v/>
      </c>
    </row>
    <row r="330" spans="1:16" x14ac:dyDescent="0.25">
      <c r="A330" s="14">
        <v>3</v>
      </c>
      <c r="B330" s="14" t="str">
        <f>IFERROR(IF(SUMIFS(tblDaily[Admissions],tblDaily[EntryDate],DATE(2026,9,3),tblDaily[WardCode],"MAE")=0,"",SUMIFS(tblDaily[Admissions],tblDaily[EntryDate],DATE(2026,9,3),tblDaily[WardCode],"MAE")),"")</f>
        <v/>
      </c>
      <c r="C330" s="14" t="str">
        <f>IFERROR(IF(SUMIFS(tblDaily[Discharges],tblDaily[EntryDate],DATE(2026,9,3),tblDaily[WardCode],"MAE")=0,"",SUMIFS(tblDaily[Discharges],tblDaily[EntryDate],DATE(2026,9,3),tblDaily[WardCode],"MAE")),"")</f>
        <v/>
      </c>
      <c r="D330" s="14" t="str">
        <f>IFERROR(IF(SUMIFS(tblDaily[Deaths],tblDaily[EntryDate],DATE(2026,9,3),tblDaily[WardCode],"MAE")=0,"",SUMIFS(tblDaily[Deaths],tblDaily[EntryDate],DATE(2026,9,3),tblDaily[WardCode],"MAE")),"")</f>
        <v/>
      </c>
      <c r="E330" s="14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14" t="str">
        <f>IFERROR(IF(SUMIFS(tblDaily[TransfersIn],tblDaily[EntryDate],DATE(2026,9,3),tblDaily[WardCode],"MAE")=0,"",SUMIFS(tblDaily[TransfersIn],tblDaily[EntryDate],DATE(2026,9,3),tblDaily[WardCode],"MAE")),"")</f>
        <v/>
      </c>
      <c r="G330" s="14" t="str">
        <f>IFERROR(IF(SUMIFS(tblDaily[TransfersOut],tblDaily[EntryDate],DATE(2026,9,3),tblDaily[WardCode],"MAE")=0,"",SUMIFS(tblDaily[TransfersOut],tblDaily[EntryDate],DATE(2026,9,3),tblDaily[WardCode],"MAE")),"")</f>
        <v/>
      </c>
      <c r="H330" s="14" t="str">
        <f>IFERROR(IF(SUMIFS(tblDaily[Remaining],tblDaily[EntryDate],DATE(2026,9,3),tblDaily[WardCode],"MAE")=0,"",SUMIFS(tblDaily[Remaining],tblDaily[EntryDate],DATE(2026,9,3),tblDaily[WardCode],"MAE")),"")</f>
        <v/>
      </c>
      <c r="I330" s="14" t="str">
        <f>IFERROR(IF(SUMIFS(tblDaily[Admissions],tblDaily[EntryDate],DATE(2026,9,3),tblDaily[WardCode],"FAE")=0,"",SUMIFS(tblDaily[Admissions],tblDaily[EntryDate],DATE(2026,9,3),tblDaily[WardCode],"FAE")),"")</f>
        <v/>
      </c>
      <c r="J330" s="14" t="str">
        <f>IFERROR(IF(SUMIFS(tblDaily[Discharges],tblDaily[EntryDate],DATE(2026,9,3),tblDaily[WardCode],"FAE")=0,"",SUMIFS(tblDaily[Discharges],tblDaily[EntryDate],DATE(2026,9,3),tblDaily[WardCode],"FAE")),"")</f>
        <v/>
      </c>
      <c r="K330" s="14" t="str">
        <f>IFERROR(IF(SUMIFS(tblDaily[Deaths],tblDaily[EntryDate],DATE(2026,9,3),tblDaily[WardCode],"FAE")=0,"",SUMIFS(tblDaily[Deaths],tblDaily[EntryDate],DATE(2026,9,3),tblDaily[WardCode],"FAE")),"")</f>
        <v/>
      </c>
      <c r="L330" s="14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14" t="str">
        <f>IFERROR(IF(SUMIFS(tblDaily[TransfersIn],tblDaily[EntryDate],DATE(2026,9,3),tblDaily[WardCode],"FAE")=0,"",SUMIFS(tblDaily[TransfersIn],tblDaily[EntryDate],DATE(2026,9,3),tblDaily[WardCode],"FAE")),"")</f>
        <v/>
      </c>
      <c r="N330" s="14" t="str">
        <f>IFERROR(IF(SUMIFS(tblDaily[TransfersOut],tblDaily[EntryDate],DATE(2026,9,3),tblDaily[WardCode],"FAE")=0,"",SUMIFS(tblDaily[TransfersOut],tblDaily[EntryDate],DATE(2026,9,3),tblDaily[WardCode],"FAE")),"")</f>
        <v/>
      </c>
      <c r="O330" s="14" t="str">
        <f>IFERROR(IF(SUMIFS(tblDaily[Remaining],tblDaily[EntryDate],DATE(2026,9,3),tblDaily[WardCode],"FAE")=0,"",SUMIFS(tblDaily[Remaining],tblDaily[EntryDate],DATE(2026,9,3),tblDaily[WardCode],"FAE")),"")</f>
        <v/>
      </c>
      <c r="P330" s="15" t="str">
        <f t="shared" si="8"/>
        <v/>
      </c>
    </row>
    <row r="331" spans="1:16" x14ac:dyDescent="0.25">
      <c r="A331" s="14">
        <v>4</v>
      </c>
      <c r="B331" s="14" t="str">
        <f>IFERROR(IF(SUMIFS(tblDaily[Admissions],tblDaily[EntryDate],DATE(2026,9,4),tblDaily[WardCode],"MAE")=0,"",SUMIFS(tblDaily[Admissions],tblDaily[EntryDate],DATE(2026,9,4),tblDaily[WardCode],"MAE")),"")</f>
        <v/>
      </c>
      <c r="C331" s="14" t="str">
        <f>IFERROR(IF(SUMIFS(tblDaily[Discharges],tblDaily[EntryDate],DATE(2026,9,4),tblDaily[WardCode],"MAE")=0,"",SUMIFS(tblDaily[Discharges],tblDaily[EntryDate],DATE(2026,9,4),tblDaily[WardCode],"MAE")),"")</f>
        <v/>
      </c>
      <c r="D331" s="14" t="str">
        <f>IFERROR(IF(SUMIFS(tblDaily[Deaths],tblDaily[EntryDate],DATE(2026,9,4),tblDaily[WardCode],"MAE")=0,"",SUMIFS(tblDaily[Deaths],tblDaily[EntryDate],DATE(2026,9,4),tblDaily[WardCode],"MAE")),"")</f>
        <v/>
      </c>
      <c r="E331" s="14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14" t="str">
        <f>IFERROR(IF(SUMIFS(tblDaily[TransfersIn],tblDaily[EntryDate],DATE(2026,9,4),tblDaily[WardCode],"MAE")=0,"",SUMIFS(tblDaily[TransfersIn],tblDaily[EntryDate],DATE(2026,9,4),tblDaily[WardCode],"MAE")),"")</f>
        <v/>
      </c>
      <c r="G331" s="14" t="str">
        <f>IFERROR(IF(SUMIFS(tblDaily[TransfersOut],tblDaily[EntryDate],DATE(2026,9,4),tblDaily[WardCode],"MAE")=0,"",SUMIFS(tblDaily[TransfersOut],tblDaily[EntryDate],DATE(2026,9,4),tblDaily[WardCode],"MAE")),"")</f>
        <v/>
      </c>
      <c r="H331" s="14" t="str">
        <f>IFERROR(IF(SUMIFS(tblDaily[Remaining],tblDaily[EntryDate],DATE(2026,9,4),tblDaily[WardCode],"MAE")=0,"",SUMIFS(tblDaily[Remaining],tblDaily[EntryDate],DATE(2026,9,4),tblDaily[WardCode],"MAE")),"")</f>
        <v/>
      </c>
      <c r="I331" s="14" t="str">
        <f>IFERROR(IF(SUMIFS(tblDaily[Admissions],tblDaily[EntryDate],DATE(2026,9,4),tblDaily[WardCode],"FAE")=0,"",SUMIFS(tblDaily[Admissions],tblDaily[EntryDate],DATE(2026,9,4),tblDaily[WardCode],"FAE")),"")</f>
        <v/>
      </c>
      <c r="J331" s="14" t="str">
        <f>IFERROR(IF(SUMIFS(tblDaily[Discharges],tblDaily[EntryDate],DATE(2026,9,4),tblDaily[WardCode],"FAE")=0,"",SUMIFS(tblDaily[Discharges],tblDaily[EntryDate],DATE(2026,9,4),tblDaily[WardCode],"FAE")),"")</f>
        <v/>
      </c>
      <c r="K331" s="14" t="str">
        <f>IFERROR(IF(SUMIFS(tblDaily[Deaths],tblDaily[EntryDate],DATE(2026,9,4),tblDaily[WardCode],"FAE")=0,"",SUMIFS(tblDaily[Deaths],tblDaily[EntryDate],DATE(2026,9,4),tblDaily[WardCode],"FAE")),"")</f>
        <v/>
      </c>
      <c r="L331" s="14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14" t="str">
        <f>IFERROR(IF(SUMIFS(tblDaily[TransfersIn],tblDaily[EntryDate],DATE(2026,9,4),tblDaily[WardCode],"FAE")=0,"",SUMIFS(tblDaily[TransfersIn],tblDaily[EntryDate],DATE(2026,9,4),tblDaily[WardCode],"FAE")),"")</f>
        <v/>
      </c>
      <c r="N331" s="14" t="str">
        <f>IFERROR(IF(SUMIFS(tblDaily[TransfersOut],tblDaily[EntryDate],DATE(2026,9,4),tblDaily[WardCode],"FAE")=0,"",SUMIFS(tblDaily[TransfersOut],tblDaily[EntryDate],DATE(2026,9,4),tblDaily[WardCode],"FAE")),"")</f>
        <v/>
      </c>
      <c r="O331" s="14" t="str">
        <f>IFERROR(IF(SUMIFS(tblDaily[Remaining],tblDaily[EntryDate],DATE(2026,9,4),tblDaily[WardCode],"FAE")=0,"",SUMIFS(tblDaily[Remaining],tblDaily[EntryDate],DATE(2026,9,4),tblDaily[WardCode],"FAE")),"")</f>
        <v/>
      </c>
      <c r="P331" s="15" t="str">
        <f t="shared" si="8"/>
        <v/>
      </c>
    </row>
    <row r="332" spans="1:16" x14ac:dyDescent="0.25">
      <c r="A332" s="14">
        <v>5</v>
      </c>
      <c r="B332" s="14" t="str">
        <f>IFERROR(IF(SUMIFS(tblDaily[Admissions],tblDaily[EntryDate],DATE(2026,9,5),tblDaily[WardCode],"MAE")=0,"",SUMIFS(tblDaily[Admissions],tblDaily[EntryDate],DATE(2026,9,5),tblDaily[WardCode],"MAE")),"")</f>
        <v/>
      </c>
      <c r="C332" s="14" t="str">
        <f>IFERROR(IF(SUMIFS(tblDaily[Discharges],tblDaily[EntryDate],DATE(2026,9,5),tblDaily[WardCode],"MAE")=0,"",SUMIFS(tblDaily[Discharges],tblDaily[EntryDate],DATE(2026,9,5),tblDaily[WardCode],"MAE")),"")</f>
        <v/>
      </c>
      <c r="D332" s="14" t="str">
        <f>IFERROR(IF(SUMIFS(tblDaily[Deaths],tblDaily[EntryDate],DATE(2026,9,5),tblDaily[WardCode],"MAE")=0,"",SUMIFS(tblDaily[Deaths],tblDaily[EntryDate],DATE(2026,9,5),tblDaily[WardCode],"MAE")),"")</f>
        <v/>
      </c>
      <c r="E332" s="14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14" t="str">
        <f>IFERROR(IF(SUMIFS(tblDaily[TransfersIn],tblDaily[EntryDate],DATE(2026,9,5),tblDaily[WardCode],"MAE")=0,"",SUMIFS(tblDaily[TransfersIn],tblDaily[EntryDate],DATE(2026,9,5),tblDaily[WardCode],"MAE")),"")</f>
        <v/>
      </c>
      <c r="G332" s="14" t="str">
        <f>IFERROR(IF(SUMIFS(tblDaily[TransfersOut],tblDaily[EntryDate],DATE(2026,9,5),tblDaily[WardCode],"MAE")=0,"",SUMIFS(tblDaily[TransfersOut],tblDaily[EntryDate],DATE(2026,9,5),tblDaily[WardCode],"MAE")),"")</f>
        <v/>
      </c>
      <c r="H332" s="14" t="str">
        <f>IFERROR(IF(SUMIFS(tblDaily[Remaining],tblDaily[EntryDate],DATE(2026,9,5),tblDaily[WardCode],"MAE")=0,"",SUMIFS(tblDaily[Remaining],tblDaily[EntryDate],DATE(2026,9,5),tblDaily[WardCode],"MAE")),"")</f>
        <v/>
      </c>
      <c r="I332" s="14" t="str">
        <f>IFERROR(IF(SUMIFS(tblDaily[Admissions],tblDaily[EntryDate],DATE(2026,9,5),tblDaily[WardCode],"FAE")=0,"",SUMIFS(tblDaily[Admissions],tblDaily[EntryDate],DATE(2026,9,5),tblDaily[WardCode],"FAE")),"")</f>
        <v/>
      </c>
      <c r="J332" s="14" t="str">
        <f>IFERROR(IF(SUMIFS(tblDaily[Discharges],tblDaily[EntryDate],DATE(2026,9,5),tblDaily[WardCode],"FAE")=0,"",SUMIFS(tblDaily[Discharges],tblDaily[EntryDate],DATE(2026,9,5),tblDaily[WardCode],"FAE")),"")</f>
        <v/>
      </c>
      <c r="K332" s="14" t="str">
        <f>IFERROR(IF(SUMIFS(tblDaily[Deaths],tblDaily[EntryDate],DATE(2026,9,5),tblDaily[WardCode],"FAE")=0,"",SUMIFS(tblDaily[Deaths],tblDaily[EntryDate],DATE(2026,9,5),tblDaily[WardCode],"FAE")),"")</f>
        <v/>
      </c>
      <c r="L332" s="14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14" t="str">
        <f>IFERROR(IF(SUMIFS(tblDaily[TransfersIn],tblDaily[EntryDate],DATE(2026,9,5),tblDaily[WardCode],"FAE")=0,"",SUMIFS(tblDaily[TransfersIn],tblDaily[EntryDate],DATE(2026,9,5),tblDaily[WardCode],"FAE")),"")</f>
        <v/>
      </c>
      <c r="N332" s="14" t="str">
        <f>IFERROR(IF(SUMIFS(tblDaily[TransfersOut],tblDaily[EntryDate],DATE(2026,9,5),tblDaily[WardCode],"FAE")=0,"",SUMIFS(tblDaily[TransfersOut],tblDaily[EntryDate],DATE(2026,9,5),tblDaily[WardCode],"FAE")),"")</f>
        <v/>
      </c>
      <c r="O332" s="14" t="str">
        <f>IFERROR(IF(SUMIFS(tblDaily[Remaining],tblDaily[EntryDate],DATE(2026,9,5),tblDaily[WardCode],"FAE")=0,"",SUMIFS(tblDaily[Remaining],tblDaily[EntryDate],DATE(2026,9,5),tblDaily[WardCode],"FAE")),"")</f>
        <v/>
      </c>
      <c r="P332" s="15" t="str">
        <f t="shared" si="8"/>
        <v/>
      </c>
    </row>
    <row r="333" spans="1:16" x14ac:dyDescent="0.25">
      <c r="A333" s="14">
        <v>6</v>
      </c>
      <c r="B333" s="14" t="str">
        <f>IFERROR(IF(SUMIFS(tblDaily[Admissions],tblDaily[EntryDate],DATE(2026,9,6),tblDaily[WardCode],"MAE")=0,"",SUMIFS(tblDaily[Admissions],tblDaily[EntryDate],DATE(2026,9,6),tblDaily[WardCode],"MAE")),"")</f>
        <v/>
      </c>
      <c r="C333" s="14" t="str">
        <f>IFERROR(IF(SUMIFS(tblDaily[Discharges],tblDaily[EntryDate],DATE(2026,9,6),tblDaily[WardCode],"MAE")=0,"",SUMIFS(tblDaily[Discharges],tblDaily[EntryDate],DATE(2026,9,6),tblDaily[WardCode],"MAE")),"")</f>
        <v/>
      </c>
      <c r="D333" s="14" t="str">
        <f>IFERROR(IF(SUMIFS(tblDaily[Deaths],tblDaily[EntryDate],DATE(2026,9,6),tblDaily[WardCode],"MAE")=0,"",SUMIFS(tblDaily[Deaths],tblDaily[EntryDate],DATE(2026,9,6),tblDaily[WardCode],"MAE")),"")</f>
        <v/>
      </c>
      <c r="E333" s="14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14" t="str">
        <f>IFERROR(IF(SUMIFS(tblDaily[TransfersIn],tblDaily[EntryDate],DATE(2026,9,6),tblDaily[WardCode],"MAE")=0,"",SUMIFS(tblDaily[TransfersIn],tblDaily[EntryDate],DATE(2026,9,6),tblDaily[WardCode],"MAE")),"")</f>
        <v/>
      </c>
      <c r="G333" s="14" t="str">
        <f>IFERROR(IF(SUMIFS(tblDaily[TransfersOut],tblDaily[EntryDate],DATE(2026,9,6),tblDaily[WardCode],"MAE")=0,"",SUMIFS(tblDaily[TransfersOut],tblDaily[EntryDate],DATE(2026,9,6),tblDaily[WardCode],"MAE")),"")</f>
        <v/>
      </c>
      <c r="H333" s="14" t="str">
        <f>IFERROR(IF(SUMIFS(tblDaily[Remaining],tblDaily[EntryDate],DATE(2026,9,6),tblDaily[WardCode],"MAE")=0,"",SUMIFS(tblDaily[Remaining],tblDaily[EntryDate],DATE(2026,9,6),tblDaily[WardCode],"MAE")),"")</f>
        <v/>
      </c>
      <c r="I333" s="14" t="str">
        <f>IFERROR(IF(SUMIFS(tblDaily[Admissions],tblDaily[EntryDate],DATE(2026,9,6),tblDaily[WardCode],"FAE")=0,"",SUMIFS(tblDaily[Admissions],tblDaily[EntryDate],DATE(2026,9,6),tblDaily[WardCode],"FAE")),"")</f>
        <v/>
      </c>
      <c r="J333" s="14" t="str">
        <f>IFERROR(IF(SUMIFS(tblDaily[Discharges],tblDaily[EntryDate],DATE(2026,9,6),tblDaily[WardCode],"FAE")=0,"",SUMIFS(tblDaily[Discharges],tblDaily[EntryDate],DATE(2026,9,6),tblDaily[WardCode],"FAE")),"")</f>
        <v/>
      </c>
      <c r="K333" s="14" t="str">
        <f>IFERROR(IF(SUMIFS(tblDaily[Deaths],tblDaily[EntryDate],DATE(2026,9,6),tblDaily[WardCode],"FAE")=0,"",SUMIFS(tblDaily[Deaths],tblDaily[EntryDate],DATE(2026,9,6),tblDaily[WardCode],"FAE")),"")</f>
        <v/>
      </c>
      <c r="L333" s="14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14" t="str">
        <f>IFERROR(IF(SUMIFS(tblDaily[TransfersIn],tblDaily[EntryDate],DATE(2026,9,6),tblDaily[WardCode],"FAE")=0,"",SUMIFS(tblDaily[TransfersIn],tblDaily[EntryDate],DATE(2026,9,6),tblDaily[WardCode],"FAE")),"")</f>
        <v/>
      </c>
      <c r="N333" s="14" t="str">
        <f>IFERROR(IF(SUMIFS(tblDaily[TransfersOut],tblDaily[EntryDate],DATE(2026,9,6),tblDaily[WardCode],"FAE")=0,"",SUMIFS(tblDaily[TransfersOut],tblDaily[EntryDate],DATE(2026,9,6),tblDaily[WardCode],"FAE")),"")</f>
        <v/>
      </c>
      <c r="O333" s="14" t="str">
        <f>IFERROR(IF(SUMIFS(tblDaily[Remaining],tblDaily[EntryDate],DATE(2026,9,6),tblDaily[WardCode],"FAE")=0,"",SUMIFS(tblDaily[Remaining],tblDaily[EntryDate],DATE(2026,9,6),tblDaily[WardCode],"FAE")),"")</f>
        <v/>
      </c>
      <c r="P333" s="15" t="str">
        <f t="shared" si="8"/>
        <v/>
      </c>
    </row>
    <row r="334" spans="1:16" x14ac:dyDescent="0.25">
      <c r="A334" s="14">
        <v>7</v>
      </c>
      <c r="B334" s="14" t="str">
        <f>IFERROR(IF(SUMIFS(tblDaily[Admissions],tblDaily[EntryDate],DATE(2026,9,7),tblDaily[WardCode],"MAE")=0,"",SUMIFS(tblDaily[Admissions],tblDaily[EntryDate],DATE(2026,9,7),tblDaily[WardCode],"MAE")),"")</f>
        <v/>
      </c>
      <c r="C334" s="14" t="str">
        <f>IFERROR(IF(SUMIFS(tblDaily[Discharges],tblDaily[EntryDate],DATE(2026,9,7),tblDaily[WardCode],"MAE")=0,"",SUMIFS(tblDaily[Discharges],tblDaily[EntryDate],DATE(2026,9,7),tblDaily[WardCode],"MAE")),"")</f>
        <v/>
      </c>
      <c r="D334" s="14" t="str">
        <f>IFERROR(IF(SUMIFS(tblDaily[Deaths],tblDaily[EntryDate],DATE(2026,9,7),tblDaily[WardCode],"MAE")=0,"",SUMIFS(tblDaily[Deaths],tblDaily[EntryDate],DATE(2026,9,7),tblDaily[WardCode],"MAE")),"")</f>
        <v/>
      </c>
      <c r="E334" s="14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14" t="str">
        <f>IFERROR(IF(SUMIFS(tblDaily[TransfersIn],tblDaily[EntryDate],DATE(2026,9,7),tblDaily[WardCode],"MAE")=0,"",SUMIFS(tblDaily[TransfersIn],tblDaily[EntryDate],DATE(2026,9,7),tblDaily[WardCode],"MAE")),"")</f>
        <v/>
      </c>
      <c r="G334" s="14" t="str">
        <f>IFERROR(IF(SUMIFS(tblDaily[TransfersOut],tblDaily[EntryDate],DATE(2026,9,7),tblDaily[WardCode],"MAE")=0,"",SUMIFS(tblDaily[TransfersOut],tblDaily[EntryDate],DATE(2026,9,7),tblDaily[WardCode],"MAE")),"")</f>
        <v/>
      </c>
      <c r="H334" s="14" t="str">
        <f>IFERROR(IF(SUMIFS(tblDaily[Remaining],tblDaily[EntryDate],DATE(2026,9,7),tblDaily[WardCode],"MAE")=0,"",SUMIFS(tblDaily[Remaining],tblDaily[EntryDate],DATE(2026,9,7),tblDaily[WardCode],"MAE")),"")</f>
        <v/>
      </c>
      <c r="I334" s="14" t="str">
        <f>IFERROR(IF(SUMIFS(tblDaily[Admissions],tblDaily[EntryDate],DATE(2026,9,7),tblDaily[WardCode],"FAE")=0,"",SUMIFS(tblDaily[Admissions],tblDaily[EntryDate],DATE(2026,9,7),tblDaily[WardCode],"FAE")),"")</f>
        <v/>
      </c>
      <c r="J334" s="14" t="str">
        <f>IFERROR(IF(SUMIFS(tblDaily[Discharges],tblDaily[EntryDate],DATE(2026,9,7),tblDaily[WardCode],"FAE")=0,"",SUMIFS(tblDaily[Discharges],tblDaily[EntryDate],DATE(2026,9,7),tblDaily[WardCode],"FAE")),"")</f>
        <v/>
      </c>
      <c r="K334" s="14" t="str">
        <f>IFERROR(IF(SUMIFS(tblDaily[Deaths],tblDaily[EntryDate],DATE(2026,9,7),tblDaily[WardCode],"FAE")=0,"",SUMIFS(tblDaily[Deaths],tblDaily[EntryDate],DATE(2026,9,7),tblDaily[WardCode],"FAE")),"")</f>
        <v/>
      </c>
      <c r="L334" s="14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14" t="str">
        <f>IFERROR(IF(SUMIFS(tblDaily[TransfersIn],tblDaily[EntryDate],DATE(2026,9,7),tblDaily[WardCode],"FAE")=0,"",SUMIFS(tblDaily[TransfersIn],tblDaily[EntryDate],DATE(2026,9,7),tblDaily[WardCode],"FAE")),"")</f>
        <v/>
      </c>
      <c r="N334" s="14" t="str">
        <f>IFERROR(IF(SUMIFS(tblDaily[TransfersOut],tblDaily[EntryDate],DATE(2026,9,7),tblDaily[WardCode],"FAE")=0,"",SUMIFS(tblDaily[TransfersOut],tblDaily[EntryDate],DATE(2026,9,7),tblDaily[WardCode],"FAE")),"")</f>
        <v/>
      </c>
      <c r="O334" s="14" t="str">
        <f>IFERROR(IF(SUMIFS(tblDaily[Remaining],tblDaily[EntryDate],DATE(2026,9,7),tblDaily[WardCode],"FAE")=0,"",SUMIFS(tblDaily[Remaining],tblDaily[EntryDate],DATE(2026,9,7),tblDaily[WardCode],"FAE")),"")</f>
        <v/>
      </c>
      <c r="P334" s="15" t="str">
        <f t="shared" si="8"/>
        <v/>
      </c>
    </row>
    <row r="335" spans="1:16" x14ac:dyDescent="0.25">
      <c r="A335" s="14">
        <v>8</v>
      </c>
      <c r="B335" s="14" t="str">
        <f>IFERROR(IF(SUMIFS(tblDaily[Admissions],tblDaily[EntryDate],DATE(2026,9,8),tblDaily[WardCode],"MAE")=0,"",SUMIFS(tblDaily[Admissions],tblDaily[EntryDate],DATE(2026,9,8),tblDaily[WardCode],"MAE")),"")</f>
        <v/>
      </c>
      <c r="C335" s="14" t="str">
        <f>IFERROR(IF(SUMIFS(tblDaily[Discharges],tblDaily[EntryDate],DATE(2026,9,8),tblDaily[WardCode],"MAE")=0,"",SUMIFS(tblDaily[Discharges],tblDaily[EntryDate],DATE(2026,9,8),tblDaily[WardCode],"MAE")),"")</f>
        <v/>
      </c>
      <c r="D335" s="14" t="str">
        <f>IFERROR(IF(SUMIFS(tblDaily[Deaths],tblDaily[EntryDate],DATE(2026,9,8),tblDaily[WardCode],"MAE")=0,"",SUMIFS(tblDaily[Deaths],tblDaily[EntryDate],DATE(2026,9,8),tblDaily[WardCode],"MAE")),"")</f>
        <v/>
      </c>
      <c r="E335" s="14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14" t="str">
        <f>IFERROR(IF(SUMIFS(tblDaily[TransfersIn],tblDaily[EntryDate],DATE(2026,9,8),tblDaily[WardCode],"MAE")=0,"",SUMIFS(tblDaily[TransfersIn],tblDaily[EntryDate],DATE(2026,9,8),tblDaily[WardCode],"MAE")),"")</f>
        <v/>
      </c>
      <c r="G335" s="14" t="str">
        <f>IFERROR(IF(SUMIFS(tblDaily[TransfersOut],tblDaily[EntryDate],DATE(2026,9,8),tblDaily[WardCode],"MAE")=0,"",SUMIFS(tblDaily[TransfersOut],tblDaily[EntryDate],DATE(2026,9,8),tblDaily[WardCode],"MAE")),"")</f>
        <v/>
      </c>
      <c r="H335" s="14" t="str">
        <f>IFERROR(IF(SUMIFS(tblDaily[Remaining],tblDaily[EntryDate],DATE(2026,9,8),tblDaily[WardCode],"MAE")=0,"",SUMIFS(tblDaily[Remaining],tblDaily[EntryDate],DATE(2026,9,8),tblDaily[WardCode],"MAE")),"")</f>
        <v/>
      </c>
      <c r="I335" s="14" t="str">
        <f>IFERROR(IF(SUMIFS(tblDaily[Admissions],tblDaily[EntryDate],DATE(2026,9,8),tblDaily[WardCode],"FAE")=0,"",SUMIFS(tblDaily[Admissions],tblDaily[EntryDate],DATE(2026,9,8),tblDaily[WardCode],"FAE")),"")</f>
        <v/>
      </c>
      <c r="J335" s="14" t="str">
        <f>IFERROR(IF(SUMIFS(tblDaily[Discharges],tblDaily[EntryDate],DATE(2026,9,8),tblDaily[WardCode],"FAE")=0,"",SUMIFS(tblDaily[Discharges],tblDaily[EntryDate],DATE(2026,9,8),tblDaily[WardCode],"FAE")),"")</f>
        <v/>
      </c>
      <c r="K335" s="14" t="str">
        <f>IFERROR(IF(SUMIFS(tblDaily[Deaths],tblDaily[EntryDate],DATE(2026,9,8),tblDaily[WardCode],"FAE")=0,"",SUMIFS(tblDaily[Deaths],tblDaily[EntryDate],DATE(2026,9,8),tblDaily[WardCode],"FAE")),"")</f>
        <v/>
      </c>
      <c r="L335" s="14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14" t="str">
        <f>IFERROR(IF(SUMIFS(tblDaily[TransfersIn],tblDaily[EntryDate],DATE(2026,9,8),tblDaily[WardCode],"FAE")=0,"",SUMIFS(tblDaily[TransfersIn],tblDaily[EntryDate],DATE(2026,9,8),tblDaily[WardCode],"FAE")),"")</f>
        <v/>
      </c>
      <c r="N335" s="14" t="str">
        <f>IFERROR(IF(SUMIFS(tblDaily[TransfersOut],tblDaily[EntryDate],DATE(2026,9,8),tblDaily[WardCode],"FAE")=0,"",SUMIFS(tblDaily[TransfersOut],tblDaily[EntryDate],DATE(2026,9,8),tblDaily[WardCode],"FAE")),"")</f>
        <v/>
      </c>
      <c r="O335" s="14" t="str">
        <f>IFERROR(IF(SUMIFS(tblDaily[Remaining],tblDaily[EntryDate],DATE(2026,9,8),tblDaily[WardCode],"FAE")=0,"",SUMIFS(tblDaily[Remaining],tblDaily[EntryDate],DATE(2026,9,8),tblDaily[WardCode],"FAE")),"")</f>
        <v/>
      </c>
      <c r="P335" s="15" t="str">
        <f t="shared" si="8"/>
        <v/>
      </c>
    </row>
    <row r="336" spans="1:16" x14ac:dyDescent="0.25">
      <c r="A336" s="14">
        <v>9</v>
      </c>
      <c r="B336" s="14" t="str">
        <f>IFERROR(IF(SUMIFS(tblDaily[Admissions],tblDaily[EntryDate],DATE(2026,9,9),tblDaily[WardCode],"MAE")=0,"",SUMIFS(tblDaily[Admissions],tblDaily[EntryDate],DATE(2026,9,9),tblDaily[WardCode],"MAE")),"")</f>
        <v/>
      </c>
      <c r="C336" s="14" t="str">
        <f>IFERROR(IF(SUMIFS(tblDaily[Discharges],tblDaily[EntryDate],DATE(2026,9,9),tblDaily[WardCode],"MAE")=0,"",SUMIFS(tblDaily[Discharges],tblDaily[EntryDate],DATE(2026,9,9),tblDaily[WardCode],"MAE")),"")</f>
        <v/>
      </c>
      <c r="D336" s="14" t="str">
        <f>IFERROR(IF(SUMIFS(tblDaily[Deaths],tblDaily[EntryDate],DATE(2026,9,9),tblDaily[WardCode],"MAE")=0,"",SUMIFS(tblDaily[Deaths],tblDaily[EntryDate],DATE(2026,9,9),tblDaily[WardCode],"MAE")),"")</f>
        <v/>
      </c>
      <c r="E336" s="14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14" t="str">
        <f>IFERROR(IF(SUMIFS(tblDaily[TransfersIn],tblDaily[EntryDate],DATE(2026,9,9),tblDaily[WardCode],"MAE")=0,"",SUMIFS(tblDaily[TransfersIn],tblDaily[EntryDate],DATE(2026,9,9),tblDaily[WardCode],"MAE")),"")</f>
        <v/>
      </c>
      <c r="G336" s="14" t="str">
        <f>IFERROR(IF(SUMIFS(tblDaily[TransfersOut],tblDaily[EntryDate],DATE(2026,9,9),tblDaily[WardCode],"MAE")=0,"",SUMIFS(tblDaily[TransfersOut],tblDaily[EntryDate],DATE(2026,9,9),tblDaily[WardCode],"MAE")),"")</f>
        <v/>
      </c>
      <c r="H336" s="14" t="str">
        <f>IFERROR(IF(SUMIFS(tblDaily[Remaining],tblDaily[EntryDate],DATE(2026,9,9),tblDaily[WardCode],"MAE")=0,"",SUMIFS(tblDaily[Remaining],tblDaily[EntryDate],DATE(2026,9,9),tblDaily[WardCode],"MAE")),"")</f>
        <v/>
      </c>
      <c r="I336" s="14" t="str">
        <f>IFERROR(IF(SUMIFS(tblDaily[Admissions],tblDaily[EntryDate],DATE(2026,9,9),tblDaily[WardCode],"FAE")=0,"",SUMIFS(tblDaily[Admissions],tblDaily[EntryDate],DATE(2026,9,9),tblDaily[WardCode],"FAE")),"")</f>
        <v/>
      </c>
      <c r="J336" s="14" t="str">
        <f>IFERROR(IF(SUMIFS(tblDaily[Discharges],tblDaily[EntryDate],DATE(2026,9,9),tblDaily[WardCode],"FAE")=0,"",SUMIFS(tblDaily[Discharges],tblDaily[EntryDate],DATE(2026,9,9),tblDaily[WardCode],"FAE")),"")</f>
        <v/>
      </c>
      <c r="K336" s="14" t="str">
        <f>IFERROR(IF(SUMIFS(tblDaily[Deaths],tblDaily[EntryDate],DATE(2026,9,9),tblDaily[WardCode],"FAE")=0,"",SUMIFS(tblDaily[Deaths],tblDaily[EntryDate],DATE(2026,9,9),tblDaily[WardCode],"FAE")),"")</f>
        <v/>
      </c>
      <c r="L336" s="14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14" t="str">
        <f>IFERROR(IF(SUMIFS(tblDaily[TransfersIn],tblDaily[EntryDate],DATE(2026,9,9),tblDaily[WardCode],"FAE")=0,"",SUMIFS(tblDaily[TransfersIn],tblDaily[EntryDate],DATE(2026,9,9),tblDaily[WardCode],"FAE")),"")</f>
        <v/>
      </c>
      <c r="N336" s="14" t="str">
        <f>IFERROR(IF(SUMIFS(tblDaily[TransfersOut],tblDaily[EntryDate],DATE(2026,9,9),tblDaily[WardCode],"FAE")=0,"",SUMIFS(tblDaily[TransfersOut],tblDaily[EntryDate],DATE(2026,9,9),tblDaily[WardCode],"FAE")),"")</f>
        <v/>
      </c>
      <c r="O336" s="14" t="str">
        <f>IFERROR(IF(SUMIFS(tblDaily[Remaining],tblDaily[EntryDate],DATE(2026,9,9),tblDaily[WardCode],"FAE")=0,"",SUMIFS(tblDaily[Remaining],tblDaily[EntryDate],DATE(2026,9,9),tblDaily[WardCode],"FAE")),"")</f>
        <v/>
      </c>
      <c r="P336" s="15" t="str">
        <f t="shared" si="8"/>
        <v/>
      </c>
    </row>
    <row r="337" spans="1:16" x14ac:dyDescent="0.25">
      <c r="A337" s="14">
        <v>10</v>
      </c>
      <c r="B337" s="14" t="str">
        <f>IFERROR(IF(SUMIFS(tblDaily[Admissions],tblDaily[EntryDate],DATE(2026,9,10),tblDaily[WardCode],"MAE")=0,"",SUMIFS(tblDaily[Admissions],tblDaily[EntryDate],DATE(2026,9,10),tblDaily[WardCode],"MAE")),"")</f>
        <v/>
      </c>
      <c r="C337" s="14" t="str">
        <f>IFERROR(IF(SUMIFS(tblDaily[Discharges],tblDaily[EntryDate],DATE(2026,9,10),tblDaily[WardCode],"MAE")=0,"",SUMIFS(tblDaily[Discharges],tblDaily[EntryDate],DATE(2026,9,10),tblDaily[WardCode],"MAE")),"")</f>
        <v/>
      </c>
      <c r="D337" s="14" t="str">
        <f>IFERROR(IF(SUMIFS(tblDaily[Deaths],tblDaily[EntryDate],DATE(2026,9,10),tblDaily[WardCode],"MAE")=0,"",SUMIFS(tblDaily[Deaths],tblDaily[EntryDate],DATE(2026,9,10),tblDaily[WardCode],"MAE")),"")</f>
        <v/>
      </c>
      <c r="E337" s="14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14" t="str">
        <f>IFERROR(IF(SUMIFS(tblDaily[TransfersIn],tblDaily[EntryDate],DATE(2026,9,10),tblDaily[WardCode],"MAE")=0,"",SUMIFS(tblDaily[TransfersIn],tblDaily[EntryDate],DATE(2026,9,10),tblDaily[WardCode],"MAE")),"")</f>
        <v/>
      </c>
      <c r="G337" s="14" t="str">
        <f>IFERROR(IF(SUMIFS(tblDaily[TransfersOut],tblDaily[EntryDate],DATE(2026,9,10),tblDaily[WardCode],"MAE")=0,"",SUMIFS(tblDaily[TransfersOut],tblDaily[EntryDate],DATE(2026,9,10),tblDaily[WardCode],"MAE")),"")</f>
        <v/>
      </c>
      <c r="H337" s="14" t="str">
        <f>IFERROR(IF(SUMIFS(tblDaily[Remaining],tblDaily[EntryDate],DATE(2026,9,10),tblDaily[WardCode],"MAE")=0,"",SUMIFS(tblDaily[Remaining],tblDaily[EntryDate],DATE(2026,9,10),tblDaily[WardCode],"MAE")),"")</f>
        <v/>
      </c>
      <c r="I337" s="14" t="str">
        <f>IFERROR(IF(SUMIFS(tblDaily[Admissions],tblDaily[EntryDate],DATE(2026,9,10),tblDaily[WardCode],"FAE")=0,"",SUMIFS(tblDaily[Admissions],tblDaily[EntryDate],DATE(2026,9,10),tblDaily[WardCode],"FAE")),"")</f>
        <v/>
      </c>
      <c r="J337" s="14" t="str">
        <f>IFERROR(IF(SUMIFS(tblDaily[Discharges],tblDaily[EntryDate],DATE(2026,9,10),tblDaily[WardCode],"FAE")=0,"",SUMIFS(tblDaily[Discharges],tblDaily[EntryDate],DATE(2026,9,10),tblDaily[WardCode],"FAE")),"")</f>
        <v/>
      </c>
      <c r="K337" s="14" t="str">
        <f>IFERROR(IF(SUMIFS(tblDaily[Deaths],tblDaily[EntryDate],DATE(2026,9,10),tblDaily[WardCode],"FAE")=0,"",SUMIFS(tblDaily[Deaths],tblDaily[EntryDate],DATE(2026,9,10),tblDaily[WardCode],"FAE")),"")</f>
        <v/>
      </c>
      <c r="L337" s="14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14" t="str">
        <f>IFERROR(IF(SUMIFS(tblDaily[TransfersIn],tblDaily[EntryDate],DATE(2026,9,10),tblDaily[WardCode],"FAE")=0,"",SUMIFS(tblDaily[TransfersIn],tblDaily[EntryDate],DATE(2026,9,10),tblDaily[WardCode],"FAE")),"")</f>
        <v/>
      </c>
      <c r="N337" s="14" t="str">
        <f>IFERROR(IF(SUMIFS(tblDaily[TransfersOut],tblDaily[EntryDate],DATE(2026,9,10),tblDaily[WardCode],"FAE")=0,"",SUMIFS(tblDaily[TransfersOut],tblDaily[EntryDate],DATE(2026,9,10),tblDaily[WardCode],"FAE")),"")</f>
        <v/>
      </c>
      <c r="O337" s="14" t="str">
        <f>IFERROR(IF(SUMIFS(tblDaily[Remaining],tblDaily[EntryDate],DATE(2026,9,10),tblDaily[WardCode],"FAE")=0,"",SUMIFS(tblDaily[Remaining],tblDaily[EntryDate],DATE(2026,9,10),tblDaily[WardCode],"FAE")),"")</f>
        <v/>
      </c>
      <c r="P337" s="15" t="str">
        <f t="shared" si="8"/>
        <v/>
      </c>
    </row>
    <row r="338" spans="1:16" x14ac:dyDescent="0.25">
      <c r="A338" s="14">
        <v>11</v>
      </c>
      <c r="B338" s="14" t="str">
        <f>IFERROR(IF(SUMIFS(tblDaily[Admissions],tblDaily[EntryDate],DATE(2026,9,11),tblDaily[WardCode],"MAE")=0,"",SUMIFS(tblDaily[Admissions],tblDaily[EntryDate],DATE(2026,9,11),tblDaily[WardCode],"MAE")),"")</f>
        <v/>
      </c>
      <c r="C338" s="14" t="str">
        <f>IFERROR(IF(SUMIFS(tblDaily[Discharges],tblDaily[EntryDate],DATE(2026,9,11),tblDaily[WardCode],"MAE")=0,"",SUMIFS(tblDaily[Discharges],tblDaily[EntryDate],DATE(2026,9,11),tblDaily[WardCode],"MAE")),"")</f>
        <v/>
      </c>
      <c r="D338" s="14" t="str">
        <f>IFERROR(IF(SUMIFS(tblDaily[Deaths],tblDaily[EntryDate],DATE(2026,9,11),tblDaily[WardCode],"MAE")=0,"",SUMIFS(tblDaily[Deaths],tblDaily[EntryDate],DATE(2026,9,11),tblDaily[WardCode],"MAE")),"")</f>
        <v/>
      </c>
      <c r="E338" s="14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14" t="str">
        <f>IFERROR(IF(SUMIFS(tblDaily[TransfersIn],tblDaily[EntryDate],DATE(2026,9,11),tblDaily[WardCode],"MAE")=0,"",SUMIFS(tblDaily[TransfersIn],tblDaily[EntryDate],DATE(2026,9,11),tblDaily[WardCode],"MAE")),"")</f>
        <v/>
      </c>
      <c r="G338" s="14" t="str">
        <f>IFERROR(IF(SUMIFS(tblDaily[TransfersOut],tblDaily[EntryDate],DATE(2026,9,11),tblDaily[WardCode],"MAE")=0,"",SUMIFS(tblDaily[TransfersOut],tblDaily[EntryDate],DATE(2026,9,11),tblDaily[WardCode],"MAE")),"")</f>
        <v/>
      </c>
      <c r="H338" s="14" t="str">
        <f>IFERROR(IF(SUMIFS(tblDaily[Remaining],tblDaily[EntryDate],DATE(2026,9,11),tblDaily[WardCode],"MAE")=0,"",SUMIFS(tblDaily[Remaining],tblDaily[EntryDate],DATE(2026,9,11),tblDaily[WardCode],"MAE")),"")</f>
        <v/>
      </c>
      <c r="I338" s="14" t="str">
        <f>IFERROR(IF(SUMIFS(tblDaily[Admissions],tblDaily[EntryDate],DATE(2026,9,11),tblDaily[WardCode],"FAE")=0,"",SUMIFS(tblDaily[Admissions],tblDaily[EntryDate],DATE(2026,9,11),tblDaily[WardCode],"FAE")),"")</f>
        <v/>
      </c>
      <c r="J338" s="14" t="str">
        <f>IFERROR(IF(SUMIFS(tblDaily[Discharges],tblDaily[EntryDate],DATE(2026,9,11),tblDaily[WardCode],"FAE")=0,"",SUMIFS(tblDaily[Discharges],tblDaily[EntryDate],DATE(2026,9,11),tblDaily[WardCode],"FAE")),"")</f>
        <v/>
      </c>
      <c r="K338" s="14" t="str">
        <f>IFERROR(IF(SUMIFS(tblDaily[Deaths],tblDaily[EntryDate],DATE(2026,9,11),tblDaily[WardCode],"FAE")=0,"",SUMIFS(tblDaily[Deaths],tblDaily[EntryDate],DATE(2026,9,11),tblDaily[WardCode],"FAE")),"")</f>
        <v/>
      </c>
      <c r="L338" s="14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14" t="str">
        <f>IFERROR(IF(SUMIFS(tblDaily[TransfersIn],tblDaily[EntryDate],DATE(2026,9,11),tblDaily[WardCode],"FAE")=0,"",SUMIFS(tblDaily[TransfersIn],tblDaily[EntryDate],DATE(2026,9,11),tblDaily[WardCode],"FAE")),"")</f>
        <v/>
      </c>
      <c r="N338" s="14" t="str">
        <f>IFERROR(IF(SUMIFS(tblDaily[TransfersOut],tblDaily[EntryDate],DATE(2026,9,11),tblDaily[WardCode],"FAE")=0,"",SUMIFS(tblDaily[TransfersOut],tblDaily[EntryDate],DATE(2026,9,11),tblDaily[WardCode],"FAE")),"")</f>
        <v/>
      </c>
      <c r="O338" s="14" t="str">
        <f>IFERROR(IF(SUMIFS(tblDaily[Remaining],tblDaily[EntryDate],DATE(2026,9,11),tblDaily[WardCode],"FAE")=0,"",SUMIFS(tblDaily[Remaining],tblDaily[EntryDate],DATE(2026,9,11),tblDaily[WardCode],"FAE")),"")</f>
        <v/>
      </c>
      <c r="P338" s="15" t="str">
        <f t="shared" si="8"/>
        <v/>
      </c>
    </row>
    <row r="339" spans="1:16" x14ac:dyDescent="0.25">
      <c r="A339" s="14">
        <v>12</v>
      </c>
      <c r="B339" s="14" t="str">
        <f>IFERROR(IF(SUMIFS(tblDaily[Admissions],tblDaily[EntryDate],DATE(2026,9,12),tblDaily[WardCode],"MAE")=0,"",SUMIFS(tblDaily[Admissions],tblDaily[EntryDate],DATE(2026,9,12),tblDaily[WardCode],"MAE")),"")</f>
        <v/>
      </c>
      <c r="C339" s="14" t="str">
        <f>IFERROR(IF(SUMIFS(tblDaily[Discharges],tblDaily[EntryDate],DATE(2026,9,12),tblDaily[WardCode],"MAE")=0,"",SUMIFS(tblDaily[Discharges],tblDaily[EntryDate],DATE(2026,9,12),tblDaily[WardCode],"MAE")),"")</f>
        <v/>
      </c>
      <c r="D339" s="14" t="str">
        <f>IFERROR(IF(SUMIFS(tblDaily[Deaths],tblDaily[EntryDate],DATE(2026,9,12),tblDaily[WardCode],"MAE")=0,"",SUMIFS(tblDaily[Deaths],tblDaily[EntryDate],DATE(2026,9,12),tblDaily[WardCode],"MAE")),"")</f>
        <v/>
      </c>
      <c r="E339" s="14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14" t="str">
        <f>IFERROR(IF(SUMIFS(tblDaily[TransfersIn],tblDaily[EntryDate],DATE(2026,9,12),tblDaily[WardCode],"MAE")=0,"",SUMIFS(tblDaily[TransfersIn],tblDaily[EntryDate],DATE(2026,9,12),tblDaily[WardCode],"MAE")),"")</f>
        <v/>
      </c>
      <c r="G339" s="14" t="str">
        <f>IFERROR(IF(SUMIFS(tblDaily[TransfersOut],tblDaily[EntryDate],DATE(2026,9,12),tblDaily[WardCode],"MAE")=0,"",SUMIFS(tblDaily[TransfersOut],tblDaily[EntryDate],DATE(2026,9,12),tblDaily[WardCode],"MAE")),"")</f>
        <v/>
      </c>
      <c r="H339" s="14" t="str">
        <f>IFERROR(IF(SUMIFS(tblDaily[Remaining],tblDaily[EntryDate],DATE(2026,9,12),tblDaily[WardCode],"MAE")=0,"",SUMIFS(tblDaily[Remaining],tblDaily[EntryDate],DATE(2026,9,12),tblDaily[WardCode],"MAE")),"")</f>
        <v/>
      </c>
      <c r="I339" s="14" t="str">
        <f>IFERROR(IF(SUMIFS(tblDaily[Admissions],tblDaily[EntryDate],DATE(2026,9,12),tblDaily[WardCode],"FAE")=0,"",SUMIFS(tblDaily[Admissions],tblDaily[EntryDate],DATE(2026,9,12),tblDaily[WardCode],"FAE")),"")</f>
        <v/>
      </c>
      <c r="J339" s="14" t="str">
        <f>IFERROR(IF(SUMIFS(tblDaily[Discharges],tblDaily[EntryDate],DATE(2026,9,12),tblDaily[WardCode],"FAE")=0,"",SUMIFS(tblDaily[Discharges],tblDaily[EntryDate],DATE(2026,9,12),tblDaily[WardCode],"FAE")),"")</f>
        <v/>
      </c>
      <c r="K339" s="14" t="str">
        <f>IFERROR(IF(SUMIFS(tblDaily[Deaths],tblDaily[EntryDate],DATE(2026,9,12),tblDaily[WardCode],"FAE")=0,"",SUMIFS(tblDaily[Deaths],tblDaily[EntryDate],DATE(2026,9,12),tblDaily[WardCode],"FAE")),"")</f>
        <v/>
      </c>
      <c r="L339" s="14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14" t="str">
        <f>IFERROR(IF(SUMIFS(tblDaily[TransfersIn],tblDaily[EntryDate],DATE(2026,9,12),tblDaily[WardCode],"FAE")=0,"",SUMIFS(tblDaily[TransfersIn],tblDaily[EntryDate],DATE(2026,9,12),tblDaily[WardCode],"FAE")),"")</f>
        <v/>
      </c>
      <c r="N339" s="14" t="str">
        <f>IFERROR(IF(SUMIFS(tblDaily[TransfersOut],tblDaily[EntryDate],DATE(2026,9,12),tblDaily[WardCode],"FAE")=0,"",SUMIFS(tblDaily[TransfersOut],tblDaily[EntryDate],DATE(2026,9,12),tblDaily[WardCode],"FAE")),"")</f>
        <v/>
      </c>
      <c r="O339" s="14" t="str">
        <f>IFERROR(IF(SUMIFS(tblDaily[Remaining],tblDaily[EntryDate],DATE(2026,9,12),tblDaily[WardCode],"FAE")=0,"",SUMIFS(tblDaily[Remaining],tblDaily[EntryDate],DATE(2026,9,12),tblDaily[WardCode],"FAE")),"")</f>
        <v/>
      </c>
      <c r="P339" s="15" t="str">
        <f t="shared" si="8"/>
        <v/>
      </c>
    </row>
    <row r="340" spans="1:16" x14ac:dyDescent="0.25">
      <c r="A340" s="14">
        <v>13</v>
      </c>
      <c r="B340" s="14" t="str">
        <f>IFERROR(IF(SUMIFS(tblDaily[Admissions],tblDaily[EntryDate],DATE(2026,9,13),tblDaily[WardCode],"MAE")=0,"",SUMIFS(tblDaily[Admissions],tblDaily[EntryDate],DATE(2026,9,13),tblDaily[WardCode],"MAE")),"")</f>
        <v/>
      </c>
      <c r="C340" s="14" t="str">
        <f>IFERROR(IF(SUMIFS(tblDaily[Discharges],tblDaily[EntryDate],DATE(2026,9,13),tblDaily[WardCode],"MAE")=0,"",SUMIFS(tblDaily[Discharges],tblDaily[EntryDate],DATE(2026,9,13),tblDaily[WardCode],"MAE")),"")</f>
        <v/>
      </c>
      <c r="D340" s="14" t="str">
        <f>IFERROR(IF(SUMIFS(tblDaily[Deaths],tblDaily[EntryDate],DATE(2026,9,13),tblDaily[WardCode],"MAE")=0,"",SUMIFS(tblDaily[Deaths],tblDaily[EntryDate],DATE(2026,9,13),tblDaily[WardCode],"MAE")),"")</f>
        <v/>
      </c>
      <c r="E340" s="14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14" t="str">
        <f>IFERROR(IF(SUMIFS(tblDaily[TransfersIn],tblDaily[EntryDate],DATE(2026,9,13),tblDaily[WardCode],"MAE")=0,"",SUMIFS(tblDaily[TransfersIn],tblDaily[EntryDate],DATE(2026,9,13),tblDaily[WardCode],"MAE")),"")</f>
        <v/>
      </c>
      <c r="G340" s="14" t="str">
        <f>IFERROR(IF(SUMIFS(tblDaily[TransfersOut],tblDaily[EntryDate],DATE(2026,9,13),tblDaily[WardCode],"MAE")=0,"",SUMIFS(tblDaily[TransfersOut],tblDaily[EntryDate],DATE(2026,9,13),tblDaily[WardCode],"MAE")),"")</f>
        <v/>
      </c>
      <c r="H340" s="14" t="str">
        <f>IFERROR(IF(SUMIFS(tblDaily[Remaining],tblDaily[EntryDate],DATE(2026,9,13),tblDaily[WardCode],"MAE")=0,"",SUMIFS(tblDaily[Remaining],tblDaily[EntryDate],DATE(2026,9,13),tblDaily[WardCode],"MAE")),"")</f>
        <v/>
      </c>
      <c r="I340" s="14" t="str">
        <f>IFERROR(IF(SUMIFS(tblDaily[Admissions],tblDaily[EntryDate],DATE(2026,9,13),tblDaily[WardCode],"FAE")=0,"",SUMIFS(tblDaily[Admissions],tblDaily[EntryDate],DATE(2026,9,13),tblDaily[WardCode],"FAE")),"")</f>
        <v/>
      </c>
      <c r="J340" s="14" t="str">
        <f>IFERROR(IF(SUMIFS(tblDaily[Discharges],tblDaily[EntryDate],DATE(2026,9,13),tblDaily[WardCode],"FAE")=0,"",SUMIFS(tblDaily[Discharges],tblDaily[EntryDate],DATE(2026,9,13),tblDaily[WardCode],"FAE")),"")</f>
        <v/>
      </c>
      <c r="K340" s="14" t="str">
        <f>IFERROR(IF(SUMIFS(tblDaily[Deaths],tblDaily[EntryDate],DATE(2026,9,13),tblDaily[WardCode],"FAE")=0,"",SUMIFS(tblDaily[Deaths],tblDaily[EntryDate],DATE(2026,9,13),tblDaily[WardCode],"FAE")),"")</f>
        <v/>
      </c>
      <c r="L340" s="14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14" t="str">
        <f>IFERROR(IF(SUMIFS(tblDaily[TransfersIn],tblDaily[EntryDate],DATE(2026,9,13),tblDaily[WardCode],"FAE")=0,"",SUMIFS(tblDaily[TransfersIn],tblDaily[EntryDate],DATE(2026,9,13),tblDaily[WardCode],"FAE")),"")</f>
        <v/>
      </c>
      <c r="N340" s="14" t="str">
        <f>IFERROR(IF(SUMIFS(tblDaily[TransfersOut],tblDaily[EntryDate],DATE(2026,9,13),tblDaily[WardCode],"FAE")=0,"",SUMIFS(tblDaily[TransfersOut],tblDaily[EntryDate],DATE(2026,9,13),tblDaily[WardCode],"FAE")),"")</f>
        <v/>
      </c>
      <c r="O340" s="14" t="str">
        <f>IFERROR(IF(SUMIFS(tblDaily[Remaining],tblDaily[EntryDate],DATE(2026,9,13),tblDaily[WardCode],"FAE")=0,"",SUMIFS(tblDaily[Remaining],tblDaily[EntryDate],DATE(2026,9,13),tblDaily[WardCode],"FAE")),"")</f>
        <v/>
      </c>
      <c r="P340" s="15" t="str">
        <f t="shared" si="8"/>
        <v/>
      </c>
    </row>
    <row r="341" spans="1:16" x14ac:dyDescent="0.25">
      <c r="A341" s="14">
        <v>14</v>
      </c>
      <c r="B341" s="14" t="str">
        <f>IFERROR(IF(SUMIFS(tblDaily[Admissions],tblDaily[EntryDate],DATE(2026,9,14),tblDaily[WardCode],"MAE")=0,"",SUMIFS(tblDaily[Admissions],tblDaily[EntryDate],DATE(2026,9,14),tblDaily[WardCode],"MAE")),"")</f>
        <v/>
      </c>
      <c r="C341" s="14" t="str">
        <f>IFERROR(IF(SUMIFS(tblDaily[Discharges],tblDaily[EntryDate],DATE(2026,9,14),tblDaily[WardCode],"MAE")=0,"",SUMIFS(tblDaily[Discharges],tblDaily[EntryDate],DATE(2026,9,14),tblDaily[WardCode],"MAE")),"")</f>
        <v/>
      </c>
      <c r="D341" s="14" t="str">
        <f>IFERROR(IF(SUMIFS(tblDaily[Deaths],tblDaily[EntryDate],DATE(2026,9,14),tblDaily[WardCode],"MAE")=0,"",SUMIFS(tblDaily[Deaths],tblDaily[EntryDate],DATE(2026,9,14),tblDaily[WardCode],"MAE")),"")</f>
        <v/>
      </c>
      <c r="E341" s="14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14" t="str">
        <f>IFERROR(IF(SUMIFS(tblDaily[TransfersIn],tblDaily[EntryDate],DATE(2026,9,14),tblDaily[WardCode],"MAE")=0,"",SUMIFS(tblDaily[TransfersIn],tblDaily[EntryDate],DATE(2026,9,14),tblDaily[WardCode],"MAE")),"")</f>
        <v/>
      </c>
      <c r="G341" s="14" t="str">
        <f>IFERROR(IF(SUMIFS(tblDaily[TransfersOut],tblDaily[EntryDate],DATE(2026,9,14),tblDaily[WardCode],"MAE")=0,"",SUMIFS(tblDaily[TransfersOut],tblDaily[EntryDate],DATE(2026,9,14),tblDaily[WardCode],"MAE")),"")</f>
        <v/>
      </c>
      <c r="H341" s="14" t="str">
        <f>IFERROR(IF(SUMIFS(tblDaily[Remaining],tblDaily[EntryDate],DATE(2026,9,14),tblDaily[WardCode],"MAE")=0,"",SUMIFS(tblDaily[Remaining],tblDaily[EntryDate],DATE(2026,9,14),tblDaily[WardCode],"MAE")),"")</f>
        <v/>
      </c>
      <c r="I341" s="14" t="str">
        <f>IFERROR(IF(SUMIFS(tblDaily[Admissions],tblDaily[EntryDate],DATE(2026,9,14),tblDaily[WardCode],"FAE")=0,"",SUMIFS(tblDaily[Admissions],tblDaily[EntryDate],DATE(2026,9,14),tblDaily[WardCode],"FAE")),"")</f>
        <v/>
      </c>
      <c r="J341" s="14" t="str">
        <f>IFERROR(IF(SUMIFS(tblDaily[Discharges],tblDaily[EntryDate],DATE(2026,9,14),tblDaily[WardCode],"FAE")=0,"",SUMIFS(tblDaily[Discharges],tblDaily[EntryDate],DATE(2026,9,14),tblDaily[WardCode],"FAE")),"")</f>
        <v/>
      </c>
      <c r="K341" s="14" t="str">
        <f>IFERROR(IF(SUMIFS(tblDaily[Deaths],tblDaily[EntryDate],DATE(2026,9,14),tblDaily[WardCode],"FAE")=0,"",SUMIFS(tblDaily[Deaths],tblDaily[EntryDate],DATE(2026,9,14),tblDaily[WardCode],"FAE")),"")</f>
        <v/>
      </c>
      <c r="L341" s="14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14" t="str">
        <f>IFERROR(IF(SUMIFS(tblDaily[TransfersIn],tblDaily[EntryDate],DATE(2026,9,14),tblDaily[WardCode],"FAE")=0,"",SUMIFS(tblDaily[TransfersIn],tblDaily[EntryDate],DATE(2026,9,14),tblDaily[WardCode],"FAE")),"")</f>
        <v/>
      </c>
      <c r="N341" s="14" t="str">
        <f>IFERROR(IF(SUMIFS(tblDaily[TransfersOut],tblDaily[EntryDate],DATE(2026,9,14),tblDaily[WardCode],"FAE")=0,"",SUMIFS(tblDaily[TransfersOut],tblDaily[EntryDate],DATE(2026,9,14),tblDaily[WardCode],"FAE")),"")</f>
        <v/>
      </c>
      <c r="O341" s="14" t="str">
        <f>IFERROR(IF(SUMIFS(tblDaily[Remaining],tblDaily[EntryDate],DATE(2026,9,14),tblDaily[WardCode],"FAE")=0,"",SUMIFS(tblDaily[Remaining],tblDaily[EntryDate],DATE(2026,9,14),tblDaily[WardCode],"FAE")),"")</f>
        <v/>
      </c>
      <c r="P341" s="15" t="str">
        <f t="shared" si="8"/>
        <v/>
      </c>
    </row>
    <row r="342" spans="1:16" x14ac:dyDescent="0.25">
      <c r="A342" s="14">
        <v>15</v>
      </c>
      <c r="B342" s="14" t="str">
        <f>IFERROR(IF(SUMIFS(tblDaily[Admissions],tblDaily[EntryDate],DATE(2026,9,15),tblDaily[WardCode],"MAE")=0,"",SUMIFS(tblDaily[Admissions],tblDaily[EntryDate],DATE(2026,9,15),tblDaily[WardCode],"MAE")),"")</f>
        <v/>
      </c>
      <c r="C342" s="14" t="str">
        <f>IFERROR(IF(SUMIFS(tblDaily[Discharges],tblDaily[EntryDate],DATE(2026,9,15),tblDaily[WardCode],"MAE")=0,"",SUMIFS(tblDaily[Discharges],tblDaily[EntryDate],DATE(2026,9,15),tblDaily[WardCode],"MAE")),"")</f>
        <v/>
      </c>
      <c r="D342" s="14" t="str">
        <f>IFERROR(IF(SUMIFS(tblDaily[Deaths],tblDaily[EntryDate],DATE(2026,9,15),tblDaily[WardCode],"MAE")=0,"",SUMIFS(tblDaily[Deaths],tblDaily[EntryDate],DATE(2026,9,15),tblDaily[WardCode],"MAE")),"")</f>
        <v/>
      </c>
      <c r="E342" s="14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14" t="str">
        <f>IFERROR(IF(SUMIFS(tblDaily[TransfersIn],tblDaily[EntryDate],DATE(2026,9,15),tblDaily[WardCode],"MAE")=0,"",SUMIFS(tblDaily[TransfersIn],tblDaily[EntryDate],DATE(2026,9,15),tblDaily[WardCode],"MAE")),"")</f>
        <v/>
      </c>
      <c r="G342" s="14" t="str">
        <f>IFERROR(IF(SUMIFS(tblDaily[TransfersOut],tblDaily[EntryDate],DATE(2026,9,15),tblDaily[WardCode],"MAE")=0,"",SUMIFS(tblDaily[TransfersOut],tblDaily[EntryDate],DATE(2026,9,15),tblDaily[WardCode],"MAE")),"")</f>
        <v/>
      </c>
      <c r="H342" s="14" t="str">
        <f>IFERROR(IF(SUMIFS(tblDaily[Remaining],tblDaily[EntryDate],DATE(2026,9,15),tblDaily[WardCode],"MAE")=0,"",SUMIFS(tblDaily[Remaining],tblDaily[EntryDate],DATE(2026,9,15),tblDaily[WardCode],"MAE")),"")</f>
        <v/>
      </c>
      <c r="I342" s="14" t="str">
        <f>IFERROR(IF(SUMIFS(tblDaily[Admissions],tblDaily[EntryDate],DATE(2026,9,15),tblDaily[WardCode],"FAE")=0,"",SUMIFS(tblDaily[Admissions],tblDaily[EntryDate],DATE(2026,9,15),tblDaily[WardCode],"FAE")),"")</f>
        <v/>
      </c>
      <c r="J342" s="14" t="str">
        <f>IFERROR(IF(SUMIFS(tblDaily[Discharges],tblDaily[EntryDate],DATE(2026,9,15),tblDaily[WardCode],"FAE")=0,"",SUMIFS(tblDaily[Discharges],tblDaily[EntryDate],DATE(2026,9,15),tblDaily[WardCode],"FAE")),"")</f>
        <v/>
      </c>
      <c r="K342" s="14" t="str">
        <f>IFERROR(IF(SUMIFS(tblDaily[Deaths],tblDaily[EntryDate],DATE(2026,9,15),tblDaily[WardCode],"FAE")=0,"",SUMIFS(tblDaily[Deaths],tblDaily[EntryDate],DATE(2026,9,15),tblDaily[WardCode],"FAE")),"")</f>
        <v/>
      </c>
      <c r="L342" s="14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14" t="str">
        <f>IFERROR(IF(SUMIFS(tblDaily[TransfersIn],tblDaily[EntryDate],DATE(2026,9,15),tblDaily[WardCode],"FAE")=0,"",SUMIFS(tblDaily[TransfersIn],tblDaily[EntryDate],DATE(2026,9,15),tblDaily[WardCode],"FAE")),"")</f>
        <v/>
      </c>
      <c r="N342" s="14" t="str">
        <f>IFERROR(IF(SUMIFS(tblDaily[TransfersOut],tblDaily[EntryDate],DATE(2026,9,15),tblDaily[WardCode],"FAE")=0,"",SUMIFS(tblDaily[TransfersOut],tblDaily[EntryDate],DATE(2026,9,15),tblDaily[WardCode],"FAE")),"")</f>
        <v/>
      </c>
      <c r="O342" s="14" t="str">
        <f>IFERROR(IF(SUMIFS(tblDaily[Remaining],tblDaily[EntryDate],DATE(2026,9,15),tblDaily[WardCode],"FAE")=0,"",SUMIFS(tblDaily[Remaining],tblDaily[EntryDate],DATE(2026,9,15),tblDaily[WardCode],"FAE")),"")</f>
        <v/>
      </c>
      <c r="P342" s="15" t="str">
        <f t="shared" si="8"/>
        <v/>
      </c>
    </row>
    <row r="343" spans="1:16" x14ac:dyDescent="0.25">
      <c r="A343" s="14">
        <v>16</v>
      </c>
      <c r="B343" s="14" t="str">
        <f>IFERROR(IF(SUMIFS(tblDaily[Admissions],tblDaily[EntryDate],DATE(2026,9,16),tblDaily[WardCode],"MAE")=0,"",SUMIFS(tblDaily[Admissions],tblDaily[EntryDate],DATE(2026,9,16),tblDaily[WardCode],"MAE")),"")</f>
        <v/>
      </c>
      <c r="C343" s="14" t="str">
        <f>IFERROR(IF(SUMIFS(tblDaily[Discharges],tblDaily[EntryDate],DATE(2026,9,16),tblDaily[WardCode],"MAE")=0,"",SUMIFS(tblDaily[Discharges],tblDaily[EntryDate],DATE(2026,9,16),tblDaily[WardCode],"MAE")),"")</f>
        <v/>
      </c>
      <c r="D343" s="14" t="str">
        <f>IFERROR(IF(SUMIFS(tblDaily[Deaths],tblDaily[EntryDate],DATE(2026,9,16),tblDaily[WardCode],"MAE")=0,"",SUMIFS(tblDaily[Deaths],tblDaily[EntryDate],DATE(2026,9,16),tblDaily[WardCode],"MAE")),"")</f>
        <v/>
      </c>
      <c r="E343" s="14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14" t="str">
        <f>IFERROR(IF(SUMIFS(tblDaily[TransfersIn],tblDaily[EntryDate],DATE(2026,9,16),tblDaily[WardCode],"MAE")=0,"",SUMIFS(tblDaily[TransfersIn],tblDaily[EntryDate],DATE(2026,9,16),tblDaily[WardCode],"MAE")),"")</f>
        <v/>
      </c>
      <c r="G343" s="14" t="str">
        <f>IFERROR(IF(SUMIFS(tblDaily[TransfersOut],tblDaily[EntryDate],DATE(2026,9,16),tblDaily[WardCode],"MAE")=0,"",SUMIFS(tblDaily[TransfersOut],tblDaily[EntryDate],DATE(2026,9,16),tblDaily[WardCode],"MAE")),"")</f>
        <v/>
      </c>
      <c r="H343" s="14" t="str">
        <f>IFERROR(IF(SUMIFS(tblDaily[Remaining],tblDaily[EntryDate],DATE(2026,9,16),tblDaily[WardCode],"MAE")=0,"",SUMIFS(tblDaily[Remaining],tblDaily[EntryDate],DATE(2026,9,16),tblDaily[WardCode],"MAE")),"")</f>
        <v/>
      </c>
      <c r="I343" s="14" t="str">
        <f>IFERROR(IF(SUMIFS(tblDaily[Admissions],tblDaily[EntryDate],DATE(2026,9,16),tblDaily[WardCode],"FAE")=0,"",SUMIFS(tblDaily[Admissions],tblDaily[EntryDate],DATE(2026,9,16),tblDaily[WardCode],"FAE")),"")</f>
        <v/>
      </c>
      <c r="J343" s="14" t="str">
        <f>IFERROR(IF(SUMIFS(tblDaily[Discharges],tblDaily[EntryDate],DATE(2026,9,16),tblDaily[WardCode],"FAE")=0,"",SUMIFS(tblDaily[Discharges],tblDaily[EntryDate],DATE(2026,9,16),tblDaily[WardCode],"FAE")),"")</f>
        <v/>
      </c>
      <c r="K343" s="14" t="str">
        <f>IFERROR(IF(SUMIFS(tblDaily[Deaths],tblDaily[EntryDate],DATE(2026,9,16),tblDaily[WardCode],"FAE")=0,"",SUMIFS(tblDaily[Deaths],tblDaily[EntryDate],DATE(2026,9,16),tblDaily[WardCode],"FAE")),"")</f>
        <v/>
      </c>
      <c r="L343" s="14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14" t="str">
        <f>IFERROR(IF(SUMIFS(tblDaily[TransfersIn],tblDaily[EntryDate],DATE(2026,9,16),tblDaily[WardCode],"FAE")=0,"",SUMIFS(tblDaily[TransfersIn],tblDaily[EntryDate],DATE(2026,9,16),tblDaily[WardCode],"FAE")),"")</f>
        <v/>
      </c>
      <c r="N343" s="14" t="str">
        <f>IFERROR(IF(SUMIFS(tblDaily[TransfersOut],tblDaily[EntryDate],DATE(2026,9,16),tblDaily[WardCode],"FAE")=0,"",SUMIFS(tblDaily[TransfersOut],tblDaily[EntryDate],DATE(2026,9,16),tblDaily[WardCode],"FAE")),"")</f>
        <v/>
      </c>
      <c r="O343" s="14" t="str">
        <f>IFERROR(IF(SUMIFS(tblDaily[Remaining],tblDaily[EntryDate],DATE(2026,9,16),tblDaily[WardCode],"FAE")=0,"",SUMIFS(tblDaily[Remaining],tblDaily[EntryDate],DATE(2026,9,16),tblDaily[WardCode],"FAE")),"")</f>
        <v/>
      </c>
      <c r="P343" s="15" t="str">
        <f t="shared" si="8"/>
        <v/>
      </c>
    </row>
    <row r="344" spans="1:16" x14ac:dyDescent="0.25">
      <c r="A344" s="14">
        <v>17</v>
      </c>
      <c r="B344" s="14" t="str">
        <f>IFERROR(IF(SUMIFS(tblDaily[Admissions],tblDaily[EntryDate],DATE(2026,9,17),tblDaily[WardCode],"MAE")=0,"",SUMIFS(tblDaily[Admissions],tblDaily[EntryDate],DATE(2026,9,17),tblDaily[WardCode],"MAE")),"")</f>
        <v/>
      </c>
      <c r="C344" s="14" t="str">
        <f>IFERROR(IF(SUMIFS(tblDaily[Discharges],tblDaily[EntryDate],DATE(2026,9,17),tblDaily[WardCode],"MAE")=0,"",SUMIFS(tblDaily[Discharges],tblDaily[EntryDate],DATE(2026,9,17),tblDaily[WardCode],"MAE")),"")</f>
        <v/>
      </c>
      <c r="D344" s="14" t="str">
        <f>IFERROR(IF(SUMIFS(tblDaily[Deaths],tblDaily[EntryDate],DATE(2026,9,17),tblDaily[WardCode],"MAE")=0,"",SUMIFS(tblDaily[Deaths],tblDaily[EntryDate],DATE(2026,9,17),tblDaily[WardCode],"MAE")),"")</f>
        <v/>
      </c>
      <c r="E344" s="14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14" t="str">
        <f>IFERROR(IF(SUMIFS(tblDaily[TransfersIn],tblDaily[EntryDate],DATE(2026,9,17),tblDaily[WardCode],"MAE")=0,"",SUMIFS(tblDaily[TransfersIn],tblDaily[EntryDate],DATE(2026,9,17),tblDaily[WardCode],"MAE")),"")</f>
        <v/>
      </c>
      <c r="G344" s="14" t="str">
        <f>IFERROR(IF(SUMIFS(tblDaily[TransfersOut],tblDaily[EntryDate],DATE(2026,9,17),tblDaily[WardCode],"MAE")=0,"",SUMIFS(tblDaily[TransfersOut],tblDaily[EntryDate],DATE(2026,9,17),tblDaily[WardCode],"MAE")),"")</f>
        <v/>
      </c>
      <c r="H344" s="14" t="str">
        <f>IFERROR(IF(SUMIFS(tblDaily[Remaining],tblDaily[EntryDate],DATE(2026,9,17),tblDaily[WardCode],"MAE")=0,"",SUMIFS(tblDaily[Remaining],tblDaily[EntryDate],DATE(2026,9,17),tblDaily[WardCode],"MAE")),"")</f>
        <v/>
      </c>
      <c r="I344" s="14" t="str">
        <f>IFERROR(IF(SUMIFS(tblDaily[Admissions],tblDaily[EntryDate],DATE(2026,9,17),tblDaily[WardCode],"FAE")=0,"",SUMIFS(tblDaily[Admissions],tblDaily[EntryDate],DATE(2026,9,17),tblDaily[WardCode],"FAE")),"")</f>
        <v/>
      </c>
      <c r="J344" s="14" t="str">
        <f>IFERROR(IF(SUMIFS(tblDaily[Discharges],tblDaily[EntryDate],DATE(2026,9,17),tblDaily[WardCode],"FAE")=0,"",SUMIFS(tblDaily[Discharges],tblDaily[EntryDate],DATE(2026,9,17),tblDaily[WardCode],"FAE")),"")</f>
        <v/>
      </c>
      <c r="K344" s="14" t="str">
        <f>IFERROR(IF(SUMIFS(tblDaily[Deaths],tblDaily[EntryDate],DATE(2026,9,17),tblDaily[WardCode],"FAE")=0,"",SUMIFS(tblDaily[Deaths],tblDaily[EntryDate],DATE(2026,9,17),tblDaily[WardCode],"FAE")),"")</f>
        <v/>
      </c>
      <c r="L344" s="14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14" t="str">
        <f>IFERROR(IF(SUMIFS(tblDaily[TransfersIn],tblDaily[EntryDate],DATE(2026,9,17),tblDaily[WardCode],"FAE")=0,"",SUMIFS(tblDaily[TransfersIn],tblDaily[EntryDate],DATE(2026,9,17),tblDaily[WardCode],"FAE")),"")</f>
        <v/>
      </c>
      <c r="N344" s="14" t="str">
        <f>IFERROR(IF(SUMIFS(tblDaily[TransfersOut],tblDaily[EntryDate],DATE(2026,9,17),tblDaily[WardCode],"FAE")=0,"",SUMIFS(tblDaily[TransfersOut],tblDaily[EntryDate],DATE(2026,9,17),tblDaily[WardCode],"FAE")),"")</f>
        <v/>
      </c>
      <c r="O344" s="14" t="str">
        <f>IFERROR(IF(SUMIFS(tblDaily[Remaining],tblDaily[EntryDate],DATE(2026,9,17),tblDaily[WardCode],"FAE")=0,"",SUMIFS(tblDaily[Remaining],tblDaily[EntryDate],DATE(2026,9,17),tblDaily[WardCode],"FAE")),"")</f>
        <v/>
      </c>
      <c r="P344" s="15" t="str">
        <f t="shared" si="8"/>
        <v/>
      </c>
    </row>
    <row r="345" spans="1:16" x14ac:dyDescent="0.25">
      <c r="A345" s="14">
        <v>18</v>
      </c>
      <c r="B345" s="14" t="str">
        <f>IFERROR(IF(SUMIFS(tblDaily[Admissions],tblDaily[EntryDate],DATE(2026,9,18),tblDaily[WardCode],"MAE")=0,"",SUMIFS(tblDaily[Admissions],tblDaily[EntryDate],DATE(2026,9,18),tblDaily[WardCode],"MAE")),"")</f>
        <v/>
      </c>
      <c r="C345" s="14" t="str">
        <f>IFERROR(IF(SUMIFS(tblDaily[Discharges],tblDaily[EntryDate],DATE(2026,9,18),tblDaily[WardCode],"MAE")=0,"",SUMIFS(tblDaily[Discharges],tblDaily[EntryDate],DATE(2026,9,18),tblDaily[WardCode],"MAE")),"")</f>
        <v/>
      </c>
      <c r="D345" s="14" t="str">
        <f>IFERROR(IF(SUMIFS(tblDaily[Deaths],tblDaily[EntryDate],DATE(2026,9,18),tblDaily[WardCode],"MAE")=0,"",SUMIFS(tblDaily[Deaths],tblDaily[EntryDate],DATE(2026,9,18),tblDaily[WardCode],"MAE")),"")</f>
        <v/>
      </c>
      <c r="E345" s="14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14" t="str">
        <f>IFERROR(IF(SUMIFS(tblDaily[TransfersIn],tblDaily[EntryDate],DATE(2026,9,18),tblDaily[WardCode],"MAE")=0,"",SUMIFS(tblDaily[TransfersIn],tblDaily[EntryDate],DATE(2026,9,18),tblDaily[WardCode],"MAE")),"")</f>
        <v/>
      </c>
      <c r="G345" s="14" t="str">
        <f>IFERROR(IF(SUMIFS(tblDaily[TransfersOut],tblDaily[EntryDate],DATE(2026,9,18),tblDaily[WardCode],"MAE")=0,"",SUMIFS(tblDaily[TransfersOut],tblDaily[EntryDate],DATE(2026,9,18),tblDaily[WardCode],"MAE")),"")</f>
        <v/>
      </c>
      <c r="H345" s="14" t="str">
        <f>IFERROR(IF(SUMIFS(tblDaily[Remaining],tblDaily[EntryDate],DATE(2026,9,18),tblDaily[WardCode],"MAE")=0,"",SUMIFS(tblDaily[Remaining],tblDaily[EntryDate],DATE(2026,9,18),tblDaily[WardCode],"MAE")),"")</f>
        <v/>
      </c>
      <c r="I345" s="14" t="str">
        <f>IFERROR(IF(SUMIFS(tblDaily[Admissions],tblDaily[EntryDate],DATE(2026,9,18),tblDaily[WardCode],"FAE")=0,"",SUMIFS(tblDaily[Admissions],tblDaily[EntryDate],DATE(2026,9,18),tblDaily[WardCode],"FAE")),"")</f>
        <v/>
      </c>
      <c r="J345" s="14" t="str">
        <f>IFERROR(IF(SUMIFS(tblDaily[Discharges],tblDaily[EntryDate],DATE(2026,9,18),tblDaily[WardCode],"FAE")=0,"",SUMIFS(tblDaily[Discharges],tblDaily[EntryDate],DATE(2026,9,18),tblDaily[WardCode],"FAE")),"")</f>
        <v/>
      </c>
      <c r="K345" s="14" t="str">
        <f>IFERROR(IF(SUMIFS(tblDaily[Deaths],tblDaily[EntryDate],DATE(2026,9,18),tblDaily[WardCode],"FAE")=0,"",SUMIFS(tblDaily[Deaths],tblDaily[EntryDate],DATE(2026,9,18),tblDaily[WardCode],"FAE")),"")</f>
        <v/>
      </c>
      <c r="L345" s="14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14" t="str">
        <f>IFERROR(IF(SUMIFS(tblDaily[TransfersIn],tblDaily[EntryDate],DATE(2026,9,18),tblDaily[WardCode],"FAE")=0,"",SUMIFS(tblDaily[TransfersIn],tblDaily[EntryDate],DATE(2026,9,18),tblDaily[WardCode],"FAE")),"")</f>
        <v/>
      </c>
      <c r="N345" s="14" t="str">
        <f>IFERROR(IF(SUMIFS(tblDaily[TransfersOut],tblDaily[EntryDate],DATE(2026,9,18),tblDaily[WardCode],"FAE")=0,"",SUMIFS(tblDaily[TransfersOut],tblDaily[EntryDate],DATE(2026,9,18),tblDaily[WardCode],"FAE")),"")</f>
        <v/>
      </c>
      <c r="O345" s="14" t="str">
        <f>IFERROR(IF(SUMIFS(tblDaily[Remaining],tblDaily[EntryDate],DATE(2026,9,18),tblDaily[WardCode],"FAE")=0,"",SUMIFS(tblDaily[Remaining],tblDaily[EntryDate],DATE(2026,9,18),tblDaily[WardCode],"FAE")),"")</f>
        <v/>
      </c>
      <c r="P345" s="15" t="str">
        <f t="shared" si="8"/>
        <v/>
      </c>
    </row>
    <row r="346" spans="1:16" x14ac:dyDescent="0.25">
      <c r="A346" s="14">
        <v>19</v>
      </c>
      <c r="B346" s="14" t="str">
        <f>IFERROR(IF(SUMIFS(tblDaily[Admissions],tblDaily[EntryDate],DATE(2026,9,19),tblDaily[WardCode],"MAE")=0,"",SUMIFS(tblDaily[Admissions],tblDaily[EntryDate],DATE(2026,9,19),tblDaily[WardCode],"MAE")),"")</f>
        <v/>
      </c>
      <c r="C346" s="14" t="str">
        <f>IFERROR(IF(SUMIFS(tblDaily[Discharges],tblDaily[EntryDate],DATE(2026,9,19),tblDaily[WardCode],"MAE")=0,"",SUMIFS(tblDaily[Discharges],tblDaily[EntryDate],DATE(2026,9,19),tblDaily[WardCode],"MAE")),"")</f>
        <v/>
      </c>
      <c r="D346" s="14" t="str">
        <f>IFERROR(IF(SUMIFS(tblDaily[Deaths],tblDaily[EntryDate],DATE(2026,9,19),tblDaily[WardCode],"MAE")=0,"",SUMIFS(tblDaily[Deaths],tblDaily[EntryDate],DATE(2026,9,19),tblDaily[WardCode],"MAE")),"")</f>
        <v/>
      </c>
      <c r="E346" s="14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14" t="str">
        <f>IFERROR(IF(SUMIFS(tblDaily[TransfersIn],tblDaily[EntryDate],DATE(2026,9,19),tblDaily[WardCode],"MAE")=0,"",SUMIFS(tblDaily[TransfersIn],tblDaily[EntryDate],DATE(2026,9,19),tblDaily[WardCode],"MAE")),"")</f>
        <v/>
      </c>
      <c r="G346" s="14" t="str">
        <f>IFERROR(IF(SUMIFS(tblDaily[TransfersOut],tblDaily[EntryDate],DATE(2026,9,19),tblDaily[WardCode],"MAE")=0,"",SUMIFS(tblDaily[TransfersOut],tblDaily[EntryDate],DATE(2026,9,19),tblDaily[WardCode],"MAE")),"")</f>
        <v/>
      </c>
      <c r="H346" s="14" t="str">
        <f>IFERROR(IF(SUMIFS(tblDaily[Remaining],tblDaily[EntryDate],DATE(2026,9,19),tblDaily[WardCode],"MAE")=0,"",SUMIFS(tblDaily[Remaining],tblDaily[EntryDate],DATE(2026,9,19),tblDaily[WardCode],"MAE")),"")</f>
        <v/>
      </c>
      <c r="I346" s="14" t="str">
        <f>IFERROR(IF(SUMIFS(tblDaily[Admissions],tblDaily[EntryDate],DATE(2026,9,19),tblDaily[WardCode],"FAE")=0,"",SUMIFS(tblDaily[Admissions],tblDaily[EntryDate],DATE(2026,9,19),tblDaily[WardCode],"FAE")),"")</f>
        <v/>
      </c>
      <c r="J346" s="14" t="str">
        <f>IFERROR(IF(SUMIFS(tblDaily[Discharges],tblDaily[EntryDate],DATE(2026,9,19),tblDaily[WardCode],"FAE")=0,"",SUMIFS(tblDaily[Discharges],tblDaily[EntryDate],DATE(2026,9,19),tblDaily[WardCode],"FAE")),"")</f>
        <v/>
      </c>
      <c r="K346" s="14" t="str">
        <f>IFERROR(IF(SUMIFS(tblDaily[Deaths],tblDaily[EntryDate],DATE(2026,9,19),tblDaily[WardCode],"FAE")=0,"",SUMIFS(tblDaily[Deaths],tblDaily[EntryDate],DATE(2026,9,19),tblDaily[WardCode],"FAE")),"")</f>
        <v/>
      </c>
      <c r="L346" s="14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14" t="str">
        <f>IFERROR(IF(SUMIFS(tblDaily[TransfersIn],tblDaily[EntryDate],DATE(2026,9,19),tblDaily[WardCode],"FAE")=0,"",SUMIFS(tblDaily[TransfersIn],tblDaily[EntryDate],DATE(2026,9,19),tblDaily[WardCode],"FAE")),"")</f>
        <v/>
      </c>
      <c r="N346" s="14" t="str">
        <f>IFERROR(IF(SUMIFS(tblDaily[TransfersOut],tblDaily[EntryDate],DATE(2026,9,19),tblDaily[WardCode],"FAE")=0,"",SUMIFS(tblDaily[TransfersOut],tblDaily[EntryDate],DATE(2026,9,19),tblDaily[WardCode],"FAE")),"")</f>
        <v/>
      </c>
      <c r="O346" s="14" t="str">
        <f>IFERROR(IF(SUMIFS(tblDaily[Remaining],tblDaily[EntryDate],DATE(2026,9,19),tblDaily[WardCode],"FAE")=0,"",SUMIFS(tblDaily[Remaining],tblDaily[EntryDate],DATE(2026,9,19),tblDaily[WardCode],"FAE")),"")</f>
        <v/>
      </c>
      <c r="P346" s="15" t="str">
        <f t="shared" si="8"/>
        <v/>
      </c>
    </row>
    <row r="347" spans="1:16" x14ac:dyDescent="0.25">
      <c r="A347" s="14">
        <v>20</v>
      </c>
      <c r="B347" s="14" t="str">
        <f>IFERROR(IF(SUMIFS(tblDaily[Admissions],tblDaily[EntryDate],DATE(2026,9,20),tblDaily[WardCode],"MAE")=0,"",SUMIFS(tblDaily[Admissions],tblDaily[EntryDate],DATE(2026,9,20),tblDaily[WardCode],"MAE")),"")</f>
        <v/>
      </c>
      <c r="C347" s="14" t="str">
        <f>IFERROR(IF(SUMIFS(tblDaily[Discharges],tblDaily[EntryDate],DATE(2026,9,20),tblDaily[WardCode],"MAE")=0,"",SUMIFS(tblDaily[Discharges],tblDaily[EntryDate],DATE(2026,9,20),tblDaily[WardCode],"MAE")),"")</f>
        <v/>
      </c>
      <c r="D347" s="14" t="str">
        <f>IFERROR(IF(SUMIFS(tblDaily[Deaths],tblDaily[EntryDate],DATE(2026,9,20),tblDaily[WardCode],"MAE")=0,"",SUMIFS(tblDaily[Deaths],tblDaily[EntryDate],DATE(2026,9,20),tblDaily[WardCode],"MAE")),"")</f>
        <v/>
      </c>
      <c r="E347" s="14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14" t="str">
        <f>IFERROR(IF(SUMIFS(tblDaily[TransfersIn],tblDaily[EntryDate],DATE(2026,9,20),tblDaily[WardCode],"MAE")=0,"",SUMIFS(tblDaily[TransfersIn],tblDaily[EntryDate],DATE(2026,9,20),tblDaily[WardCode],"MAE")),"")</f>
        <v/>
      </c>
      <c r="G347" s="14" t="str">
        <f>IFERROR(IF(SUMIFS(tblDaily[TransfersOut],tblDaily[EntryDate],DATE(2026,9,20),tblDaily[WardCode],"MAE")=0,"",SUMIFS(tblDaily[TransfersOut],tblDaily[EntryDate],DATE(2026,9,20),tblDaily[WardCode],"MAE")),"")</f>
        <v/>
      </c>
      <c r="H347" s="14" t="str">
        <f>IFERROR(IF(SUMIFS(tblDaily[Remaining],tblDaily[EntryDate],DATE(2026,9,20),tblDaily[WardCode],"MAE")=0,"",SUMIFS(tblDaily[Remaining],tblDaily[EntryDate],DATE(2026,9,20),tblDaily[WardCode],"MAE")),"")</f>
        <v/>
      </c>
      <c r="I347" s="14" t="str">
        <f>IFERROR(IF(SUMIFS(tblDaily[Admissions],tblDaily[EntryDate],DATE(2026,9,20),tblDaily[WardCode],"FAE")=0,"",SUMIFS(tblDaily[Admissions],tblDaily[EntryDate],DATE(2026,9,20),tblDaily[WardCode],"FAE")),"")</f>
        <v/>
      </c>
      <c r="J347" s="14" t="str">
        <f>IFERROR(IF(SUMIFS(tblDaily[Discharges],tblDaily[EntryDate],DATE(2026,9,20),tblDaily[WardCode],"FAE")=0,"",SUMIFS(tblDaily[Discharges],tblDaily[EntryDate],DATE(2026,9,20),tblDaily[WardCode],"FAE")),"")</f>
        <v/>
      </c>
      <c r="K347" s="14" t="str">
        <f>IFERROR(IF(SUMIFS(tblDaily[Deaths],tblDaily[EntryDate],DATE(2026,9,20),tblDaily[WardCode],"FAE")=0,"",SUMIFS(tblDaily[Deaths],tblDaily[EntryDate],DATE(2026,9,20),tblDaily[WardCode],"FAE")),"")</f>
        <v/>
      </c>
      <c r="L347" s="14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14" t="str">
        <f>IFERROR(IF(SUMIFS(tblDaily[TransfersIn],tblDaily[EntryDate],DATE(2026,9,20),tblDaily[WardCode],"FAE")=0,"",SUMIFS(tblDaily[TransfersIn],tblDaily[EntryDate],DATE(2026,9,20),tblDaily[WardCode],"FAE")),"")</f>
        <v/>
      </c>
      <c r="N347" s="14" t="str">
        <f>IFERROR(IF(SUMIFS(tblDaily[TransfersOut],tblDaily[EntryDate],DATE(2026,9,20),tblDaily[WardCode],"FAE")=0,"",SUMIFS(tblDaily[TransfersOut],tblDaily[EntryDate],DATE(2026,9,20),tblDaily[WardCode],"FAE")),"")</f>
        <v/>
      </c>
      <c r="O347" s="14" t="str">
        <f>IFERROR(IF(SUMIFS(tblDaily[Remaining],tblDaily[EntryDate],DATE(2026,9,20),tblDaily[WardCode],"FAE")=0,"",SUMIFS(tblDaily[Remaining],tblDaily[EntryDate],DATE(2026,9,20),tblDaily[WardCode],"FAE")),"")</f>
        <v/>
      </c>
      <c r="P347" s="15" t="str">
        <f t="shared" si="8"/>
        <v/>
      </c>
    </row>
    <row r="348" spans="1:16" x14ac:dyDescent="0.25">
      <c r="A348" s="14">
        <v>21</v>
      </c>
      <c r="B348" s="14" t="str">
        <f>IFERROR(IF(SUMIFS(tblDaily[Admissions],tblDaily[EntryDate],DATE(2026,9,21),tblDaily[WardCode],"MAE")=0,"",SUMIFS(tblDaily[Admissions],tblDaily[EntryDate],DATE(2026,9,21),tblDaily[WardCode],"MAE")),"")</f>
        <v/>
      </c>
      <c r="C348" s="14" t="str">
        <f>IFERROR(IF(SUMIFS(tblDaily[Discharges],tblDaily[EntryDate],DATE(2026,9,21),tblDaily[WardCode],"MAE")=0,"",SUMIFS(tblDaily[Discharges],tblDaily[EntryDate],DATE(2026,9,21),tblDaily[WardCode],"MAE")),"")</f>
        <v/>
      </c>
      <c r="D348" s="14" t="str">
        <f>IFERROR(IF(SUMIFS(tblDaily[Deaths],tblDaily[EntryDate],DATE(2026,9,21),tblDaily[WardCode],"MAE")=0,"",SUMIFS(tblDaily[Deaths],tblDaily[EntryDate],DATE(2026,9,21),tblDaily[WardCode],"MAE")),"")</f>
        <v/>
      </c>
      <c r="E348" s="14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14" t="str">
        <f>IFERROR(IF(SUMIFS(tblDaily[TransfersIn],tblDaily[EntryDate],DATE(2026,9,21),tblDaily[WardCode],"MAE")=0,"",SUMIFS(tblDaily[TransfersIn],tblDaily[EntryDate],DATE(2026,9,21),tblDaily[WardCode],"MAE")),"")</f>
        <v/>
      </c>
      <c r="G348" s="14" t="str">
        <f>IFERROR(IF(SUMIFS(tblDaily[TransfersOut],tblDaily[EntryDate],DATE(2026,9,21),tblDaily[WardCode],"MAE")=0,"",SUMIFS(tblDaily[TransfersOut],tblDaily[EntryDate],DATE(2026,9,21),tblDaily[WardCode],"MAE")),"")</f>
        <v/>
      </c>
      <c r="H348" s="14" t="str">
        <f>IFERROR(IF(SUMIFS(tblDaily[Remaining],tblDaily[EntryDate],DATE(2026,9,21),tblDaily[WardCode],"MAE")=0,"",SUMIFS(tblDaily[Remaining],tblDaily[EntryDate],DATE(2026,9,21),tblDaily[WardCode],"MAE")),"")</f>
        <v/>
      </c>
      <c r="I348" s="14" t="str">
        <f>IFERROR(IF(SUMIFS(tblDaily[Admissions],tblDaily[EntryDate],DATE(2026,9,21),tblDaily[WardCode],"FAE")=0,"",SUMIFS(tblDaily[Admissions],tblDaily[EntryDate],DATE(2026,9,21),tblDaily[WardCode],"FAE")),"")</f>
        <v/>
      </c>
      <c r="J348" s="14" t="str">
        <f>IFERROR(IF(SUMIFS(tblDaily[Discharges],tblDaily[EntryDate],DATE(2026,9,21),tblDaily[WardCode],"FAE")=0,"",SUMIFS(tblDaily[Discharges],tblDaily[EntryDate],DATE(2026,9,21),tblDaily[WardCode],"FAE")),"")</f>
        <v/>
      </c>
      <c r="K348" s="14" t="str">
        <f>IFERROR(IF(SUMIFS(tblDaily[Deaths],tblDaily[EntryDate],DATE(2026,9,21),tblDaily[WardCode],"FAE")=0,"",SUMIFS(tblDaily[Deaths],tblDaily[EntryDate],DATE(2026,9,21),tblDaily[WardCode],"FAE")),"")</f>
        <v/>
      </c>
      <c r="L348" s="14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14" t="str">
        <f>IFERROR(IF(SUMIFS(tblDaily[TransfersIn],tblDaily[EntryDate],DATE(2026,9,21),tblDaily[WardCode],"FAE")=0,"",SUMIFS(tblDaily[TransfersIn],tblDaily[EntryDate],DATE(2026,9,21),tblDaily[WardCode],"FAE")),"")</f>
        <v/>
      </c>
      <c r="N348" s="14" t="str">
        <f>IFERROR(IF(SUMIFS(tblDaily[TransfersOut],tblDaily[EntryDate],DATE(2026,9,21),tblDaily[WardCode],"FAE")=0,"",SUMIFS(tblDaily[TransfersOut],tblDaily[EntryDate],DATE(2026,9,21),tblDaily[WardCode],"FAE")),"")</f>
        <v/>
      </c>
      <c r="O348" s="14" t="str">
        <f>IFERROR(IF(SUMIFS(tblDaily[Remaining],tblDaily[EntryDate],DATE(2026,9,21),tblDaily[WardCode],"FAE")=0,"",SUMIFS(tblDaily[Remaining],tblDaily[EntryDate],DATE(2026,9,21),tblDaily[WardCode],"FAE")),"")</f>
        <v/>
      </c>
      <c r="P348" s="15" t="str">
        <f t="shared" si="8"/>
        <v/>
      </c>
    </row>
    <row r="349" spans="1:16" x14ac:dyDescent="0.25">
      <c r="A349" s="14">
        <v>22</v>
      </c>
      <c r="B349" s="14" t="str">
        <f>IFERROR(IF(SUMIFS(tblDaily[Admissions],tblDaily[EntryDate],DATE(2026,9,22),tblDaily[WardCode],"MAE")=0,"",SUMIFS(tblDaily[Admissions],tblDaily[EntryDate],DATE(2026,9,22),tblDaily[WardCode],"MAE")),"")</f>
        <v/>
      </c>
      <c r="C349" s="14" t="str">
        <f>IFERROR(IF(SUMIFS(tblDaily[Discharges],tblDaily[EntryDate],DATE(2026,9,22),tblDaily[WardCode],"MAE")=0,"",SUMIFS(tblDaily[Discharges],tblDaily[EntryDate],DATE(2026,9,22),tblDaily[WardCode],"MAE")),"")</f>
        <v/>
      </c>
      <c r="D349" s="14" t="str">
        <f>IFERROR(IF(SUMIFS(tblDaily[Deaths],tblDaily[EntryDate],DATE(2026,9,22),tblDaily[WardCode],"MAE")=0,"",SUMIFS(tblDaily[Deaths],tblDaily[EntryDate],DATE(2026,9,22),tblDaily[WardCode],"MAE")),"")</f>
        <v/>
      </c>
      <c r="E349" s="14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14" t="str">
        <f>IFERROR(IF(SUMIFS(tblDaily[TransfersIn],tblDaily[EntryDate],DATE(2026,9,22),tblDaily[WardCode],"MAE")=0,"",SUMIFS(tblDaily[TransfersIn],tblDaily[EntryDate],DATE(2026,9,22),tblDaily[WardCode],"MAE")),"")</f>
        <v/>
      </c>
      <c r="G349" s="14" t="str">
        <f>IFERROR(IF(SUMIFS(tblDaily[TransfersOut],tblDaily[EntryDate],DATE(2026,9,22),tblDaily[WardCode],"MAE")=0,"",SUMIFS(tblDaily[TransfersOut],tblDaily[EntryDate],DATE(2026,9,22),tblDaily[WardCode],"MAE")),"")</f>
        <v/>
      </c>
      <c r="H349" s="14" t="str">
        <f>IFERROR(IF(SUMIFS(tblDaily[Remaining],tblDaily[EntryDate],DATE(2026,9,22),tblDaily[WardCode],"MAE")=0,"",SUMIFS(tblDaily[Remaining],tblDaily[EntryDate],DATE(2026,9,22),tblDaily[WardCode],"MAE")),"")</f>
        <v/>
      </c>
      <c r="I349" s="14" t="str">
        <f>IFERROR(IF(SUMIFS(tblDaily[Admissions],tblDaily[EntryDate],DATE(2026,9,22),tblDaily[WardCode],"FAE")=0,"",SUMIFS(tblDaily[Admissions],tblDaily[EntryDate],DATE(2026,9,22),tblDaily[WardCode],"FAE")),"")</f>
        <v/>
      </c>
      <c r="J349" s="14" t="str">
        <f>IFERROR(IF(SUMIFS(tblDaily[Discharges],tblDaily[EntryDate],DATE(2026,9,22),tblDaily[WardCode],"FAE")=0,"",SUMIFS(tblDaily[Discharges],tblDaily[EntryDate],DATE(2026,9,22),tblDaily[WardCode],"FAE")),"")</f>
        <v/>
      </c>
      <c r="K349" s="14" t="str">
        <f>IFERROR(IF(SUMIFS(tblDaily[Deaths],tblDaily[EntryDate],DATE(2026,9,22),tblDaily[WardCode],"FAE")=0,"",SUMIFS(tblDaily[Deaths],tblDaily[EntryDate],DATE(2026,9,22),tblDaily[WardCode],"FAE")),"")</f>
        <v/>
      </c>
      <c r="L349" s="14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14" t="str">
        <f>IFERROR(IF(SUMIFS(tblDaily[TransfersIn],tblDaily[EntryDate],DATE(2026,9,22),tblDaily[WardCode],"FAE")=0,"",SUMIFS(tblDaily[TransfersIn],tblDaily[EntryDate],DATE(2026,9,22),tblDaily[WardCode],"FAE")),"")</f>
        <v/>
      </c>
      <c r="N349" s="14" t="str">
        <f>IFERROR(IF(SUMIFS(tblDaily[TransfersOut],tblDaily[EntryDate],DATE(2026,9,22),tblDaily[WardCode],"FAE")=0,"",SUMIFS(tblDaily[TransfersOut],tblDaily[EntryDate],DATE(2026,9,22),tblDaily[WardCode],"FAE")),"")</f>
        <v/>
      </c>
      <c r="O349" s="14" t="str">
        <f>IFERROR(IF(SUMIFS(tblDaily[Remaining],tblDaily[EntryDate],DATE(2026,9,22),tblDaily[WardCode],"FAE")=0,"",SUMIFS(tblDaily[Remaining],tblDaily[EntryDate],DATE(2026,9,22),tblDaily[WardCode],"FAE")),"")</f>
        <v/>
      </c>
      <c r="P349" s="15" t="str">
        <f t="shared" si="8"/>
        <v/>
      </c>
    </row>
    <row r="350" spans="1:16" x14ac:dyDescent="0.25">
      <c r="A350" s="14">
        <v>23</v>
      </c>
      <c r="B350" s="14" t="str">
        <f>IFERROR(IF(SUMIFS(tblDaily[Admissions],tblDaily[EntryDate],DATE(2026,9,23),tblDaily[WardCode],"MAE")=0,"",SUMIFS(tblDaily[Admissions],tblDaily[EntryDate],DATE(2026,9,23),tblDaily[WardCode],"MAE")),"")</f>
        <v/>
      </c>
      <c r="C350" s="14" t="str">
        <f>IFERROR(IF(SUMIFS(tblDaily[Discharges],tblDaily[EntryDate],DATE(2026,9,23),tblDaily[WardCode],"MAE")=0,"",SUMIFS(tblDaily[Discharges],tblDaily[EntryDate],DATE(2026,9,23),tblDaily[WardCode],"MAE")),"")</f>
        <v/>
      </c>
      <c r="D350" s="14" t="str">
        <f>IFERROR(IF(SUMIFS(tblDaily[Deaths],tblDaily[EntryDate],DATE(2026,9,23),tblDaily[WardCode],"MAE")=0,"",SUMIFS(tblDaily[Deaths],tblDaily[EntryDate],DATE(2026,9,23),tblDaily[WardCode],"MAE")),"")</f>
        <v/>
      </c>
      <c r="E350" s="14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14" t="str">
        <f>IFERROR(IF(SUMIFS(tblDaily[TransfersIn],tblDaily[EntryDate],DATE(2026,9,23),tblDaily[WardCode],"MAE")=0,"",SUMIFS(tblDaily[TransfersIn],tblDaily[EntryDate],DATE(2026,9,23),tblDaily[WardCode],"MAE")),"")</f>
        <v/>
      </c>
      <c r="G350" s="14" t="str">
        <f>IFERROR(IF(SUMIFS(tblDaily[TransfersOut],tblDaily[EntryDate],DATE(2026,9,23),tblDaily[WardCode],"MAE")=0,"",SUMIFS(tblDaily[TransfersOut],tblDaily[EntryDate],DATE(2026,9,23),tblDaily[WardCode],"MAE")),"")</f>
        <v/>
      </c>
      <c r="H350" s="14" t="str">
        <f>IFERROR(IF(SUMIFS(tblDaily[Remaining],tblDaily[EntryDate],DATE(2026,9,23),tblDaily[WardCode],"MAE")=0,"",SUMIFS(tblDaily[Remaining],tblDaily[EntryDate],DATE(2026,9,23),tblDaily[WardCode],"MAE")),"")</f>
        <v/>
      </c>
      <c r="I350" s="14" t="str">
        <f>IFERROR(IF(SUMIFS(tblDaily[Admissions],tblDaily[EntryDate],DATE(2026,9,23),tblDaily[WardCode],"FAE")=0,"",SUMIFS(tblDaily[Admissions],tblDaily[EntryDate],DATE(2026,9,23),tblDaily[WardCode],"FAE")),"")</f>
        <v/>
      </c>
      <c r="J350" s="14" t="str">
        <f>IFERROR(IF(SUMIFS(tblDaily[Discharges],tblDaily[EntryDate],DATE(2026,9,23),tblDaily[WardCode],"FAE")=0,"",SUMIFS(tblDaily[Discharges],tblDaily[EntryDate],DATE(2026,9,23),tblDaily[WardCode],"FAE")),"")</f>
        <v/>
      </c>
      <c r="K350" s="14" t="str">
        <f>IFERROR(IF(SUMIFS(tblDaily[Deaths],tblDaily[EntryDate],DATE(2026,9,23),tblDaily[WardCode],"FAE")=0,"",SUMIFS(tblDaily[Deaths],tblDaily[EntryDate],DATE(2026,9,23),tblDaily[WardCode],"FAE")),"")</f>
        <v/>
      </c>
      <c r="L350" s="14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14" t="str">
        <f>IFERROR(IF(SUMIFS(tblDaily[TransfersIn],tblDaily[EntryDate],DATE(2026,9,23),tblDaily[WardCode],"FAE")=0,"",SUMIFS(tblDaily[TransfersIn],tblDaily[EntryDate],DATE(2026,9,23),tblDaily[WardCode],"FAE")),"")</f>
        <v/>
      </c>
      <c r="N350" s="14" t="str">
        <f>IFERROR(IF(SUMIFS(tblDaily[TransfersOut],tblDaily[EntryDate],DATE(2026,9,23),tblDaily[WardCode],"FAE")=0,"",SUMIFS(tblDaily[TransfersOut],tblDaily[EntryDate],DATE(2026,9,23),tblDaily[WardCode],"FAE")),"")</f>
        <v/>
      </c>
      <c r="O350" s="14" t="str">
        <f>IFERROR(IF(SUMIFS(tblDaily[Remaining],tblDaily[EntryDate],DATE(2026,9,23),tblDaily[WardCode],"FAE")=0,"",SUMIFS(tblDaily[Remaining],tblDaily[EntryDate],DATE(2026,9,23),tblDaily[WardCode],"FAE")),"")</f>
        <v/>
      </c>
      <c r="P350" s="15" t="str">
        <f t="shared" si="8"/>
        <v/>
      </c>
    </row>
    <row r="351" spans="1:16" x14ac:dyDescent="0.25">
      <c r="A351" s="14">
        <v>24</v>
      </c>
      <c r="B351" s="14" t="str">
        <f>IFERROR(IF(SUMIFS(tblDaily[Admissions],tblDaily[EntryDate],DATE(2026,9,24),tblDaily[WardCode],"MAE")=0,"",SUMIFS(tblDaily[Admissions],tblDaily[EntryDate],DATE(2026,9,24),tblDaily[WardCode],"MAE")),"")</f>
        <v/>
      </c>
      <c r="C351" s="14" t="str">
        <f>IFERROR(IF(SUMIFS(tblDaily[Discharges],tblDaily[EntryDate],DATE(2026,9,24),tblDaily[WardCode],"MAE")=0,"",SUMIFS(tblDaily[Discharges],tblDaily[EntryDate],DATE(2026,9,24),tblDaily[WardCode],"MAE")),"")</f>
        <v/>
      </c>
      <c r="D351" s="14" t="str">
        <f>IFERROR(IF(SUMIFS(tblDaily[Deaths],tblDaily[EntryDate],DATE(2026,9,24),tblDaily[WardCode],"MAE")=0,"",SUMIFS(tblDaily[Deaths],tblDaily[EntryDate],DATE(2026,9,24),tblDaily[WardCode],"MAE")),"")</f>
        <v/>
      </c>
      <c r="E351" s="14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14" t="str">
        <f>IFERROR(IF(SUMIFS(tblDaily[TransfersIn],tblDaily[EntryDate],DATE(2026,9,24),tblDaily[WardCode],"MAE")=0,"",SUMIFS(tblDaily[TransfersIn],tblDaily[EntryDate],DATE(2026,9,24),tblDaily[WardCode],"MAE")),"")</f>
        <v/>
      </c>
      <c r="G351" s="14" t="str">
        <f>IFERROR(IF(SUMIFS(tblDaily[TransfersOut],tblDaily[EntryDate],DATE(2026,9,24),tblDaily[WardCode],"MAE")=0,"",SUMIFS(tblDaily[TransfersOut],tblDaily[EntryDate],DATE(2026,9,24),tblDaily[WardCode],"MAE")),"")</f>
        <v/>
      </c>
      <c r="H351" s="14" t="str">
        <f>IFERROR(IF(SUMIFS(tblDaily[Remaining],tblDaily[EntryDate],DATE(2026,9,24),tblDaily[WardCode],"MAE")=0,"",SUMIFS(tblDaily[Remaining],tblDaily[EntryDate],DATE(2026,9,24),tblDaily[WardCode],"MAE")),"")</f>
        <v/>
      </c>
      <c r="I351" s="14" t="str">
        <f>IFERROR(IF(SUMIFS(tblDaily[Admissions],tblDaily[EntryDate],DATE(2026,9,24),tblDaily[WardCode],"FAE")=0,"",SUMIFS(tblDaily[Admissions],tblDaily[EntryDate],DATE(2026,9,24),tblDaily[WardCode],"FAE")),"")</f>
        <v/>
      </c>
      <c r="J351" s="14" t="str">
        <f>IFERROR(IF(SUMIFS(tblDaily[Discharges],tblDaily[EntryDate],DATE(2026,9,24),tblDaily[WardCode],"FAE")=0,"",SUMIFS(tblDaily[Discharges],tblDaily[EntryDate],DATE(2026,9,24),tblDaily[WardCode],"FAE")),"")</f>
        <v/>
      </c>
      <c r="K351" s="14" t="str">
        <f>IFERROR(IF(SUMIFS(tblDaily[Deaths],tblDaily[EntryDate],DATE(2026,9,24),tblDaily[WardCode],"FAE")=0,"",SUMIFS(tblDaily[Deaths],tblDaily[EntryDate],DATE(2026,9,24),tblDaily[WardCode],"FAE")),"")</f>
        <v/>
      </c>
      <c r="L351" s="14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14" t="str">
        <f>IFERROR(IF(SUMIFS(tblDaily[TransfersIn],tblDaily[EntryDate],DATE(2026,9,24),tblDaily[WardCode],"FAE")=0,"",SUMIFS(tblDaily[TransfersIn],tblDaily[EntryDate],DATE(2026,9,24),tblDaily[WardCode],"FAE")),"")</f>
        <v/>
      </c>
      <c r="N351" s="14" t="str">
        <f>IFERROR(IF(SUMIFS(tblDaily[TransfersOut],tblDaily[EntryDate],DATE(2026,9,24),tblDaily[WardCode],"FAE")=0,"",SUMIFS(tblDaily[TransfersOut],tblDaily[EntryDate],DATE(2026,9,24),tblDaily[WardCode],"FAE")),"")</f>
        <v/>
      </c>
      <c r="O351" s="14" t="str">
        <f>IFERROR(IF(SUMIFS(tblDaily[Remaining],tblDaily[EntryDate],DATE(2026,9,24),tblDaily[WardCode],"FAE")=0,"",SUMIFS(tblDaily[Remaining],tblDaily[EntryDate],DATE(2026,9,24),tblDaily[WardCode],"FAE")),"")</f>
        <v/>
      </c>
      <c r="P351" s="15" t="str">
        <f t="shared" si="8"/>
        <v/>
      </c>
    </row>
    <row r="352" spans="1:16" x14ac:dyDescent="0.25">
      <c r="A352" s="14">
        <v>25</v>
      </c>
      <c r="B352" s="14" t="str">
        <f>IFERROR(IF(SUMIFS(tblDaily[Admissions],tblDaily[EntryDate],DATE(2026,9,25),tblDaily[WardCode],"MAE")=0,"",SUMIFS(tblDaily[Admissions],tblDaily[EntryDate],DATE(2026,9,25),tblDaily[WardCode],"MAE")),"")</f>
        <v/>
      </c>
      <c r="C352" s="14" t="str">
        <f>IFERROR(IF(SUMIFS(tblDaily[Discharges],tblDaily[EntryDate],DATE(2026,9,25),tblDaily[WardCode],"MAE")=0,"",SUMIFS(tblDaily[Discharges],tblDaily[EntryDate],DATE(2026,9,25),tblDaily[WardCode],"MAE")),"")</f>
        <v/>
      </c>
      <c r="D352" s="14" t="str">
        <f>IFERROR(IF(SUMIFS(tblDaily[Deaths],tblDaily[EntryDate],DATE(2026,9,25),tblDaily[WardCode],"MAE")=0,"",SUMIFS(tblDaily[Deaths],tblDaily[EntryDate],DATE(2026,9,25),tblDaily[WardCode],"MAE")),"")</f>
        <v/>
      </c>
      <c r="E352" s="14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14" t="str">
        <f>IFERROR(IF(SUMIFS(tblDaily[TransfersIn],tblDaily[EntryDate],DATE(2026,9,25),tblDaily[WardCode],"MAE")=0,"",SUMIFS(tblDaily[TransfersIn],tblDaily[EntryDate],DATE(2026,9,25),tblDaily[WardCode],"MAE")),"")</f>
        <v/>
      </c>
      <c r="G352" s="14" t="str">
        <f>IFERROR(IF(SUMIFS(tblDaily[TransfersOut],tblDaily[EntryDate],DATE(2026,9,25),tblDaily[WardCode],"MAE")=0,"",SUMIFS(tblDaily[TransfersOut],tblDaily[EntryDate],DATE(2026,9,25),tblDaily[WardCode],"MAE")),"")</f>
        <v/>
      </c>
      <c r="H352" s="14" t="str">
        <f>IFERROR(IF(SUMIFS(tblDaily[Remaining],tblDaily[EntryDate],DATE(2026,9,25),tblDaily[WardCode],"MAE")=0,"",SUMIFS(tblDaily[Remaining],tblDaily[EntryDate],DATE(2026,9,25),tblDaily[WardCode],"MAE")),"")</f>
        <v/>
      </c>
      <c r="I352" s="14" t="str">
        <f>IFERROR(IF(SUMIFS(tblDaily[Admissions],tblDaily[EntryDate],DATE(2026,9,25),tblDaily[WardCode],"FAE")=0,"",SUMIFS(tblDaily[Admissions],tblDaily[EntryDate],DATE(2026,9,25),tblDaily[WardCode],"FAE")),"")</f>
        <v/>
      </c>
      <c r="J352" s="14" t="str">
        <f>IFERROR(IF(SUMIFS(tblDaily[Discharges],tblDaily[EntryDate],DATE(2026,9,25),tblDaily[WardCode],"FAE")=0,"",SUMIFS(tblDaily[Discharges],tblDaily[EntryDate],DATE(2026,9,25),tblDaily[WardCode],"FAE")),"")</f>
        <v/>
      </c>
      <c r="K352" s="14" t="str">
        <f>IFERROR(IF(SUMIFS(tblDaily[Deaths],tblDaily[EntryDate],DATE(2026,9,25),tblDaily[WardCode],"FAE")=0,"",SUMIFS(tblDaily[Deaths],tblDaily[EntryDate],DATE(2026,9,25),tblDaily[WardCode],"FAE")),"")</f>
        <v/>
      </c>
      <c r="L352" s="14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14" t="str">
        <f>IFERROR(IF(SUMIFS(tblDaily[TransfersIn],tblDaily[EntryDate],DATE(2026,9,25),tblDaily[WardCode],"FAE")=0,"",SUMIFS(tblDaily[TransfersIn],tblDaily[EntryDate],DATE(2026,9,25),tblDaily[WardCode],"FAE")),"")</f>
        <v/>
      </c>
      <c r="N352" s="14" t="str">
        <f>IFERROR(IF(SUMIFS(tblDaily[TransfersOut],tblDaily[EntryDate],DATE(2026,9,25),tblDaily[WardCode],"FAE")=0,"",SUMIFS(tblDaily[TransfersOut],tblDaily[EntryDate],DATE(2026,9,25),tblDaily[WardCode],"FAE")),"")</f>
        <v/>
      </c>
      <c r="O352" s="14" t="str">
        <f>IFERROR(IF(SUMIFS(tblDaily[Remaining],tblDaily[EntryDate],DATE(2026,9,25),tblDaily[WardCode],"FAE")=0,"",SUMIFS(tblDaily[Remaining],tblDaily[EntryDate],DATE(2026,9,25),tblDaily[WardCode],"FAE")),"")</f>
        <v/>
      </c>
      <c r="P352" s="15" t="str">
        <f t="shared" si="8"/>
        <v/>
      </c>
    </row>
    <row r="353" spans="1:16" x14ac:dyDescent="0.25">
      <c r="A353" s="14">
        <v>26</v>
      </c>
      <c r="B353" s="14" t="str">
        <f>IFERROR(IF(SUMIFS(tblDaily[Admissions],tblDaily[EntryDate],DATE(2026,9,26),tblDaily[WardCode],"MAE")=0,"",SUMIFS(tblDaily[Admissions],tblDaily[EntryDate],DATE(2026,9,26),tblDaily[WardCode],"MAE")),"")</f>
        <v/>
      </c>
      <c r="C353" s="14" t="str">
        <f>IFERROR(IF(SUMIFS(tblDaily[Discharges],tblDaily[EntryDate],DATE(2026,9,26),tblDaily[WardCode],"MAE")=0,"",SUMIFS(tblDaily[Discharges],tblDaily[EntryDate],DATE(2026,9,26),tblDaily[WardCode],"MAE")),"")</f>
        <v/>
      </c>
      <c r="D353" s="14" t="str">
        <f>IFERROR(IF(SUMIFS(tblDaily[Deaths],tblDaily[EntryDate],DATE(2026,9,26),tblDaily[WardCode],"MAE")=0,"",SUMIFS(tblDaily[Deaths],tblDaily[EntryDate],DATE(2026,9,26),tblDaily[WardCode],"MAE")),"")</f>
        <v/>
      </c>
      <c r="E353" s="14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14" t="str">
        <f>IFERROR(IF(SUMIFS(tblDaily[TransfersIn],tblDaily[EntryDate],DATE(2026,9,26),tblDaily[WardCode],"MAE")=0,"",SUMIFS(tblDaily[TransfersIn],tblDaily[EntryDate],DATE(2026,9,26),tblDaily[WardCode],"MAE")),"")</f>
        <v/>
      </c>
      <c r="G353" s="14" t="str">
        <f>IFERROR(IF(SUMIFS(tblDaily[TransfersOut],tblDaily[EntryDate],DATE(2026,9,26),tblDaily[WardCode],"MAE")=0,"",SUMIFS(tblDaily[TransfersOut],tblDaily[EntryDate],DATE(2026,9,26),tblDaily[WardCode],"MAE")),"")</f>
        <v/>
      </c>
      <c r="H353" s="14" t="str">
        <f>IFERROR(IF(SUMIFS(tblDaily[Remaining],tblDaily[EntryDate],DATE(2026,9,26),tblDaily[WardCode],"MAE")=0,"",SUMIFS(tblDaily[Remaining],tblDaily[EntryDate],DATE(2026,9,26),tblDaily[WardCode],"MAE")),"")</f>
        <v/>
      </c>
      <c r="I353" s="14" t="str">
        <f>IFERROR(IF(SUMIFS(tblDaily[Admissions],tblDaily[EntryDate],DATE(2026,9,26),tblDaily[WardCode],"FAE")=0,"",SUMIFS(tblDaily[Admissions],tblDaily[EntryDate],DATE(2026,9,26),tblDaily[WardCode],"FAE")),"")</f>
        <v/>
      </c>
      <c r="J353" s="14" t="str">
        <f>IFERROR(IF(SUMIFS(tblDaily[Discharges],tblDaily[EntryDate],DATE(2026,9,26),tblDaily[WardCode],"FAE")=0,"",SUMIFS(tblDaily[Discharges],tblDaily[EntryDate],DATE(2026,9,26),tblDaily[WardCode],"FAE")),"")</f>
        <v/>
      </c>
      <c r="K353" s="14" t="str">
        <f>IFERROR(IF(SUMIFS(tblDaily[Deaths],tblDaily[EntryDate],DATE(2026,9,26),tblDaily[WardCode],"FAE")=0,"",SUMIFS(tblDaily[Deaths],tblDaily[EntryDate],DATE(2026,9,26),tblDaily[WardCode],"FAE")),"")</f>
        <v/>
      </c>
      <c r="L353" s="14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14" t="str">
        <f>IFERROR(IF(SUMIFS(tblDaily[TransfersIn],tblDaily[EntryDate],DATE(2026,9,26),tblDaily[WardCode],"FAE")=0,"",SUMIFS(tblDaily[TransfersIn],tblDaily[EntryDate],DATE(2026,9,26),tblDaily[WardCode],"FAE")),"")</f>
        <v/>
      </c>
      <c r="N353" s="14" t="str">
        <f>IFERROR(IF(SUMIFS(tblDaily[TransfersOut],tblDaily[EntryDate],DATE(2026,9,26),tblDaily[WardCode],"FAE")=0,"",SUMIFS(tblDaily[TransfersOut],tblDaily[EntryDate],DATE(2026,9,26),tblDaily[WardCode],"FAE")),"")</f>
        <v/>
      </c>
      <c r="O353" s="14" t="str">
        <f>IFERROR(IF(SUMIFS(tblDaily[Remaining],tblDaily[EntryDate],DATE(2026,9,26),tblDaily[WardCode],"FAE")=0,"",SUMIFS(tblDaily[Remaining],tblDaily[EntryDate],DATE(2026,9,26),tblDaily[WardCode],"FAE")),"")</f>
        <v/>
      </c>
      <c r="P353" s="15" t="str">
        <f t="shared" si="8"/>
        <v/>
      </c>
    </row>
    <row r="354" spans="1:16" x14ac:dyDescent="0.25">
      <c r="A354" s="14">
        <v>27</v>
      </c>
      <c r="B354" s="14" t="str">
        <f>IFERROR(IF(SUMIFS(tblDaily[Admissions],tblDaily[EntryDate],DATE(2026,9,27),tblDaily[WardCode],"MAE")=0,"",SUMIFS(tblDaily[Admissions],tblDaily[EntryDate],DATE(2026,9,27),tblDaily[WardCode],"MAE")),"")</f>
        <v/>
      </c>
      <c r="C354" s="14" t="str">
        <f>IFERROR(IF(SUMIFS(tblDaily[Discharges],tblDaily[EntryDate],DATE(2026,9,27),tblDaily[WardCode],"MAE")=0,"",SUMIFS(tblDaily[Discharges],tblDaily[EntryDate],DATE(2026,9,27),tblDaily[WardCode],"MAE")),"")</f>
        <v/>
      </c>
      <c r="D354" s="14" t="str">
        <f>IFERROR(IF(SUMIFS(tblDaily[Deaths],tblDaily[EntryDate],DATE(2026,9,27),tblDaily[WardCode],"MAE")=0,"",SUMIFS(tblDaily[Deaths],tblDaily[EntryDate],DATE(2026,9,27),tblDaily[WardCode],"MAE")),"")</f>
        <v/>
      </c>
      <c r="E354" s="14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14" t="str">
        <f>IFERROR(IF(SUMIFS(tblDaily[TransfersIn],tblDaily[EntryDate],DATE(2026,9,27),tblDaily[WardCode],"MAE")=0,"",SUMIFS(tblDaily[TransfersIn],tblDaily[EntryDate],DATE(2026,9,27),tblDaily[WardCode],"MAE")),"")</f>
        <v/>
      </c>
      <c r="G354" s="14" t="str">
        <f>IFERROR(IF(SUMIFS(tblDaily[TransfersOut],tblDaily[EntryDate],DATE(2026,9,27),tblDaily[WardCode],"MAE")=0,"",SUMIFS(tblDaily[TransfersOut],tblDaily[EntryDate],DATE(2026,9,27),tblDaily[WardCode],"MAE")),"")</f>
        <v/>
      </c>
      <c r="H354" s="14" t="str">
        <f>IFERROR(IF(SUMIFS(tblDaily[Remaining],tblDaily[EntryDate],DATE(2026,9,27),tblDaily[WardCode],"MAE")=0,"",SUMIFS(tblDaily[Remaining],tblDaily[EntryDate],DATE(2026,9,27),tblDaily[WardCode],"MAE")),"")</f>
        <v/>
      </c>
      <c r="I354" s="14" t="str">
        <f>IFERROR(IF(SUMIFS(tblDaily[Admissions],tblDaily[EntryDate],DATE(2026,9,27),tblDaily[WardCode],"FAE")=0,"",SUMIFS(tblDaily[Admissions],tblDaily[EntryDate],DATE(2026,9,27),tblDaily[WardCode],"FAE")),"")</f>
        <v/>
      </c>
      <c r="J354" s="14" t="str">
        <f>IFERROR(IF(SUMIFS(tblDaily[Discharges],tblDaily[EntryDate],DATE(2026,9,27),tblDaily[WardCode],"FAE")=0,"",SUMIFS(tblDaily[Discharges],tblDaily[EntryDate],DATE(2026,9,27),tblDaily[WardCode],"FAE")),"")</f>
        <v/>
      </c>
      <c r="K354" s="14" t="str">
        <f>IFERROR(IF(SUMIFS(tblDaily[Deaths],tblDaily[EntryDate],DATE(2026,9,27),tblDaily[WardCode],"FAE")=0,"",SUMIFS(tblDaily[Deaths],tblDaily[EntryDate],DATE(2026,9,27),tblDaily[WardCode],"FAE")),"")</f>
        <v/>
      </c>
      <c r="L354" s="14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14" t="str">
        <f>IFERROR(IF(SUMIFS(tblDaily[TransfersIn],tblDaily[EntryDate],DATE(2026,9,27),tblDaily[WardCode],"FAE")=0,"",SUMIFS(tblDaily[TransfersIn],tblDaily[EntryDate],DATE(2026,9,27),tblDaily[WardCode],"FAE")),"")</f>
        <v/>
      </c>
      <c r="N354" s="14" t="str">
        <f>IFERROR(IF(SUMIFS(tblDaily[TransfersOut],tblDaily[EntryDate],DATE(2026,9,27),tblDaily[WardCode],"FAE")=0,"",SUMIFS(tblDaily[TransfersOut],tblDaily[EntryDate],DATE(2026,9,27),tblDaily[WardCode],"FAE")),"")</f>
        <v/>
      </c>
      <c r="O354" s="14" t="str">
        <f>IFERROR(IF(SUMIFS(tblDaily[Remaining],tblDaily[EntryDate],DATE(2026,9,27),tblDaily[WardCode],"FAE")=0,"",SUMIFS(tblDaily[Remaining],tblDaily[EntryDate],DATE(2026,9,27),tblDaily[WardCode],"FAE")),"")</f>
        <v/>
      </c>
      <c r="P354" s="15" t="str">
        <f t="shared" si="8"/>
        <v/>
      </c>
    </row>
    <row r="355" spans="1:16" x14ac:dyDescent="0.25">
      <c r="A355" s="14">
        <v>28</v>
      </c>
      <c r="B355" s="14" t="str">
        <f>IFERROR(IF(SUMIFS(tblDaily[Admissions],tblDaily[EntryDate],DATE(2026,9,28),tblDaily[WardCode],"MAE")=0,"",SUMIFS(tblDaily[Admissions],tblDaily[EntryDate],DATE(2026,9,28),tblDaily[WardCode],"MAE")),"")</f>
        <v/>
      </c>
      <c r="C355" s="14" t="str">
        <f>IFERROR(IF(SUMIFS(tblDaily[Discharges],tblDaily[EntryDate],DATE(2026,9,28),tblDaily[WardCode],"MAE")=0,"",SUMIFS(tblDaily[Discharges],tblDaily[EntryDate],DATE(2026,9,28),tblDaily[WardCode],"MAE")),"")</f>
        <v/>
      </c>
      <c r="D355" s="14" t="str">
        <f>IFERROR(IF(SUMIFS(tblDaily[Deaths],tblDaily[EntryDate],DATE(2026,9,28),tblDaily[WardCode],"MAE")=0,"",SUMIFS(tblDaily[Deaths],tblDaily[EntryDate],DATE(2026,9,28),tblDaily[WardCode],"MAE")),"")</f>
        <v/>
      </c>
      <c r="E355" s="14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14" t="str">
        <f>IFERROR(IF(SUMIFS(tblDaily[TransfersIn],tblDaily[EntryDate],DATE(2026,9,28),tblDaily[WardCode],"MAE")=0,"",SUMIFS(tblDaily[TransfersIn],tblDaily[EntryDate],DATE(2026,9,28),tblDaily[WardCode],"MAE")),"")</f>
        <v/>
      </c>
      <c r="G355" s="14" t="str">
        <f>IFERROR(IF(SUMIFS(tblDaily[TransfersOut],tblDaily[EntryDate],DATE(2026,9,28),tblDaily[WardCode],"MAE")=0,"",SUMIFS(tblDaily[TransfersOut],tblDaily[EntryDate],DATE(2026,9,28),tblDaily[WardCode],"MAE")),"")</f>
        <v/>
      </c>
      <c r="H355" s="14" t="str">
        <f>IFERROR(IF(SUMIFS(tblDaily[Remaining],tblDaily[EntryDate],DATE(2026,9,28),tblDaily[WardCode],"MAE")=0,"",SUMIFS(tblDaily[Remaining],tblDaily[EntryDate],DATE(2026,9,28),tblDaily[WardCode],"MAE")),"")</f>
        <v/>
      </c>
      <c r="I355" s="14" t="str">
        <f>IFERROR(IF(SUMIFS(tblDaily[Admissions],tblDaily[EntryDate],DATE(2026,9,28),tblDaily[WardCode],"FAE")=0,"",SUMIFS(tblDaily[Admissions],tblDaily[EntryDate],DATE(2026,9,28),tblDaily[WardCode],"FAE")),"")</f>
        <v/>
      </c>
      <c r="J355" s="14" t="str">
        <f>IFERROR(IF(SUMIFS(tblDaily[Discharges],tblDaily[EntryDate],DATE(2026,9,28),tblDaily[WardCode],"FAE")=0,"",SUMIFS(tblDaily[Discharges],tblDaily[EntryDate],DATE(2026,9,28),tblDaily[WardCode],"FAE")),"")</f>
        <v/>
      </c>
      <c r="K355" s="14" t="str">
        <f>IFERROR(IF(SUMIFS(tblDaily[Deaths],tblDaily[EntryDate],DATE(2026,9,28),tblDaily[WardCode],"FAE")=0,"",SUMIFS(tblDaily[Deaths],tblDaily[EntryDate],DATE(2026,9,28),tblDaily[WardCode],"FAE")),"")</f>
        <v/>
      </c>
      <c r="L355" s="14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14" t="str">
        <f>IFERROR(IF(SUMIFS(tblDaily[TransfersIn],tblDaily[EntryDate],DATE(2026,9,28),tblDaily[WardCode],"FAE")=0,"",SUMIFS(tblDaily[TransfersIn],tblDaily[EntryDate],DATE(2026,9,28),tblDaily[WardCode],"FAE")),"")</f>
        <v/>
      </c>
      <c r="N355" s="14" t="str">
        <f>IFERROR(IF(SUMIFS(tblDaily[TransfersOut],tblDaily[EntryDate],DATE(2026,9,28),tblDaily[WardCode],"FAE")=0,"",SUMIFS(tblDaily[TransfersOut],tblDaily[EntryDate],DATE(2026,9,28),tblDaily[WardCode],"FAE")),"")</f>
        <v/>
      </c>
      <c r="O355" s="14" t="str">
        <f>IFERROR(IF(SUMIFS(tblDaily[Remaining],tblDaily[EntryDate],DATE(2026,9,28),tblDaily[WardCode],"FAE")=0,"",SUMIFS(tblDaily[Remaining],tblDaily[EntryDate],DATE(2026,9,28),tblDaily[WardCode],"FAE")),"")</f>
        <v/>
      </c>
      <c r="P355" s="15" t="str">
        <f t="shared" si="8"/>
        <v/>
      </c>
    </row>
    <row r="356" spans="1:16" x14ac:dyDescent="0.25">
      <c r="A356" s="14">
        <v>29</v>
      </c>
      <c r="B356" s="14" t="str">
        <f>IFERROR(IF(SUMIFS(tblDaily[Admissions],tblDaily[EntryDate],DATE(2026,9,29),tblDaily[WardCode],"MAE")=0,"",SUMIFS(tblDaily[Admissions],tblDaily[EntryDate],DATE(2026,9,29),tblDaily[WardCode],"MAE")),"")</f>
        <v/>
      </c>
      <c r="C356" s="14" t="str">
        <f>IFERROR(IF(SUMIFS(tblDaily[Discharges],tblDaily[EntryDate],DATE(2026,9,29),tblDaily[WardCode],"MAE")=0,"",SUMIFS(tblDaily[Discharges],tblDaily[EntryDate],DATE(2026,9,29),tblDaily[WardCode],"MAE")),"")</f>
        <v/>
      </c>
      <c r="D356" s="14" t="str">
        <f>IFERROR(IF(SUMIFS(tblDaily[Deaths],tblDaily[EntryDate],DATE(2026,9,29),tblDaily[WardCode],"MAE")=0,"",SUMIFS(tblDaily[Deaths],tblDaily[EntryDate],DATE(2026,9,29),tblDaily[WardCode],"MAE")),"")</f>
        <v/>
      </c>
      <c r="E356" s="14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14" t="str">
        <f>IFERROR(IF(SUMIFS(tblDaily[TransfersIn],tblDaily[EntryDate],DATE(2026,9,29),tblDaily[WardCode],"MAE")=0,"",SUMIFS(tblDaily[TransfersIn],tblDaily[EntryDate],DATE(2026,9,29),tblDaily[WardCode],"MAE")),"")</f>
        <v/>
      </c>
      <c r="G356" s="14" t="str">
        <f>IFERROR(IF(SUMIFS(tblDaily[TransfersOut],tblDaily[EntryDate],DATE(2026,9,29),tblDaily[WardCode],"MAE")=0,"",SUMIFS(tblDaily[TransfersOut],tblDaily[EntryDate],DATE(2026,9,29),tblDaily[WardCode],"MAE")),"")</f>
        <v/>
      </c>
      <c r="H356" s="14" t="str">
        <f>IFERROR(IF(SUMIFS(tblDaily[Remaining],tblDaily[EntryDate],DATE(2026,9,29),tblDaily[WardCode],"MAE")=0,"",SUMIFS(tblDaily[Remaining],tblDaily[EntryDate],DATE(2026,9,29),tblDaily[WardCode],"MAE")),"")</f>
        <v/>
      </c>
      <c r="I356" s="14" t="str">
        <f>IFERROR(IF(SUMIFS(tblDaily[Admissions],tblDaily[EntryDate],DATE(2026,9,29),tblDaily[WardCode],"FAE")=0,"",SUMIFS(tblDaily[Admissions],tblDaily[EntryDate],DATE(2026,9,29),tblDaily[WardCode],"FAE")),"")</f>
        <v/>
      </c>
      <c r="J356" s="14" t="str">
        <f>IFERROR(IF(SUMIFS(tblDaily[Discharges],tblDaily[EntryDate],DATE(2026,9,29),tblDaily[WardCode],"FAE")=0,"",SUMIFS(tblDaily[Discharges],tblDaily[EntryDate],DATE(2026,9,29),tblDaily[WardCode],"FAE")),"")</f>
        <v/>
      </c>
      <c r="K356" s="14" t="str">
        <f>IFERROR(IF(SUMIFS(tblDaily[Deaths],tblDaily[EntryDate],DATE(2026,9,29),tblDaily[WardCode],"FAE")=0,"",SUMIFS(tblDaily[Deaths],tblDaily[EntryDate],DATE(2026,9,29),tblDaily[WardCode],"FAE")),"")</f>
        <v/>
      </c>
      <c r="L356" s="14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14" t="str">
        <f>IFERROR(IF(SUMIFS(tblDaily[TransfersIn],tblDaily[EntryDate],DATE(2026,9,29),tblDaily[WardCode],"FAE")=0,"",SUMIFS(tblDaily[TransfersIn],tblDaily[EntryDate],DATE(2026,9,29),tblDaily[WardCode],"FAE")),"")</f>
        <v/>
      </c>
      <c r="N356" s="14" t="str">
        <f>IFERROR(IF(SUMIFS(tblDaily[TransfersOut],tblDaily[EntryDate],DATE(2026,9,29),tblDaily[WardCode],"FAE")=0,"",SUMIFS(tblDaily[TransfersOut],tblDaily[EntryDate],DATE(2026,9,29),tblDaily[WardCode],"FAE")),"")</f>
        <v/>
      </c>
      <c r="O356" s="14" t="str">
        <f>IFERROR(IF(SUMIFS(tblDaily[Remaining],tblDaily[EntryDate],DATE(2026,9,29),tblDaily[WardCode],"FAE")=0,"",SUMIFS(tblDaily[Remaining],tblDaily[EntryDate],DATE(2026,9,29),tblDaily[WardCode],"FAE")),"")</f>
        <v/>
      </c>
      <c r="P356" s="15" t="str">
        <f t="shared" si="8"/>
        <v/>
      </c>
    </row>
    <row r="357" spans="1:16" x14ac:dyDescent="0.25">
      <c r="A357" s="14">
        <v>30</v>
      </c>
      <c r="B357" s="14" t="str">
        <f>IFERROR(IF(SUMIFS(tblDaily[Admissions],tblDaily[EntryDate],DATE(2026,9,30),tblDaily[WardCode],"MAE")=0,"",SUMIFS(tblDaily[Admissions],tblDaily[EntryDate],DATE(2026,9,30),tblDaily[WardCode],"MAE")),"")</f>
        <v/>
      </c>
      <c r="C357" s="14" t="str">
        <f>IFERROR(IF(SUMIFS(tblDaily[Discharges],tblDaily[EntryDate],DATE(2026,9,30),tblDaily[WardCode],"MAE")=0,"",SUMIFS(tblDaily[Discharges],tblDaily[EntryDate],DATE(2026,9,30),tblDaily[WardCode],"MAE")),"")</f>
        <v/>
      </c>
      <c r="D357" s="14" t="str">
        <f>IFERROR(IF(SUMIFS(tblDaily[Deaths],tblDaily[EntryDate],DATE(2026,9,30),tblDaily[WardCode],"MAE")=0,"",SUMIFS(tblDaily[Deaths],tblDaily[EntryDate],DATE(2026,9,30),tblDaily[WardCode],"MAE")),"")</f>
        <v/>
      </c>
      <c r="E357" s="14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14" t="str">
        <f>IFERROR(IF(SUMIFS(tblDaily[TransfersIn],tblDaily[EntryDate],DATE(2026,9,30),tblDaily[WardCode],"MAE")=0,"",SUMIFS(tblDaily[TransfersIn],tblDaily[EntryDate],DATE(2026,9,30),tblDaily[WardCode],"MAE")),"")</f>
        <v/>
      </c>
      <c r="G357" s="14" t="str">
        <f>IFERROR(IF(SUMIFS(tblDaily[TransfersOut],tblDaily[EntryDate],DATE(2026,9,30),tblDaily[WardCode],"MAE")=0,"",SUMIFS(tblDaily[TransfersOut],tblDaily[EntryDate],DATE(2026,9,30),tblDaily[WardCode],"MAE")),"")</f>
        <v/>
      </c>
      <c r="H357" s="14" t="str">
        <f>IFERROR(IF(SUMIFS(tblDaily[Remaining],tblDaily[EntryDate],DATE(2026,9,30),tblDaily[WardCode],"MAE")=0,"",SUMIFS(tblDaily[Remaining],tblDaily[EntryDate],DATE(2026,9,30),tblDaily[WardCode],"MAE")),"")</f>
        <v/>
      </c>
      <c r="I357" s="14" t="str">
        <f>IFERROR(IF(SUMIFS(tblDaily[Admissions],tblDaily[EntryDate],DATE(2026,9,30),tblDaily[WardCode],"FAE")=0,"",SUMIFS(tblDaily[Admissions],tblDaily[EntryDate],DATE(2026,9,30),tblDaily[WardCode],"FAE")),"")</f>
        <v/>
      </c>
      <c r="J357" s="14" t="str">
        <f>IFERROR(IF(SUMIFS(tblDaily[Discharges],tblDaily[EntryDate],DATE(2026,9,30),tblDaily[WardCode],"FAE")=0,"",SUMIFS(tblDaily[Discharges],tblDaily[EntryDate],DATE(2026,9,30),tblDaily[WardCode],"FAE")),"")</f>
        <v/>
      </c>
      <c r="K357" s="14" t="str">
        <f>IFERROR(IF(SUMIFS(tblDaily[Deaths],tblDaily[EntryDate],DATE(2026,9,30),tblDaily[WardCode],"FAE")=0,"",SUMIFS(tblDaily[Deaths],tblDaily[EntryDate],DATE(2026,9,30),tblDaily[WardCode],"FAE")),"")</f>
        <v/>
      </c>
      <c r="L357" s="14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14" t="str">
        <f>IFERROR(IF(SUMIFS(tblDaily[TransfersIn],tblDaily[EntryDate],DATE(2026,9,30),tblDaily[WardCode],"FAE")=0,"",SUMIFS(tblDaily[TransfersIn],tblDaily[EntryDate],DATE(2026,9,30),tblDaily[WardCode],"FAE")),"")</f>
        <v/>
      </c>
      <c r="N357" s="14" t="str">
        <f>IFERROR(IF(SUMIFS(tblDaily[TransfersOut],tblDaily[EntryDate],DATE(2026,9,30),tblDaily[WardCode],"FAE")=0,"",SUMIFS(tblDaily[TransfersOut],tblDaily[EntryDate],DATE(2026,9,30),tblDaily[WardCode],"FAE")),"")</f>
        <v/>
      </c>
      <c r="O357" s="14" t="str">
        <f>IFERROR(IF(SUMIFS(tblDaily[Remaining],tblDaily[EntryDate],DATE(2026,9,30),tblDaily[WardCode],"FAE")=0,"",SUMIFS(tblDaily[Remaining],tblDaily[EntryDate],DATE(2026,9,30),tblDaily[WardCode],"FAE")),"")</f>
        <v/>
      </c>
      <c r="P357" s="15" t="str">
        <f t="shared" si="8"/>
        <v/>
      </c>
    </row>
    <row r="358" spans="1:16" x14ac:dyDescent="0.25">
      <c r="A358" s="14">
        <v>31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</row>
    <row r="359" spans="1:16" x14ac:dyDescent="0.25">
      <c r="A359" s="9" t="s">
        <v>112</v>
      </c>
      <c r="B359" s="9">
        <f>SUMIFS(tblDaily[Admissions],tblDaily[Month],9,tblDaily[WardCode],"MAE") - SUMIFS(tblDaily[DeathsUnder24Hrs],tblDaily[Month],9,tblDaily[WardCode],"MAE")</f>
        <v>0</v>
      </c>
      <c r="C359" s="9">
        <f>SUMIFS(tblDaily[Discharges],tblDaily[Month],9,tblDaily[WardCode],"MAE")</f>
        <v>0</v>
      </c>
      <c r="D359" s="9">
        <f>SUMIFS(tblDaily[Deaths],tblDaily[Month],9,tblDaily[WardCode],"MAE")</f>
        <v>0</v>
      </c>
      <c r="E359" s="9">
        <f>SUMIFS(tblDaily[DeathsUnder24Hrs],tblDaily[Month],9,tblDaily[WardCode],"MAE")</f>
        <v>0</v>
      </c>
      <c r="F359" s="9">
        <f>SUMIFS(tblDaily[TransfersIn],tblDaily[Month],9,tblDaily[WardCode],"MAE")</f>
        <v>0</v>
      </c>
      <c r="G359" s="9">
        <f>SUMIFS(tblDaily[TransfersOut],tblDaily[Month],9,tblDaily[WardCode],"MAE")</f>
        <v>0</v>
      </c>
      <c r="H359" s="9">
        <f>SUMIFS(tblDaily[Remaining],tblDaily[Month],9,tblDaily[WardCode],"MAE")</f>
        <v>0</v>
      </c>
      <c r="I359" s="9">
        <f>SUMIFS(tblDaily[Admissions],tblDaily[Month],9,tblDaily[WardCode],"FAE") - SUMIFS(tblDaily[DeathsUnder24Hrs],tblDaily[Month],9,tblDaily[WardCode],"FAE")</f>
        <v>0</v>
      </c>
      <c r="J359" s="9">
        <f>SUMIFS(tblDaily[Discharges],tblDaily[Month],9,tblDaily[WardCode],"FAE")</f>
        <v>0</v>
      </c>
      <c r="K359" s="9">
        <f>SUMIFS(tblDaily[Deaths],tblDaily[Month],9,tblDaily[WardCode],"FAE")</f>
        <v>0</v>
      </c>
      <c r="L359" s="9">
        <f>SUMIFS(tblDaily[DeathsUnder24Hrs],tblDaily[Month],9,tblDaily[WardCode],"FAE")</f>
        <v>0</v>
      </c>
      <c r="M359" s="9">
        <f>SUMIFS(tblDaily[TransfersIn],tblDaily[Month],9,tblDaily[WardCode],"FAE")</f>
        <v>0</v>
      </c>
      <c r="N359" s="9">
        <f>SUMIFS(tblDaily[TransfersOut],tblDaily[Month],9,tblDaily[WardCode],"FAE")</f>
        <v>0</v>
      </c>
      <c r="O359" s="9">
        <f>SUMIFS(tblDaily[Remaining],tblDaily[Month],9,tblDaily[WardCode],"FAE")</f>
        <v>0</v>
      </c>
      <c r="P359" s="9">
        <f>H359 + O359</f>
        <v>0</v>
      </c>
    </row>
    <row r="361" spans="1:16" ht="18.75" x14ac:dyDescent="0.25">
      <c r="A361" s="39" t="s">
        <v>0</v>
      </c>
      <c r="B361" s="29"/>
      <c r="C361" s="29"/>
      <c r="D361" s="29"/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29"/>
    </row>
    <row r="362" spans="1:16" ht="15.75" x14ac:dyDescent="0.25">
      <c r="A362" s="35" t="s">
        <v>101</v>
      </c>
      <c r="B362" s="29"/>
      <c r="C362" s="29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6" x14ac:dyDescent="0.25">
      <c r="A363" s="1" t="s">
        <v>4</v>
      </c>
      <c r="B363" s="2" t="s">
        <v>2</v>
      </c>
      <c r="E363" s="1" t="s">
        <v>102</v>
      </c>
      <c r="F363" s="1" t="s">
        <v>121</v>
      </c>
      <c r="M363" s="1" t="s">
        <v>104</v>
      </c>
      <c r="N363" s="1" t="s">
        <v>69</v>
      </c>
    </row>
    <row r="364" spans="1:16" x14ac:dyDescent="0.25">
      <c r="A364" s="1" t="s">
        <v>105</v>
      </c>
      <c r="B364" s="11">
        <f>IFERROR(SUMIFS(tblDaily[Remaining],tblDaily[EntryDate],DATE(2026,9,30),tblDaily[WardCode],"MAE"),0)</f>
        <v>0</v>
      </c>
      <c r="I364" s="11">
        <f>IFERROR(SUMIFS(tblDaily[Remaining],tblDaily[EntryDate],DATE(2026,9,30),tblDaily[WardCode],"FAE"),0)</f>
        <v>0</v>
      </c>
    </row>
    <row r="365" spans="1:16" x14ac:dyDescent="0.25">
      <c r="A365" s="1" t="s">
        <v>106</v>
      </c>
      <c r="B365" s="11">
        <f>IFERROR(INDEX(tblWardConfig[BedComplement],MATCH("MAE",tblWardConfig[WardCode],0)),0)</f>
        <v>10</v>
      </c>
      <c r="I365" s="11">
        <f>IFERROR(INDEX(tblWardConfig[BedComplement],MATCH("FAE",tblWardConfig[WardCode],0)),0)</f>
        <v>10</v>
      </c>
      <c r="O365" s="12">
        <f>B365+I365</f>
        <v>20</v>
      </c>
    </row>
    <row r="366" spans="1:16" x14ac:dyDescent="0.25">
      <c r="A366" s="3" t="s">
        <v>122</v>
      </c>
      <c r="B366" s="38" t="s">
        <v>119</v>
      </c>
      <c r="C366" s="29"/>
      <c r="D366" s="29"/>
      <c r="E366" s="29"/>
      <c r="F366" s="29"/>
      <c r="G366" s="29"/>
      <c r="H366" s="29"/>
      <c r="I366" s="40" t="s">
        <v>120</v>
      </c>
      <c r="J366" s="29"/>
      <c r="K366" s="29"/>
      <c r="L366" s="29"/>
      <c r="M366" s="29"/>
      <c r="N366" s="29"/>
      <c r="O366" s="29"/>
      <c r="P366" s="13" t="s">
        <v>112</v>
      </c>
    </row>
    <row r="367" spans="1:16" x14ac:dyDescent="0.25">
      <c r="A367" s="3" t="s">
        <v>122</v>
      </c>
      <c r="B367" s="3" t="s">
        <v>123</v>
      </c>
      <c r="C367" s="3" t="s">
        <v>124</v>
      </c>
      <c r="D367" s="3" t="s">
        <v>125</v>
      </c>
      <c r="E367" s="3" t="s">
        <v>126</v>
      </c>
      <c r="F367" s="3" t="s">
        <v>127</v>
      </c>
      <c r="G367" s="3" t="s">
        <v>128</v>
      </c>
      <c r="H367" s="3" t="s">
        <v>129</v>
      </c>
      <c r="I367" s="3" t="s">
        <v>123</v>
      </c>
      <c r="J367" s="3" t="s">
        <v>124</v>
      </c>
      <c r="K367" s="3" t="s">
        <v>125</v>
      </c>
      <c r="L367" s="3" t="s">
        <v>126</v>
      </c>
      <c r="M367" s="3" t="s">
        <v>127</v>
      </c>
      <c r="N367" s="3" t="s">
        <v>128</v>
      </c>
      <c r="O367" s="3" t="s">
        <v>129</v>
      </c>
      <c r="P367" s="3" t="s">
        <v>130</v>
      </c>
    </row>
    <row r="368" spans="1:16" x14ac:dyDescent="0.25">
      <c r="A368" s="14">
        <v>1</v>
      </c>
      <c r="B368" s="14" t="str">
        <f>IFERROR(IF(SUMIFS(tblDaily[Admissions],tblDaily[EntryDate],DATE(2026,10,1),tblDaily[WardCode],"MAE")=0,"",SUMIFS(tblDaily[Admissions],tblDaily[EntryDate],DATE(2026,10,1),tblDaily[WardCode],"MAE")),"")</f>
        <v/>
      </c>
      <c r="C368" s="14" t="str">
        <f>IFERROR(IF(SUMIFS(tblDaily[Discharges],tblDaily[EntryDate],DATE(2026,10,1),tblDaily[WardCode],"MAE")=0,"",SUMIFS(tblDaily[Discharges],tblDaily[EntryDate],DATE(2026,10,1),tblDaily[WardCode],"MAE")),"")</f>
        <v/>
      </c>
      <c r="D368" s="14" t="str">
        <f>IFERROR(IF(SUMIFS(tblDaily[Deaths],tblDaily[EntryDate],DATE(2026,10,1),tblDaily[WardCode],"MAE")=0,"",SUMIFS(tblDaily[Deaths],tblDaily[EntryDate],DATE(2026,10,1),tblDaily[WardCode],"MAE")),"")</f>
        <v/>
      </c>
      <c r="E368" s="14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14" t="str">
        <f>IFERROR(IF(SUMIFS(tblDaily[TransfersIn],tblDaily[EntryDate],DATE(2026,10,1),tblDaily[WardCode],"MAE")=0,"",SUMIFS(tblDaily[TransfersIn],tblDaily[EntryDate],DATE(2026,10,1),tblDaily[WardCode],"MAE")),"")</f>
        <v/>
      </c>
      <c r="G368" s="14" t="str">
        <f>IFERROR(IF(SUMIFS(tblDaily[TransfersOut],tblDaily[EntryDate],DATE(2026,10,1),tblDaily[WardCode],"MAE")=0,"",SUMIFS(tblDaily[TransfersOut],tblDaily[EntryDate],DATE(2026,10,1),tblDaily[WardCode],"MAE")),"")</f>
        <v/>
      </c>
      <c r="H368" s="14" t="str">
        <f>IFERROR(IF(SUMIFS(tblDaily[Remaining],tblDaily[EntryDate],DATE(2026,10,1),tblDaily[WardCode],"MAE")=0,"",SUMIFS(tblDaily[Remaining],tblDaily[EntryDate],DATE(2026,10,1),tblDaily[WardCode],"MAE")),"")</f>
        <v/>
      </c>
      <c r="I368" s="14" t="str">
        <f>IFERROR(IF(SUMIFS(tblDaily[Admissions],tblDaily[EntryDate],DATE(2026,10,1),tblDaily[WardCode],"FAE")=0,"",SUMIFS(tblDaily[Admissions],tblDaily[EntryDate],DATE(2026,10,1),tblDaily[WardCode],"FAE")),"")</f>
        <v/>
      </c>
      <c r="J368" s="14" t="str">
        <f>IFERROR(IF(SUMIFS(tblDaily[Discharges],tblDaily[EntryDate],DATE(2026,10,1),tblDaily[WardCode],"FAE")=0,"",SUMIFS(tblDaily[Discharges],tblDaily[EntryDate],DATE(2026,10,1),tblDaily[WardCode],"FAE")),"")</f>
        <v/>
      </c>
      <c r="K368" s="14" t="str">
        <f>IFERROR(IF(SUMIFS(tblDaily[Deaths],tblDaily[EntryDate],DATE(2026,10,1),tblDaily[WardCode],"FAE")=0,"",SUMIFS(tblDaily[Deaths],tblDaily[EntryDate],DATE(2026,10,1),tblDaily[WardCode],"FAE")),"")</f>
        <v/>
      </c>
      <c r="L368" s="14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14" t="str">
        <f>IFERROR(IF(SUMIFS(tblDaily[TransfersIn],tblDaily[EntryDate],DATE(2026,10,1),tblDaily[WardCode],"FAE")=0,"",SUMIFS(tblDaily[TransfersIn],tblDaily[EntryDate],DATE(2026,10,1),tblDaily[WardCode],"FAE")),"")</f>
        <v/>
      </c>
      <c r="N368" s="14" t="str">
        <f>IFERROR(IF(SUMIFS(tblDaily[TransfersOut],tblDaily[EntryDate],DATE(2026,10,1),tblDaily[WardCode],"FAE")=0,"",SUMIFS(tblDaily[TransfersOut],tblDaily[EntryDate],DATE(2026,10,1),tblDaily[WardCode],"FAE")),"")</f>
        <v/>
      </c>
      <c r="O368" s="14" t="str">
        <f>IFERROR(IF(SUMIFS(tblDaily[Remaining],tblDaily[EntryDate],DATE(2026,10,1),tblDaily[WardCode],"FAE")=0,"",SUMIFS(tblDaily[Remaining],tblDaily[EntryDate],DATE(2026,10,1),tblDaily[WardCode],"FAE")),"")</f>
        <v/>
      </c>
      <c r="P368" s="15" t="str">
        <f t="shared" ref="P368:P398" si="9">IF(AND(H368="", O368=""), "", N(H368) + N(O368))</f>
        <v/>
      </c>
    </row>
    <row r="369" spans="1:16" x14ac:dyDescent="0.25">
      <c r="A369" s="14">
        <v>2</v>
      </c>
      <c r="B369" s="14" t="str">
        <f>IFERROR(IF(SUMIFS(tblDaily[Admissions],tblDaily[EntryDate],DATE(2026,10,2),tblDaily[WardCode],"MAE")=0,"",SUMIFS(tblDaily[Admissions],tblDaily[EntryDate],DATE(2026,10,2),tblDaily[WardCode],"MAE")),"")</f>
        <v/>
      </c>
      <c r="C369" s="14" t="str">
        <f>IFERROR(IF(SUMIFS(tblDaily[Discharges],tblDaily[EntryDate],DATE(2026,10,2),tblDaily[WardCode],"MAE")=0,"",SUMIFS(tblDaily[Discharges],tblDaily[EntryDate],DATE(2026,10,2),tblDaily[WardCode],"MAE")),"")</f>
        <v/>
      </c>
      <c r="D369" s="14" t="str">
        <f>IFERROR(IF(SUMIFS(tblDaily[Deaths],tblDaily[EntryDate],DATE(2026,10,2),tblDaily[WardCode],"MAE")=0,"",SUMIFS(tblDaily[Deaths],tblDaily[EntryDate],DATE(2026,10,2),tblDaily[WardCode],"MAE")),"")</f>
        <v/>
      </c>
      <c r="E369" s="14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14" t="str">
        <f>IFERROR(IF(SUMIFS(tblDaily[TransfersIn],tblDaily[EntryDate],DATE(2026,10,2),tblDaily[WardCode],"MAE")=0,"",SUMIFS(tblDaily[TransfersIn],tblDaily[EntryDate],DATE(2026,10,2),tblDaily[WardCode],"MAE")),"")</f>
        <v/>
      </c>
      <c r="G369" s="14" t="str">
        <f>IFERROR(IF(SUMIFS(tblDaily[TransfersOut],tblDaily[EntryDate],DATE(2026,10,2),tblDaily[WardCode],"MAE")=0,"",SUMIFS(tblDaily[TransfersOut],tblDaily[EntryDate],DATE(2026,10,2),tblDaily[WardCode],"MAE")),"")</f>
        <v/>
      </c>
      <c r="H369" s="14" t="str">
        <f>IFERROR(IF(SUMIFS(tblDaily[Remaining],tblDaily[EntryDate],DATE(2026,10,2),tblDaily[WardCode],"MAE")=0,"",SUMIFS(tblDaily[Remaining],tblDaily[EntryDate],DATE(2026,10,2),tblDaily[WardCode],"MAE")),"")</f>
        <v/>
      </c>
      <c r="I369" s="14" t="str">
        <f>IFERROR(IF(SUMIFS(tblDaily[Admissions],tblDaily[EntryDate],DATE(2026,10,2),tblDaily[WardCode],"FAE")=0,"",SUMIFS(tblDaily[Admissions],tblDaily[EntryDate],DATE(2026,10,2),tblDaily[WardCode],"FAE")),"")</f>
        <v/>
      </c>
      <c r="J369" s="14" t="str">
        <f>IFERROR(IF(SUMIFS(tblDaily[Discharges],tblDaily[EntryDate],DATE(2026,10,2),tblDaily[WardCode],"FAE")=0,"",SUMIFS(tblDaily[Discharges],tblDaily[EntryDate],DATE(2026,10,2),tblDaily[WardCode],"FAE")),"")</f>
        <v/>
      </c>
      <c r="K369" s="14" t="str">
        <f>IFERROR(IF(SUMIFS(tblDaily[Deaths],tblDaily[EntryDate],DATE(2026,10,2),tblDaily[WardCode],"FAE")=0,"",SUMIFS(tblDaily[Deaths],tblDaily[EntryDate],DATE(2026,10,2),tblDaily[WardCode],"FAE")),"")</f>
        <v/>
      </c>
      <c r="L369" s="14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14" t="str">
        <f>IFERROR(IF(SUMIFS(tblDaily[TransfersIn],tblDaily[EntryDate],DATE(2026,10,2),tblDaily[WardCode],"FAE")=0,"",SUMIFS(tblDaily[TransfersIn],tblDaily[EntryDate],DATE(2026,10,2),tblDaily[WardCode],"FAE")),"")</f>
        <v/>
      </c>
      <c r="N369" s="14" t="str">
        <f>IFERROR(IF(SUMIFS(tblDaily[TransfersOut],tblDaily[EntryDate],DATE(2026,10,2),tblDaily[WardCode],"FAE")=0,"",SUMIFS(tblDaily[TransfersOut],tblDaily[EntryDate],DATE(2026,10,2),tblDaily[WardCode],"FAE")),"")</f>
        <v/>
      </c>
      <c r="O369" s="14" t="str">
        <f>IFERROR(IF(SUMIFS(tblDaily[Remaining],tblDaily[EntryDate],DATE(2026,10,2),tblDaily[WardCode],"FAE")=0,"",SUMIFS(tblDaily[Remaining],tblDaily[EntryDate],DATE(2026,10,2),tblDaily[WardCode],"FAE")),"")</f>
        <v/>
      </c>
      <c r="P369" s="15" t="str">
        <f t="shared" si="9"/>
        <v/>
      </c>
    </row>
    <row r="370" spans="1:16" x14ac:dyDescent="0.25">
      <c r="A370" s="14">
        <v>3</v>
      </c>
      <c r="B370" s="14" t="str">
        <f>IFERROR(IF(SUMIFS(tblDaily[Admissions],tblDaily[EntryDate],DATE(2026,10,3),tblDaily[WardCode],"MAE")=0,"",SUMIFS(tblDaily[Admissions],tblDaily[EntryDate],DATE(2026,10,3),tblDaily[WardCode],"MAE")),"")</f>
        <v/>
      </c>
      <c r="C370" s="14" t="str">
        <f>IFERROR(IF(SUMIFS(tblDaily[Discharges],tblDaily[EntryDate],DATE(2026,10,3),tblDaily[WardCode],"MAE")=0,"",SUMIFS(tblDaily[Discharges],tblDaily[EntryDate],DATE(2026,10,3),tblDaily[WardCode],"MAE")),"")</f>
        <v/>
      </c>
      <c r="D370" s="14" t="str">
        <f>IFERROR(IF(SUMIFS(tblDaily[Deaths],tblDaily[EntryDate],DATE(2026,10,3),tblDaily[WardCode],"MAE")=0,"",SUMIFS(tblDaily[Deaths],tblDaily[EntryDate],DATE(2026,10,3),tblDaily[WardCode],"MAE")),"")</f>
        <v/>
      </c>
      <c r="E370" s="14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14" t="str">
        <f>IFERROR(IF(SUMIFS(tblDaily[TransfersIn],tblDaily[EntryDate],DATE(2026,10,3),tblDaily[WardCode],"MAE")=0,"",SUMIFS(tblDaily[TransfersIn],tblDaily[EntryDate],DATE(2026,10,3),tblDaily[WardCode],"MAE")),"")</f>
        <v/>
      </c>
      <c r="G370" s="14" t="str">
        <f>IFERROR(IF(SUMIFS(tblDaily[TransfersOut],tblDaily[EntryDate],DATE(2026,10,3),tblDaily[WardCode],"MAE")=0,"",SUMIFS(tblDaily[TransfersOut],tblDaily[EntryDate],DATE(2026,10,3),tblDaily[WardCode],"MAE")),"")</f>
        <v/>
      </c>
      <c r="H370" s="14" t="str">
        <f>IFERROR(IF(SUMIFS(tblDaily[Remaining],tblDaily[EntryDate],DATE(2026,10,3),tblDaily[WardCode],"MAE")=0,"",SUMIFS(tblDaily[Remaining],tblDaily[EntryDate],DATE(2026,10,3),tblDaily[WardCode],"MAE")),"")</f>
        <v/>
      </c>
      <c r="I370" s="14" t="str">
        <f>IFERROR(IF(SUMIFS(tblDaily[Admissions],tblDaily[EntryDate],DATE(2026,10,3),tblDaily[WardCode],"FAE")=0,"",SUMIFS(tblDaily[Admissions],tblDaily[EntryDate],DATE(2026,10,3),tblDaily[WardCode],"FAE")),"")</f>
        <v/>
      </c>
      <c r="J370" s="14" t="str">
        <f>IFERROR(IF(SUMIFS(tblDaily[Discharges],tblDaily[EntryDate],DATE(2026,10,3),tblDaily[WardCode],"FAE")=0,"",SUMIFS(tblDaily[Discharges],tblDaily[EntryDate],DATE(2026,10,3),tblDaily[WardCode],"FAE")),"")</f>
        <v/>
      </c>
      <c r="K370" s="14" t="str">
        <f>IFERROR(IF(SUMIFS(tblDaily[Deaths],tblDaily[EntryDate],DATE(2026,10,3),tblDaily[WardCode],"FAE")=0,"",SUMIFS(tblDaily[Deaths],tblDaily[EntryDate],DATE(2026,10,3),tblDaily[WardCode],"FAE")),"")</f>
        <v/>
      </c>
      <c r="L370" s="14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14" t="str">
        <f>IFERROR(IF(SUMIFS(tblDaily[TransfersIn],tblDaily[EntryDate],DATE(2026,10,3),tblDaily[WardCode],"FAE")=0,"",SUMIFS(tblDaily[TransfersIn],tblDaily[EntryDate],DATE(2026,10,3),tblDaily[WardCode],"FAE")),"")</f>
        <v/>
      </c>
      <c r="N370" s="14" t="str">
        <f>IFERROR(IF(SUMIFS(tblDaily[TransfersOut],tblDaily[EntryDate],DATE(2026,10,3),tblDaily[WardCode],"FAE")=0,"",SUMIFS(tblDaily[TransfersOut],tblDaily[EntryDate],DATE(2026,10,3),tblDaily[WardCode],"FAE")),"")</f>
        <v/>
      </c>
      <c r="O370" s="14" t="str">
        <f>IFERROR(IF(SUMIFS(tblDaily[Remaining],tblDaily[EntryDate],DATE(2026,10,3),tblDaily[WardCode],"FAE")=0,"",SUMIFS(tblDaily[Remaining],tblDaily[EntryDate],DATE(2026,10,3),tblDaily[WardCode],"FAE")),"")</f>
        <v/>
      </c>
      <c r="P370" s="15" t="str">
        <f t="shared" si="9"/>
        <v/>
      </c>
    </row>
    <row r="371" spans="1:16" x14ac:dyDescent="0.25">
      <c r="A371" s="14">
        <v>4</v>
      </c>
      <c r="B371" s="14" t="str">
        <f>IFERROR(IF(SUMIFS(tblDaily[Admissions],tblDaily[EntryDate],DATE(2026,10,4),tblDaily[WardCode],"MAE")=0,"",SUMIFS(tblDaily[Admissions],tblDaily[EntryDate],DATE(2026,10,4),tblDaily[WardCode],"MAE")),"")</f>
        <v/>
      </c>
      <c r="C371" s="14" t="str">
        <f>IFERROR(IF(SUMIFS(tblDaily[Discharges],tblDaily[EntryDate],DATE(2026,10,4),tblDaily[WardCode],"MAE")=0,"",SUMIFS(tblDaily[Discharges],tblDaily[EntryDate],DATE(2026,10,4),tblDaily[WardCode],"MAE")),"")</f>
        <v/>
      </c>
      <c r="D371" s="14" t="str">
        <f>IFERROR(IF(SUMIFS(tblDaily[Deaths],tblDaily[EntryDate],DATE(2026,10,4),tblDaily[WardCode],"MAE")=0,"",SUMIFS(tblDaily[Deaths],tblDaily[EntryDate],DATE(2026,10,4),tblDaily[WardCode],"MAE")),"")</f>
        <v/>
      </c>
      <c r="E371" s="14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14" t="str">
        <f>IFERROR(IF(SUMIFS(tblDaily[TransfersIn],tblDaily[EntryDate],DATE(2026,10,4),tblDaily[WardCode],"MAE")=0,"",SUMIFS(tblDaily[TransfersIn],tblDaily[EntryDate],DATE(2026,10,4),tblDaily[WardCode],"MAE")),"")</f>
        <v/>
      </c>
      <c r="G371" s="14" t="str">
        <f>IFERROR(IF(SUMIFS(tblDaily[TransfersOut],tblDaily[EntryDate],DATE(2026,10,4),tblDaily[WardCode],"MAE")=0,"",SUMIFS(tblDaily[TransfersOut],tblDaily[EntryDate],DATE(2026,10,4),tblDaily[WardCode],"MAE")),"")</f>
        <v/>
      </c>
      <c r="H371" s="14" t="str">
        <f>IFERROR(IF(SUMIFS(tblDaily[Remaining],tblDaily[EntryDate],DATE(2026,10,4),tblDaily[WardCode],"MAE")=0,"",SUMIFS(tblDaily[Remaining],tblDaily[EntryDate],DATE(2026,10,4),tblDaily[WardCode],"MAE")),"")</f>
        <v/>
      </c>
      <c r="I371" s="14" t="str">
        <f>IFERROR(IF(SUMIFS(tblDaily[Admissions],tblDaily[EntryDate],DATE(2026,10,4),tblDaily[WardCode],"FAE")=0,"",SUMIFS(tblDaily[Admissions],tblDaily[EntryDate],DATE(2026,10,4),tblDaily[WardCode],"FAE")),"")</f>
        <v/>
      </c>
      <c r="J371" s="14" t="str">
        <f>IFERROR(IF(SUMIFS(tblDaily[Discharges],tblDaily[EntryDate],DATE(2026,10,4),tblDaily[WardCode],"FAE")=0,"",SUMIFS(tblDaily[Discharges],tblDaily[EntryDate],DATE(2026,10,4),tblDaily[WardCode],"FAE")),"")</f>
        <v/>
      </c>
      <c r="K371" s="14" t="str">
        <f>IFERROR(IF(SUMIFS(tblDaily[Deaths],tblDaily[EntryDate],DATE(2026,10,4),tblDaily[WardCode],"FAE")=0,"",SUMIFS(tblDaily[Deaths],tblDaily[EntryDate],DATE(2026,10,4),tblDaily[WardCode],"FAE")),"")</f>
        <v/>
      </c>
      <c r="L371" s="14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14" t="str">
        <f>IFERROR(IF(SUMIFS(tblDaily[TransfersIn],tblDaily[EntryDate],DATE(2026,10,4),tblDaily[WardCode],"FAE")=0,"",SUMIFS(tblDaily[TransfersIn],tblDaily[EntryDate],DATE(2026,10,4),tblDaily[WardCode],"FAE")),"")</f>
        <v/>
      </c>
      <c r="N371" s="14" t="str">
        <f>IFERROR(IF(SUMIFS(tblDaily[TransfersOut],tblDaily[EntryDate],DATE(2026,10,4),tblDaily[WardCode],"FAE")=0,"",SUMIFS(tblDaily[TransfersOut],tblDaily[EntryDate],DATE(2026,10,4),tblDaily[WardCode],"FAE")),"")</f>
        <v/>
      </c>
      <c r="O371" s="14" t="str">
        <f>IFERROR(IF(SUMIFS(tblDaily[Remaining],tblDaily[EntryDate],DATE(2026,10,4),tblDaily[WardCode],"FAE")=0,"",SUMIFS(tblDaily[Remaining],tblDaily[EntryDate],DATE(2026,10,4),tblDaily[WardCode],"FAE")),"")</f>
        <v/>
      </c>
      <c r="P371" s="15" t="str">
        <f t="shared" si="9"/>
        <v/>
      </c>
    </row>
    <row r="372" spans="1:16" x14ac:dyDescent="0.25">
      <c r="A372" s="14">
        <v>5</v>
      </c>
      <c r="B372" s="14" t="str">
        <f>IFERROR(IF(SUMIFS(tblDaily[Admissions],tblDaily[EntryDate],DATE(2026,10,5),tblDaily[WardCode],"MAE")=0,"",SUMIFS(tblDaily[Admissions],tblDaily[EntryDate],DATE(2026,10,5),tblDaily[WardCode],"MAE")),"")</f>
        <v/>
      </c>
      <c r="C372" s="14" t="str">
        <f>IFERROR(IF(SUMIFS(tblDaily[Discharges],tblDaily[EntryDate],DATE(2026,10,5),tblDaily[WardCode],"MAE")=0,"",SUMIFS(tblDaily[Discharges],tblDaily[EntryDate],DATE(2026,10,5),tblDaily[WardCode],"MAE")),"")</f>
        <v/>
      </c>
      <c r="D372" s="14" t="str">
        <f>IFERROR(IF(SUMIFS(tblDaily[Deaths],tblDaily[EntryDate],DATE(2026,10,5),tblDaily[WardCode],"MAE")=0,"",SUMIFS(tblDaily[Deaths],tblDaily[EntryDate],DATE(2026,10,5),tblDaily[WardCode],"MAE")),"")</f>
        <v/>
      </c>
      <c r="E372" s="14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14" t="str">
        <f>IFERROR(IF(SUMIFS(tblDaily[TransfersIn],tblDaily[EntryDate],DATE(2026,10,5),tblDaily[WardCode],"MAE")=0,"",SUMIFS(tblDaily[TransfersIn],tblDaily[EntryDate],DATE(2026,10,5),tblDaily[WardCode],"MAE")),"")</f>
        <v/>
      </c>
      <c r="G372" s="14" t="str">
        <f>IFERROR(IF(SUMIFS(tblDaily[TransfersOut],tblDaily[EntryDate],DATE(2026,10,5),tblDaily[WardCode],"MAE")=0,"",SUMIFS(tblDaily[TransfersOut],tblDaily[EntryDate],DATE(2026,10,5),tblDaily[WardCode],"MAE")),"")</f>
        <v/>
      </c>
      <c r="H372" s="14" t="str">
        <f>IFERROR(IF(SUMIFS(tblDaily[Remaining],tblDaily[EntryDate],DATE(2026,10,5),tblDaily[WardCode],"MAE")=0,"",SUMIFS(tblDaily[Remaining],tblDaily[EntryDate],DATE(2026,10,5),tblDaily[WardCode],"MAE")),"")</f>
        <v/>
      </c>
      <c r="I372" s="14" t="str">
        <f>IFERROR(IF(SUMIFS(tblDaily[Admissions],tblDaily[EntryDate],DATE(2026,10,5),tblDaily[WardCode],"FAE")=0,"",SUMIFS(tblDaily[Admissions],tblDaily[EntryDate],DATE(2026,10,5),tblDaily[WardCode],"FAE")),"")</f>
        <v/>
      </c>
      <c r="J372" s="14" t="str">
        <f>IFERROR(IF(SUMIFS(tblDaily[Discharges],tblDaily[EntryDate],DATE(2026,10,5),tblDaily[WardCode],"FAE")=0,"",SUMIFS(tblDaily[Discharges],tblDaily[EntryDate],DATE(2026,10,5),tblDaily[WardCode],"FAE")),"")</f>
        <v/>
      </c>
      <c r="K372" s="14" t="str">
        <f>IFERROR(IF(SUMIFS(tblDaily[Deaths],tblDaily[EntryDate],DATE(2026,10,5),tblDaily[WardCode],"FAE")=0,"",SUMIFS(tblDaily[Deaths],tblDaily[EntryDate],DATE(2026,10,5),tblDaily[WardCode],"FAE")),"")</f>
        <v/>
      </c>
      <c r="L372" s="14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14" t="str">
        <f>IFERROR(IF(SUMIFS(tblDaily[TransfersIn],tblDaily[EntryDate],DATE(2026,10,5),tblDaily[WardCode],"FAE")=0,"",SUMIFS(tblDaily[TransfersIn],tblDaily[EntryDate],DATE(2026,10,5),tblDaily[WardCode],"FAE")),"")</f>
        <v/>
      </c>
      <c r="N372" s="14" t="str">
        <f>IFERROR(IF(SUMIFS(tblDaily[TransfersOut],tblDaily[EntryDate],DATE(2026,10,5),tblDaily[WardCode],"FAE")=0,"",SUMIFS(tblDaily[TransfersOut],tblDaily[EntryDate],DATE(2026,10,5),tblDaily[WardCode],"FAE")),"")</f>
        <v/>
      </c>
      <c r="O372" s="14" t="str">
        <f>IFERROR(IF(SUMIFS(tblDaily[Remaining],tblDaily[EntryDate],DATE(2026,10,5),tblDaily[WardCode],"FAE")=0,"",SUMIFS(tblDaily[Remaining],tblDaily[EntryDate],DATE(2026,10,5),tblDaily[WardCode],"FAE")),"")</f>
        <v/>
      </c>
      <c r="P372" s="15" t="str">
        <f t="shared" si="9"/>
        <v/>
      </c>
    </row>
    <row r="373" spans="1:16" x14ac:dyDescent="0.25">
      <c r="A373" s="14">
        <v>6</v>
      </c>
      <c r="B373" s="14" t="str">
        <f>IFERROR(IF(SUMIFS(tblDaily[Admissions],tblDaily[EntryDate],DATE(2026,10,6),tblDaily[WardCode],"MAE")=0,"",SUMIFS(tblDaily[Admissions],tblDaily[EntryDate],DATE(2026,10,6),tblDaily[WardCode],"MAE")),"")</f>
        <v/>
      </c>
      <c r="C373" s="14" t="str">
        <f>IFERROR(IF(SUMIFS(tblDaily[Discharges],tblDaily[EntryDate],DATE(2026,10,6),tblDaily[WardCode],"MAE")=0,"",SUMIFS(tblDaily[Discharges],tblDaily[EntryDate],DATE(2026,10,6),tblDaily[WardCode],"MAE")),"")</f>
        <v/>
      </c>
      <c r="D373" s="14" t="str">
        <f>IFERROR(IF(SUMIFS(tblDaily[Deaths],tblDaily[EntryDate],DATE(2026,10,6),tblDaily[WardCode],"MAE")=0,"",SUMIFS(tblDaily[Deaths],tblDaily[EntryDate],DATE(2026,10,6),tblDaily[WardCode],"MAE")),"")</f>
        <v/>
      </c>
      <c r="E373" s="14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14" t="str">
        <f>IFERROR(IF(SUMIFS(tblDaily[TransfersIn],tblDaily[EntryDate],DATE(2026,10,6),tblDaily[WardCode],"MAE")=0,"",SUMIFS(tblDaily[TransfersIn],tblDaily[EntryDate],DATE(2026,10,6),tblDaily[WardCode],"MAE")),"")</f>
        <v/>
      </c>
      <c r="G373" s="14" t="str">
        <f>IFERROR(IF(SUMIFS(tblDaily[TransfersOut],tblDaily[EntryDate],DATE(2026,10,6),tblDaily[WardCode],"MAE")=0,"",SUMIFS(tblDaily[TransfersOut],tblDaily[EntryDate],DATE(2026,10,6),tblDaily[WardCode],"MAE")),"")</f>
        <v/>
      </c>
      <c r="H373" s="14" t="str">
        <f>IFERROR(IF(SUMIFS(tblDaily[Remaining],tblDaily[EntryDate],DATE(2026,10,6),tblDaily[WardCode],"MAE")=0,"",SUMIFS(tblDaily[Remaining],tblDaily[EntryDate],DATE(2026,10,6),tblDaily[WardCode],"MAE")),"")</f>
        <v/>
      </c>
      <c r="I373" s="14" t="str">
        <f>IFERROR(IF(SUMIFS(tblDaily[Admissions],tblDaily[EntryDate],DATE(2026,10,6),tblDaily[WardCode],"FAE")=0,"",SUMIFS(tblDaily[Admissions],tblDaily[EntryDate],DATE(2026,10,6),tblDaily[WardCode],"FAE")),"")</f>
        <v/>
      </c>
      <c r="J373" s="14" t="str">
        <f>IFERROR(IF(SUMIFS(tblDaily[Discharges],tblDaily[EntryDate],DATE(2026,10,6),tblDaily[WardCode],"FAE")=0,"",SUMIFS(tblDaily[Discharges],tblDaily[EntryDate],DATE(2026,10,6),tblDaily[WardCode],"FAE")),"")</f>
        <v/>
      </c>
      <c r="K373" s="14" t="str">
        <f>IFERROR(IF(SUMIFS(tblDaily[Deaths],tblDaily[EntryDate],DATE(2026,10,6),tblDaily[WardCode],"FAE")=0,"",SUMIFS(tblDaily[Deaths],tblDaily[EntryDate],DATE(2026,10,6),tblDaily[WardCode],"FAE")),"")</f>
        <v/>
      </c>
      <c r="L373" s="14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14" t="str">
        <f>IFERROR(IF(SUMIFS(tblDaily[TransfersIn],tblDaily[EntryDate],DATE(2026,10,6),tblDaily[WardCode],"FAE")=0,"",SUMIFS(tblDaily[TransfersIn],tblDaily[EntryDate],DATE(2026,10,6),tblDaily[WardCode],"FAE")),"")</f>
        <v/>
      </c>
      <c r="N373" s="14" t="str">
        <f>IFERROR(IF(SUMIFS(tblDaily[TransfersOut],tblDaily[EntryDate],DATE(2026,10,6),tblDaily[WardCode],"FAE")=0,"",SUMIFS(tblDaily[TransfersOut],tblDaily[EntryDate],DATE(2026,10,6),tblDaily[WardCode],"FAE")),"")</f>
        <v/>
      </c>
      <c r="O373" s="14" t="str">
        <f>IFERROR(IF(SUMIFS(tblDaily[Remaining],tblDaily[EntryDate],DATE(2026,10,6),tblDaily[WardCode],"FAE")=0,"",SUMIFS(tblDaily[Remaining],tblDaily[EntryDate],DATE(2026,10,6),tblDaily[WardCode],"FAE")),"")</f>
        <v/>
      </c>
      <c r="P373" s="15" t="str">
        <f t="shared" si="9"/>
        <v/>
      </c>
    </row>
    <row r="374" spans="1:16" x14ac:dyDescent="0.25">
      <c r="A374" s="14">
        <v>7</v>
      </c>
      <c r="B374" s="14" t="str">
        <f>IFERROR(IF(SUMIFS(tblDaily[Admissions],tblDaily[EntryDate],DATE(2026,10,7),tblDaily[WardCode],"MAE")=0,"",SUMIFS(tblDaily[Admissions],tblDaily[EntryDate],DATE(2026,10,7),tblDaily[WardCode],"MAE")),"")</f>
        <v/>
      </c>
      <c r="C374" s="14" t="str">
        <f>IFERROR(IF(SUMIFS(tblDaily[Discharges],tblDaily[EntryDate],DATE(2026,10,7),tblDaily[WardCode],"MAE")=0,"",SUMIFS(tblDaily[Discharges],tblDaily[EntryDate],DATE(2026,10,7),tblDaily[WardCode],"MAE")),"")</f>
        <v/>
      </c>
      <c r="D374" s="14" t="str">
        <f>IFERROR(IF(SUMIFS(tblDaily[Deaths],tblDaily[EntryDate],DATE(2026,10,7),tblDaily[WardCode],"MAE")=0,"",SUMIFS(tblDaily[Deaths],tblDaily[EntryDate],DATE(2026,10,7),tblDaily[WardCode],"MAE")),"")</f>
        <v/>
      </c>
      <c r="E374" s="14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14" t="str">
        <f>IFERROR(IF(SUMIFS(tblDaily[TransfersIn],tblDaily[EntryDate],DATE(2026,10,7),tblDaily[WardCode],"MAE")=0,"",SUMIFS(tblDaily[TransfersIn],tblDaily[EntryDate],DATE(2026,10,7),tblDaily[WardCode],"MAE")),"")</f>
        <v/>
      </c>
      <c r="G374" s="14" t="str">
        <f>IFERROR(IF(SUMIFS(tblDaily[TransfersOut],tblDaily[EntryDate],DATE(2026,10,7),tblDaily[WardCode],"MAE")=0,"",SUMIFS(tblDaily[TransfersOut],tblDaily[EntryDate],DATE(2026,10,7),tblDaily[WardCode],"MAE")),"")</f>
        <v/>
      </c>
      <c r="H374" s="14" t="str">
        <f>IFERROR(IF(SUMIFS(tblDaily[Remaining],tblDaily[EntryDate],DATE(2026,10,7),tblDaily[WardCode],"MAE")=0,"",SUMIFS(tblDaily[Remaining],tblDaily[EntryDate],DATE(2026,10,7),tblDaily[WardCode],"MAE")),"")</f>
        <v/>
      </c>
      <c r="I374" s="14" t="str">
        <f>IFERROR(IF(SUMIFS(tblDaily[Admissions],tblDaily[EntryDate],DATE(2026,10,7),tblDaily[WardCode],"FAE")=0,"",SUMIFS(tblDaily[Admissions],tblDaily[EntryDate],DATE(2026,10,7),tblDaily[WardCode],"FAE")),"")</f>
        <v/>
      </c>
      <c r="J374" s="14" t="str">
        <f>IFERROR(IF(SUMIFS(tblDaily[Discharges],tblDaily[EntryDate],DATE(2026,10,7),tblDaily[WardCode],"FAE")=0,"",SUMIFS(tblDaily[Discharges],tblDaily[EntryDate],DATE(2026,10,7),tblDaily[WardCode],"FAE")),"")</f>
        <v/>
      </c>
      <c r="K374" s="14" t="str">
        <f>IFERROR(IF(SUMIFS(tblDaily[Deaths],tblDaily[EntryDate],DATE(2026,10,7),tblDaily[WardCode],"FAE")=0,"",SUMIFS(tblDaily[Deaths],tblDaily[EntryDate],DATE(2026,10,7),tblDaily[WardCode],"FAE")),"")</f>
        <v/>
      </c>
      <c r="L374" s="14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14" t="str">
        <f>IFERROR(IF(SUMIFS(tblDaily[TransfersIn],tblDaily[EntryDate],DATE(2026,10,7),tblDaily[WardCode],"FAE")=0,"",SUMIFS(tblDaily[TransfersIn],tblDaily[EntryDate],DATE(2026,10,7),tblDaily[WardCode],"FAE")),"")</f>
        <v/>
      </c>
      <c r="N374" s="14" t="str">
        <f>IFERROR(IF(SUMIFS(tblDaily[TransfersOut],tblDaily[EntryDate],DATE(2026,10,7),tblDaily[WardCode],"FAE")=0,"",SUMIFS(tblDaily[TransfersOut],tblDaily[EntryDate],DATE(2026,10,7),tblDaily[WardCode],"FAE")),"")</f>
        <v/>
      </c>
      <c r="O374" s="14" t="str">
        <f>IFERROR(IF(SUMIFS(tblDaily[Remaining],tblDaily[EntryDate],DATE(2026,10,7),tblDaily[WardCode],"FAE")=0,"",SUMIFS(tblDaily[Remaining],tblDaily[EntryDate],DATE(2026,10,7),tblDaily[WardCode],"FAE")),"")</f>
        <v/>
      </c>
      <c r="P374" s="15" t="str">
        <f t="shared" si="9"/>
        <v/>
      </c>
    </row>
    <row r="375" spans="1:16" x14ac:dyDescent="0.25">
      <c r="A375" s="14">
        <v>8</v>
      </c>
      <c r="B375" s="14" t="str">
        <f>IFERROR(IF(SUMIFS(tblDaily[Admissions],tblDaily[EntryDate],DATE(2026,10,8),tblDaily[WardCode],"MAE")=0,"",SUMIFS(tblDaily[Admissions],tblDaily[EntryDate],DATE(2026,10,8),tblDaily[WardCode],"MAE")),"")</f>
        <v/>
      </c>
      <c r="C375" s="14" t="str">
        <f>IFERROR(IF(SUMIFS(tblDaily[Discharges],tblDaily[EntryDate],DATE(2026,10,8),tblDaily[WardCode],"MAE")=0,"",SUMIFS(tblDaily[Discharges],tblDaily[EntryDate],DATE(2026,10,8),tblDaily[WardCode],"MAE")),"")</f>
        <v/>
      </c>
      <c r="D375" s="14" t="str">
        <f>IFERROR(IF(SUMIFS(tblDaily[Deaths],tblDaily[EntryDate],DATE(2026,10,8),tblDaily[WardCode],"MAE")=0,"",SUMIFS(tblDaily[Deaths],tblDaily[EntryDate],DATE(2026,10,8),tblDaily[WardCode],"MAE")),"")</f>
        <v/>
      </c>
      <c r="E375" s="14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14" t="str">
        <f>IFERROR(IF(SUMIFS(tblDaily[TransfersIn],tblDaily[EntryDate],DATE(2026,10,8),tblDaily[WardCode],"MAE")=0,"",SUMIFS(tblDaily[TransfersIn],tblDaily[EntryDate],DATE(2026,10,8),tblDaily[WardCode],"MAE")),"")</f>
        <v/>
      </c>
      <c r="G375" s="14" t="str">
        <f>IFERROR(IF(SUMIFS(tblDaily[TransfersOut],tblDaily[EntryDate],DATE(2026,10,8),tblDaily[WardCode],"MAE")=0,"",SUMIFS(tblDaily[TransfersOut],tblDaily[EntryDate],DATE(2026,10,8),tblDaily[WardCode],"MAE")),"")</f>
        <v/>
      </c>
      <c r="H375" s="14" t="str">
        <f>IFERROR(IF(SUMIFS(tblDaily[Remaining],tblDaily[EntryDate],DATE(2026,10,8),tblDaily[WardCode],"MAE")=0,"",SUMIFS(tblDaily[Remaining],tblDaily[EntryDate],DATE(2026,10,8),tblDaily[WardCode],"MAE")),"")</f>
        <v/>
      </c>
      <c r="I375" s="14" t="str">
        <f>IFERROR(IF(SUMIFS(tblDaily[Admissions],tblDaily[EntryDate],DATE(2026,10,8),tblDaily[WardCode],"FAE")=0,"",SUMIFS(tblDaily[Admissions],tblDaily[EntryDate],DATE(2026,10,8),tblDaily[WardCode],"FAE")),"")</f>
        <v/>
      </c>
      <c r="J375" s="14" t="str">
        <f>IFERROR(IF(SUMIFS(tblDaily[Discharges],tblDaily[EntryDate],DATE(2026,10,8),tblDaily[WardCode],"FAE")=0,"",SUMIFS(tblDaily[Discharges],tblDaily[EntryDate],DATE(2026,10,8),tblDaily[WardCode],"FAE")),"")</f>
        <v/>
      </c>
      <c r="K375" s="14" t="str">
        <f>IFERROR(IF(SUMIFS(tblDaily[Deaths],tblDaily[EntryDate],DATE(2026,10,8),tblDaily[WardCode],"FAE")=0,"",SUMIFS(tblDaily[Deaths],tblDaily[EntryDate],DATE(2026,10,8),tblDaily[WardCode],"FAE")),"")</f>
        <v/>
      </c>
      <c r="L375" s="14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14" t="str">
        <f>IFERROR(IF(SUMIFS(tblDaily[TransfersIn],tblDaily[EntryDate],DATE(2026,10,8),tblDaily[WardCode],"FAE")=0,"",SUMIFS(tblDaily[TransfersIn],tblDaily[EntryDate],DATE(2026,10,8),tblDaily[WardCode],"FAE")),"")</f>
        <v/>
      </c>
      <c r="N375" s="14" t="str">
        <f>IFERROR(IF(SUMIFS(tblDaily[TransfersOut],tblDaily[EntryDate],DATE(2026,10,8),tblDaily[WardCode],"FAE")=0,"",SUMIFS(tblDaily[TransfersOut],tblDaily[EntryDate],DATE(2026,10,8),tblDaily[WardCode],"FAE")),"")</f>
        <v/>
      </c>
      <c r="O375" s="14" t="str">
        <f>IFERROR(IF(SUMIFS(tblDaily[Remaining],tblDaily[EntryDate],DATE(2026,10,8),tblDaily[WardCode],"FAE")=0,"",SUMIFS(tblDaily[Remaining],tblDaily[EntryDate],DATE(2026,10,8),tblDaily[WardCode],"FAE")),"")</f>
        <v/>
      </c>
      <c r="P375" s="15" t="str">
        <f t="shared" si="9"/>
        <v/>
      </c>
    </row>
    <row r="376" spans="1:16" x14ac:dyDescent="0.25">
      <c r="A376" s="14">
        <v>9</v>
      </c>
      <c r="B376" s="14" t="str">
        <f>IFERROR(IF(SUMIFS(tblDaily[Admissions],tblDaily[EntryDate],DATE(2026,10,9),tblDaily[WardCode],"MAE")=0,"",SUMIFS(tblDaily[Admissions],tblDaily[EntryDate],DATE(2026,10,9),tblDaily[WardCode],"MAE")),"")</f>
        <v/>
      </c>
      <c r="C376" s="14" t="str">
        <f>IFERROR(IF(SUMIFS(tblDaily[Discharges],tblDaily[EntryDate],DATE(2026,10,9),tblDaily[WardCode],"MAE")=0,"",SUMIFS(tblDaily[Discharges],tblDaily[EntryDate],DATE(2026,10,9),tblDaily[WardCode],"MAE")),"")</f>
        <v/>
      </c>
      <c r="D376" s="14" t="str">
        <f>IFERROR(IF(SUMIFS(tblDaily[Deaths],tblDaily[EntryDate],DATE(2026,10,9),tblDaily[WardCode],"MAE")=0,"",SUMIFS(tblDaily[Deaths],tblDaily[EntryDate],DATE(2026,10,9),tblDaily[WardCode],"MAE")),"")</f>
        <v/>
      </c>
      <c r="E376" s="14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14" t="str">
        <f>IFERROR(IF(SUMIFS(tblDaily[TransfersIn],tblDaily[EntryDate],DATE(2026,10,9),tblDaily[WardCode],"MAE")=0,"",SUMIFS(tblDaily[TransfersIn],tblDaily[EntryDate],DATE(2026,10,9),tblDaily[WardCode],"MAE")),"")</f>
        <v/>
      </c>
      <c r="G376" s="14" t="str">
        <f>IFERROR(IF(SUMIFS(tblDaily[TransfersOut],tblDaily[EntryDate],DATE(2026,10,9),tblDaily[WardCode],"MAE")=0,"",SUMIFS(tblDaily[TransfersOut],tblDaily[EntryDate],DATE(2026,10,9),tblDaily[WardCode],"MAE")),"")</f>
        <v/>
      </c>
      <c r="H376" s="14" t="str">
        <f>IFERROR(IF(SUMIFS(tblDaily[Remaining],tblDaily[EntryDate],DATE(2026,10,9),tblDaily[WardCode],"MAE")=0,"",SUMIFS(tblDaily[Remaining],tblDaily[EntryDate],DATE(2026,10,9),tblDaily[WardCode],"MAE")),"")</f>
        <v/>
      </c>
      <c r="I376" s="14" t="str">
        <f>IFERROR(IF(SUMIFS(tblDaily[Admissions],tblDaily[EntryDate],DATE(2026,10,9),tblDaily[WardCode],"FAE")=0,"",SUMIFS(tblDaily[Admissions],tblDaily[EntryDate],DATE(2026,10,9),tblDaily[WardCode],"FAE")),"")</f>
        <v/>
      </c>
      <c r="J376" s="14" t="str">
        <f>IFERROR(IF(SUMIFS(tblDaily[Discharges],tblDaily[EntryDate],DATE(2026,10,9),tblDaily[WardCode],"FAE")=0,"",SUMIFS(tblDaily[Discharges],tblDaily[EntryDate],DATE(2026,10,9),tblDaily[WardCode],"FAE")),"")</f>
        <v/>
      </c>
      <c r="K376" s="14" t="str">
        <f>IFERROR(IF(SUMIFS(tblDaily[Deaths],tblDaily[EntryDate],DATE(2026,10,9),tblDaily[WardCode],"FAE")=0,"",SUMIFS(tblDaily[Deaths],tblDaily[EntryDate],DATE(2026,10,9),tblDaily[WardCode],"FAE")),"")</f>
        <v/>
      </c>
      <c r="L376" s="14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14" t="str">
        <f>IFERROR(IF(SUMIFS(tblDaily[TransfersIn],tblDaily[EntryDate],DATE(2026,10,9),tblDaily[WardCode],"FAE")=0,"",SUMIFS(tblDaily[TransfersIn],tblDaily[EntryDate],DATE(2026,10,9),tblDaily[WardCode],"FAE")),"")</f>
        <v/>
      </c>
      <c r="N376" s="14" t="str">
        <f>IFERROR(IF(SUMIFS(tblDaily[TransfersOut],tblDaily[EntryDate],DATE(2026,10,9),tblDaily[WardCode],"FAE")=0,"",SUMIFS(tblDaily[TransfersOut],tblDaily[EntryDate],DATE(2026,10,9),tblDaily[WardCode],"FAE")),"")</f>
        <v/>
      </c>
      <c r="O376" s="14" t="str">
        <f>IFERROR(IF(SUMIFS(tblDaily[Remaining],tblDaily[EntryDate],DATE(2026,10,9),tblDaily[WardCode],"FAE")=0,"",SUMIFS(tblDaily[Remaining],tblDaily[EntryDate],DATE(2026,10,9),tblDaily[WardCode],"FAE")),"")</f>
        <v/>
      </c>
      <c r="P376" s="15" t="str">
        <f t="shared" si="9"/>
        <v/>
      </c>
    </row>
    <row r="377" spans="1:16" x14ac:dyDescent="0.25">
      <c r="A377" s="14">
        <v>10</v>
      </c>
      <c r="B377" s="14" t="str">
        <f>IFERROR(IF(SUMIFS(tblDaily[Admissions],tblDaily[EntryDate],DATE(2026,10,10),tblDaily[WardCode],"MAE")=0,"",SUMIFS(tblDaily[Admissions],tblDaily[EntryDate],DATE(2026,10,10),tblDaily[WardCode],"MAE")),"")</f>
        <v/>
      </c>
      <c r="C377" s="14" t="str">
        <f>IFERROR(IF(SUMIFS(tblDaily[Discharges],tblDaily[EntryDate],DATE(2026,10,10),tblDaily[WardCode],"MAE")=0,"",SUMIFS(tblDaily[Discharges],tblDaily[EntryDate],DATE(2026,10,10),tblDaily[WardCode],"MAE")),"")</f>
        <v/>
      </c>
      <c r="D377" s="14" t="str">
        <f>IFERROR(IF(SUMIFS(tblDaily[Deaths],tblDaily[EntryDate],DATE(2026,10,10),tblDaily[WardCode],"MAE")=0,"",SUMIFS(tblDaily[Deaths],tblDaily[EntryDate],DATE(2026,10,10),tblDaily[WardCode],"MAE")),"")</f>
        <v/>
      </c>
      <c r="E377" s="1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14" t="str">
        <f>IFERROR(IF(SUMIFS(tblDaily[TransfersIn],tblDaily[EntryDate],DATE(2026,10,10),tblDaily[WardCode],"MAE")=0,"",SUMIFS(tblDaily[TransfersIn],tblDaily[EntryDate],DATE(2026,10,10),tblDaily[WardCode],"MAE")),"")</f>
        <v/>
      </c>
      <c r="G377" s="14" t="str">
        <f>IFERROR(IF(SUMIFS(tblDaily[TransfersOut],tblDaily[EntryDate],DATE(2026,10,10),tblDaily[WardCode],"MAE")=0,"",SUMIFS(tblDaily[TransfersOut],tblDaily[EntryDate],DATE(2026,10,10),tblDaily[WardCode],"MAE")),"")</f>
        <v/>
      </c>
      <c r="H377" s="14" t="str">
        <f>IFERROR(IF(SUMIFS(tblDaily[Remaining],tblDaily[EntryDate],DATE(2026,10,10),tblDaily[WardCode],"MAE")=0,"",SUMIFS(tblDaily[Remaining],tblDaily[EntryDate],DATE(2026,10,10),tblDaily[WardCode],"MAE")),"")</f>
        <v/>
      </c>
      <c r="I377" s="14" t="str">
        <f>IFERROR(IF(SUMIFS(tblDaily[Admissions],tblDaily[EntryDate],DATE(2026,10,10),tblDaily[WardCode],"FAE")=0,"",SUMIFS(tblDaily[Admissions],tblDaily[EntryDate],DATE(2026,10,10),tblDaily[WardCode],"FAE")),"")</f>
        <v/>
      </c>
      <c r="J377" s="14" t="str">
        <f>IFERROR(IF(SUMIFS(tblDaily[Discharges],tblDaily[EntryDate],DATE(2026,10,10),tblDaily[WardCode],"FAE")=0,"",SUMIFS(tblDaily[Discharges],tblDaily[EntryDate],DATE(2026,10,10),tblDaily[WardCode],"FAE")),"")</f>
        <v/>
      </c>
      <c r="K377" s="14" t="str">
        <f>IFERROR(IF(SUMIFS(tblDaily[Deaths],tblDaily[EntryDate],DATE(2026,10,10),tblDaily[WardCode],"FAE")=0,"",SUMIFS(tblDaily[Deaths],tblDaily[EntryDate],DATE(2026,10,10),tblDaily[WardCode],"FAE")),"")</f>
        <v/>
      </c>
      <c r="L377" s="14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14" t="str">
        <f>IFERROR(IF(SUMIFS(tblDaily[TransfersIn],tblDaily[EntryDate],DATE(2026,10,10),tblDaily[WardCode],"FAE")=0,"",SUMIFS(tblDaily[TransfersIn],tblDaily[EntryDate],DATE(2026,10,10),tblDaily[WardCode],"FAE")),"")</f>
        <v/>
      </c>
      <c r="N377" s="14" t="str">
        <f>IFERROR(IF(SUMIFS(tblDaily[TransfersOut],tblDaily[EntryDate],DATE(2026,10,10),tblDaily[WardCode],"FAE")=0,"",SUMIFS(tblDaily[TransfersOut],tblDaily[EntryDate],DATE(2026,10,10),tblDaily[WardCode],"FAE")),"")</f>
        <v/>
      </c>
      <c r="O377" s="14" t="str">
        <f>IFERROR(IF(SUMIFS(tblDaily[Remaining],tblDaily[EntryDate],DATE(2026,10,10),tblDaily[WardCode],"FAE")=0,"",SUMIFS(tblDaily[Remaining],tblDaily[EntryDate],DATE(2026,10,10),tblDaily[WardCode],"FAE")),"")</f>
        <v/>
      </c>
      <c r="P377" s="15" t="str">
        <f t="shared" si="9"/>
        <v/>
      </c>
    </row>
    <row r="378" spans="1:16" x14ac:dyDescent="0.25">
      <c r="A378" s="14">
        <v>11</v>
      </c>
      <c r="B378" s="14" t="str">
        <f>IFERROR(IF(SUMIFS(tblDaily[Admissions],tblDaily[EntryDate],DATE(2026,10,11),tblDaily[WardCode],"MAE")=0,"",SUMIFS(tblDaily[Admissions],tblDaily[EntryDate],DATE(2026,10,11),tblDaily[WardCode],"MAE")),"")</f>
        <v/>
      </c>
      <c r="C378" s="14" t="str">
        <f>IFERROR(IF(SUMIFS(tblDaily[Discharges],tblDaily[EntryDate],DATE(2026,10,11),tblDaily[WardCode],"MAE")=0,"",SUMIFS(tblDaily[Discharges],tblDaily[EntryDate],DATE(2026,10,11),tblDaily[WardCode],"MAE")),"")</f>
        <v/>
      </c>
      <c r="D378" s="14" t="str">
        <f>IFERROR(IF(SUMIFS(tblDaily[Deaths],tblDaily[EntryDate],DATE(2026,10,11),tblDaily[WardCode],"MAE")=0,"",SUMIFS(tblDaily[Deaths],tblDaily[EntryDate],DATE(2026,10,11),tblDaily[WardCode],"MAE")),"")</f>
        <v/>
      </c>
      <c r="E378" s="1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14" t="str">
        <f>IFERROR(IF(SUMIFS(tblDaily[TransfersIn],tblDaily[EntryDate],DATE(2026,10,11),tblDaily[WardCode],"MAE")=0,"",SUMIFS(tblDaily[TransfersIn],tblDaily[EntryDate],DATE(2026,10,11),tblDaily[WardCode],"MAE")),"")</f>
        <v/>
      </c>
      <c r="G378" s="14" t="str">
        <f>IFERROR(IF(SUMIFS(tblDaily[TransfersOut],tblDaily[EntryDate],DATE(2026,10,11),tblDaily[WardCode],"MAE")=0,"",SUMIFS(tblDaily[TransfersOut],tblDaily[EntryDate],DATE(2026,10,11),tblDaily[WardCode],"MAE")),"")</f>
        <v/>
      </c>
      <c r="H378" s="14" t="str">
        <f>IFERROR(IF(SUMIFS(tblDaily[Remaining],tblDaily[EntryDate],DATE(2026,10,11),tblDaily[WardCode],"MAE")=0,"",SUMIFS(tblDaily[Remaining],tblDaily[EntryDate],DATE(2026,10,11),tblDaily[WardCode],"MAE")),"")</f>
        <v/>
      </c>
      <c r="I378" s="14" t="str">
        <f>IFERROR(IF(SUMIFS(tblDaily[Admissions],tblDaily[EntryDate],DATE(2026,10,11),tblDaily[WardCode],"FAE")=0,"",SUMIFS(tblDaily[Admissions],tblDaily[EntryDate],DATE(2026,10,11),tblDaily[WardCode],"FAE")),"")</f>
        <v/>
      </c>
      <c r="J378" s="14" t="str">
        <f>IFERROR(IF(SUMIFS(tblDaily[Discharges],tblDaily[EntryDate],DATE(2026,10,11),tblDaily[WardCode],"FAE")=0,"",SUMIFS(tblDaily[Discharges],tblDaily[EntryDate],DATE(2026,10,11),tblDaily[WardCode],"FAE")),"")</f>
        <v/>
      </c>
      <c r="K378" s="14" t="str">
        <f>IFERROR(IF(SUMIFS(tblDaily[Deaths],tblDaily[EntryDate],DATE(2026,10,11),tblDaily[WardCode],"FAE")=0,"",SUMIFS(tblDaily[Deaths],tblDaily[EntryDate],DATE(2026,10,11),tblDaily[WardCode],"FAE")),"")</f>
        <v/>
      </c>
      <c r="L378" s="14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14" t="str">
        <f>IFERROR(IF(SUMIFS(tblDaily[TransfersIn],tblDaily[EntryDate],DATE(2026,10,11),tblDaily[WardCode],"FAE")=0,"",SUMIFS(tblDaily[TransfersIn],tblDaily[EntryDate],DATE(2026,10,11),tblDaily[WardCode],"FAE")),"")</f>
        <v/>
      </c>
      <c r="N378" s="14" t="str">
        <f>IFERROR(IF(SUMIFS(tblDaily[TransfersOut],tblDaily[EntryDate],DATE(2026,10,11),tblDaily[WardCode],"FAE")=0,"",SUMIFS(tblDaily[TransfersOut],tblDaily[EntryDate],DATE(2026,10,11),tblDaily[WardCode],"FAE")),"")</f>
        <v/>
      </c>
      <c r="O378" s="14" t="str">
        <f>IFERROR(IF(SUMIFS(tblDaily[Remaining],tblDaily[EntryDate],DATE(2026,10,11),tblDaily[WardCode],"FAE")=0,"",SUMIFS(tblDaily[Remaining],tblDaily[EntryDate],DATE(2026,10,11),tblDaily[WardCode],"FAE")),"")</f>
        <v/>
      </c>
      <c r="P378" s="15" t="str">
        <f t="shared" si="9"/>
        <v/>
      </c>
    </row>
    <row r="379" spans="1:16" x14ac:dyDescent="0.25">
      <c r="A379" s="14">
        <v>12</v>
      </c>
      <c r="B379" s="14" t="str">
        <f>IFERROR(IF(SUMIFS(tblDaily[Admissions],tblDaily[EntryDate],DATE(2026,10,12),tblDaily[WardCode],"MAE")=0,"",SUMIFS(tblDaily[Admissions],tblDaily[EntryDate],DATE(2026,10,12),tblDaily[WardCode],"MAE")),"")</f>
        <v/>
      </c>
      <c r="C379" s="14" t="str">
        <f>IFERROR(IF(SUMIFS(tblDaily[Discharges],tblDaily[EntryDate],DATE(2026,10,12),tblDaily[WardCode],"MAE")=0,"",SUMIFS(tblDaily[Discharges],tblDaily[EntryDate],DATE(2026,10,12),tblDaily[WardCode],"MAE")),"")</f>
        <v/>
      </c>
      <c r="D379" s="14" t="str">
        <f>IFERROR(IF(SUMIFS(tblDaily[Deaths],tblDaily[EntryDate],DATE(2026,10,12),tblDaily[WardCode],"MAE")=0,"",SUMIFS(tblDaily[Deaths],tblDaily[EntryDate],DATE(2026,10,12),tblDaily[WardCode],"MAE")),"")</f>
        <v/>
      </c>
      <c r="E379" s="1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14" t="str">
        <f>IFERROR(IF(SUMIFS(tblDaily[TransfersIn],tblDaily[EntryDate],DATE(2026,10,12),tblDaily[WardCode],"MAE")=0,"",SUMIFS(tblDaily[TransfersIn],tblDaily[EntryDate],DATE(2026,10,12),tblDaily[WardCode],"MAE")),"")</f>
        <v/>
      </c>
      <c r="G379" s="14" t="str">
        <f>IFERROR(IF(SUMIFS(tblDaily[TransfersOut],tblDaily[EntryDate],DATE(2026,10,12),tblDaily[WardCode],"MAE")=0,"",SUMIFS(tblDaily[TransfersOut],tblDaily[EntryDate],DATE(2026,10,12),tblDaily[WardCode],"MAE")),"")</f>
        <v/>
      </c>
      <c r="H379" s="14" t="str">
        <f>IFERROR(IF(SUMIFS(tblDaily[Remaining],tblDaily[EntryDate],DATE(2026,10,12),tblDaily[WardCode],"MAE")=0,"",SUMIFS(tblDaily[Remaining],tblDaily[EntryDate],DATE(2026,10,12),tblDaily[WardCode],"MAE")),"")</f>
        <v/>
      </c>
      <c r="I379" s="14" t="str">
        <f>IFERROR(IF(SUMIFS(tblDaily[Admissions],tblDaily[EntryDate],DATE(2026,10,12),tblDaily[WardCode],"FAE")=0,"",SUMIFS(tblDaily[Admissions],tblDaily[EntryDate],DATE(2026,10,12),tblDaily[WardCode],"FAE")),"")</f>
        <v/>
      </c>
      <c r="J379" s="14" t="str">
        <f>IFERROR(IF(SUMIFS(tblDaily[Discharges],tblDaily[EntryDate],DATE(2026,10,12),tblDaily[WardCode],"FAE")=0,"",SUMIFS(tblDaily[Discharges],tblDaily[EntryDate],DATE(2026,10,12),tblDaily[WardCode],"FAE")),"")</f>
        <v/>
      </c>
      <c r="K379" s="14" t="str">
        <f>IFERROR(IF(SUMIFS(tblDaily[Deaths],tblDaily[EntryDate],DATE(2026,10,12),tblDaily[WardCode],"FAE")=0,"",SUMIFS(tblDaily[Deaths],tblDaily[EntryDate],DATE(2026,10,12),tblDaily[WardCode],"FAE")),"")</f>
        <v/>
      </c>
      <c r="L379" s="14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14" t="str">
        <f>IFERROR(IF(SUMIFS(tblDaily[TransfersIn],tblDaily[EntryDate],DATE(2026,10,12),tblDaily[WardCode],"FAE")=0,"",SUMIFS(tblDaily[TransfersIn],tblDaily[EntryDate],DATE(2026,10,12),tblDaily[WardCode],"FAE")),"")</f>
        <v/>
      </c>
      <c r="N379" s="14" t="str">
        <f>IFERROR(IF(SUMIFS(tblDaily[TransfersOut],tblDaily[EntryDate],DATE(2026,10,12),tblDaily[WardCode],"FAE")=0,"",SUMIFS(tblDaily[TransfersOut],tblDaily[EntryDate],DATE(2026,10,12),tblDaily[WardCode],"FAE")),"")</f>
        <v/>
      </c>
      <c r="O379" s="14" t="str">
        <f>IFERROR(IF(SUMIFS(tblDaily[Remaining],tblDaily[EntryDate],DATE(2026,10,12),tblDaily[WardCode],"FAE")=0,"",SUMIFS(tblDaily[Remaining],tblDaily[EntryDate],DATE(2026,10,12),tblDaily[WardCode],"FAE")),"")</f>
        <v/>
      </c>
      <c r="P379" s="15" t="str">
        <f t="shared" si="9"/>
        <v/>
      </c>
    </row>
    <row r="380" spans="1:16" x14ac:dyDescent="0.25">
      <c r="A380" s="14">
        <v>13</v>
      </c>
      <c r="B380" s="14" t="str">
        <f>IFERROR(IF(SUMIFS(tblDaily[Admissions],tblDaily[EntryDate],DATE(2026,10,13),tblDaily[WardCode],"MAE")=0,"",SUMIFS(tblDaily[Admissions],tblDaily[EntryDate],DATE(2026,10,13),tblDaily[WardCode],"MAE")),"")</f>
        <v/>
      </c>
      <c r="C380" s="14" t="str">
        <f>IFERROR(IF(SUMIFS(tblDaily[Discharges],tblDaily[EntryDate],DATE(2026,10,13),tblDaily[WardCode],"MAE")=0,"",SUMIFS(tblDaily[Discharges],tblDaily[EntryDate],DATE(2026,10,13),tblDaily[WardCode],"MAE")),"")</f>
        <v/>
      </c>
      <c r="D380" s="14" t="str">
        <f>IFERROR(IF(SUMIFS(tblDaily[Deaths],tblDaily[EntryDate],DATE(2026,10,13),tblDaily[WardCode],"MAE")=0,"",SUMIFS(tblDaily[Deaths],tblDaily[EntryDate],DATE(2026,10,13),tblDaily[WardCode],"MAE")),"")</f>
        <v/>
      </c>
      <c r="E380" s="1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14" t="str">
        <f>IFERROR(IF(SUMIFS(tblDaily[TransfersIn],tblDaily[EntryDate],DATE(2026,10,13),tblDaily[WardCode],"MAE")=0,"",SUMIFS(tblDaily[TransfersIn],tblDaily[EntryDate],DATE(2026,10,13),tblDaily[WardCode],"MAE")),"")</f>
        <v/>
      </c>
      <c r="G380" s="14" t="str">
        <f>IFERROR(IF(SUMIFS(tblDaily[TransfersOut],tblDaily[EntryDate],DATE(2026,10,13),tblDaily[WardCode],"MAE")=0,"",SUMIFS(tblDaily[TransfersOut],tblDaily[EntryDate],DATE(2026,10,13),tblDaily[WardCode],"MAE")),"")</f>
        <v/>
      </c>
      <c r="H380" s="14" t="str">
        <f>IFERROR(IF(SUMIFS(tblDaily[Remaining],tblDaily[EntryDate],DATE(2026,10,13),tblDaily[WardCode],"MAE")=0,"",SUMIFS(tblDaily[Remaining],tblDaily[EntryDate],DATE(2026,10,13),tblDaily[WardCode],"MAE")),"")</f>
        <v/>
      </c>
      <c r="I380" s="14" t="str">
        <f>IFERROR(IF(SUMIFS(tblDaily[Admissions],tblDaily[EntryDate],DATE(2026,10,13),tblDaily[WardCode],"FAE")=0,"",SUMIFS(tblDaily[Admissions],tblDaily[EntryDate],DATE(2026,10,13),tblDaily[WardCode],"FAE")),"")</f>
        <v/>
      </c>
      <c r="J380" s="14" t="str">
        <f>IFERROR(IF(SUMIFS(tblDaily[Discharges],tblDaily[EntryDate],DATE(2026,10,13),tblDaily[WardCode],"FAE")=0,"",SUMIFS(tblDaily[Discharges],tblDaily[EntryDate],DATE(2026,10,13),tblDaily[WardCode],"FAE")),"")</f>
        <v/>
      </c>
      <c r="K380" s="14" t="str">
        <f>IFERROR(IF(SUMIFS(tblDaily[Deaths],tblDaily[EntryDate],DATE(2026,10,13),tblDaily[WardCode],"FAE")=0,"",SUMIFS(tblDaily[Deaths],tblDaily[EntryDate],DATE(2026,10,13),tblDaily[WardCode],"FAE")),"")</f>
        <v/>
      </c>
      <c r="L380" s="14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14" t="str">
        <f>IFERROR(IF(SUMIFS(tblDaily[TransfersIn],tblDaily[EntryDate],DATE(2026,10,13),tblDaily[WardCode],"FAE")=0,"",SUMIFS(tblDaily[TransfersIn],tblDaily[EntryDate],DATE(2026,10,13),tblDaily[WardCode],"FAE")),"")</f>
        <v/>
      </c>
      <c r="N380" s="14" t="str">
        <f>IFERROR(IF(SUMIFS(tblDaily[TransfersOut],tblDaily[EntryDate],DATE(2026,10,13),tblDaily[WardCode],"FAE")=0,"",SUMIFS(tblDaily[TransfersOut],tblDaily[EntryDate],DATE(2026,10,13),tblDaily[WardCode],"FAE")),"")</f>
        <v/>
      </c>
      <c r="O380" s="14" t="str">
        <f>IFERROR(IF(SUMIFS(tblDaily[Remaining],tblDaily[EntryDate],DATE(2026,10,13),tblDaily[WardCode],"FAE")=0,"",SUMIFS(tblDaily[Remaining],tblDaily[EntryDate],DATE(2026,10,13),tblDaily[WardCode],"FAE")),"")</f>
        <v/>
      </c>
      <c r="P380" s="15" t="str">
        <f t="shared" si="9"/>
        <v/>
      </c>
    </row>
    <row r="381" spans="1:16" x14ac:dyDescent="0.25">
      <c r="A381" s="14">
        <v>14</v>
      </c>
      <c r="B381" s="14" t="str">
        <f>IFERROR(IF(SUMIFS(tblDaily[Admissions],tblDaily[EntryDate],DATE(2026,10,14),tblDaily[WardCode],"MAE")=0,"",SUMIFS(tblDaily[Admissions],tblDaily[EntryDate],DATE(2026,10,14),tblDaily[WardCode],"MAE")),"")</f>
        <v/>
      </c>
      <c r="C381" s="14" t="str">
        <f>IFERROR(IF(SUMIFS(tblDaily[Discharges],tblDaily[EntryDate],DATE(2026,10,14),tblDaily[WardCode],"MAE")=0,"",SUMIFS(tblDaily[Discharges],tblDaily[EntryDate],DATE(2026,10,14),tblDaily[WardCode],"MAE")),"")</f>
        <v/>
      </c>
      <c r="D381" s="14" t="str">
        <f>IFERROR(IF(SUMIFS(tblDaily[Deaths],tblDaily[EntryDate],DATE(2026,10,14),tblDaily[WardCode],"MAE")=0,"",SUMIFS(tblDaily[Deaths],tblDaily[EntryDate],DATE(2026,10,14),tblDaily[WardCode],"MAE")),"")</f>
        <v/>
      </c>
      <c r="E381" s="1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14" t="str">
        <f>IFERROR(IF(SUMIFS(tblDaily[TransfersIn],tblDaily[EntryDate],DATE(2026,10,14),tblDaily[WardCode],"MAE")=0,"",SUMIFS(tblDaily[TransfersIn],tblDaily[EntryDate],DATE(2026,10,14),tblDaily[WardCode],"MAE")),"")</f>
        <v/>
      </c>
      <c r="G381" s="14" t="str">
        <f>IFERROR(IF(SUMIFS(tblDaily[TransfersOut],tblDaily[EntryDate],DATE(2026,10,14),tblDaily[WardCode],"MAE")=0,"",SUMIFS(tblDaily[TransfersOut],tblDaily[EntryDate],DATE(2026,10,14),tblDaily[WardCode],"MAE")),"")</f>
        <v/>
      </c>
      <c r="H381" s="14" t="str">
        <f>IFERROR(IF(SUMIFS(tblDaily[Remaining],tblDaily[EntryDate],DATE(2026,10,14),tblDaily[WardCode],"MAE")=0,"",SUMIFS(tblDaily[Remaining],tblDaily[EntryDate],DATE(2026,10,14),tblDaily[WardCode],"MAE")),"")</f>
        <v/>
      </c>
      <c r="I381" s="14" t="str">
        <f>IFERROR(IF(SUMIFS(tblDaily[Admissions],tblDaily[EntryDate],DATE(2026,10,14),tblDaily[WardCode],"FAE")=0,"",SUMIFS(tblDaily[Admissions],tblDaily[EntryDate],DATE(2026,10,14),tblDaily[WardCode],"FAE")),"")</f>
        <v/>
      </c>
      <c r="J381" s="14" t="str">
        <f>IFERROR(IF(SUMIFS(tblDaily[Discharges],tblDaily[EntryDate],DATE(2026,10,14),tblDaily[WardCode],"FAE")=0,"",SUMIFS(tblDaily[Discharges],tblDaily[EntryDate],DATE(2026,10,14),tblDaily[WardCode],"FAE")),"")</f>
        <v/>
      </c>
      <c r="K381" s="14" t="str">
        <f>IFERROR(IF(SUMIFS(tblDaily[Deaths],tblDaily[EntryDate],DATE(2026,10,14),tblDaily[WardCode],"FAE")=0,"",SUMIFS(tblDaily[Deaths],tblDaily[EntryDate],DATE(2026,10,14),tblDaily[WardCode],"FAE")),"")</f>
        <v/>
      </c>
      <c r="L381" s="14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14" t="str">
        <f>IFERROR(IF(SUMIFS(tblDaily[TransfersIn],tblDaily[EntryDate],DATE(2026,10,14),tblDaily[WardCode],"FAE")=0,"",SUMIFS(tblDaily[TransfersIn],tblDaily[EntryDate],DATE(2026,10,14),tblDaily[WardCode],"FAE")),"")</f>
        <v/>
      </c>
      <c r="N381" s="14" t="str">
        <f>IFERROR(IF(SUMIFS(tblDaily[TransfersOut],tblDaily[EntryDate],DATE(2026,10,14),tblDaily[WardCode],"FAE")=0,"",SUMIFS(tblDaily[TransfersOut],tblDaily[EntryDate],DATE(2026,10,14),tblDaily[WardCode],"FAE")),"")</f>
        <v/>
      </c>
      <c r="O381" s="14" t="str">
        <f>IFERROR(IF(SUMIFS(tblDaily[Remaining],tblDaily[EntryDate],DATE(2026,10,14),tblDaily[WardCode],"FAE")=0,"",SUMIFS(tblDaily[Remaining],tblDaily[EntryDate],DATE(2026,10,14),tblDaily[WardCode],"FAE")),"")</f>
        <v/>
      </c>
      <c r="P381" s="15" t="str">
        <f t="shared" si="9"/>
        <v/>
      </c>
    </row>
    <row r="382" spans="1:16" x14ac:dyDescent="0.25">
      <c r="A382" s="14">
        <v>15</v>
      </c>
      <c r="B382" s="14" t="str">
        <f>IFERROR(IF(SUMIFS(tblDaily[Admissions],tblDaily[EntryDate],DATE(2026,10,15),tblDaily[WardCode],"MAE")=0,"",SUMIFS(tblDaily[Admissions],tblDaily[EntryDate],DATE(2026,10,15),tblDaily[WardCode],"MAE")),"")</f>
        <v/>
      </c>
      <c r="C382" s="14" t="str">
        <f>IFERROR(IF(SUMIFS(tblDaily[Discharges],tblDaily[EntryDate],DATE(2026,10,15),tblDaily[WardCode],"MAE")=0,"",SUMIFS(tblDaily[Discharges],tblDaily[EntryDate],DATE(2026,10,15),tblDaily[WardCode],"MAE")),"")</f>
        <v/>
      </c>
      <c r="D382" s="14" t="str">
        <f>IFERROR(IF(SUMIFS(tblDaily[Deaths],tblDaily[EntryDate],DATE(2026,10,15),tblDaily[WardCode],"MAE")=0,"",SUMIFS(tblDaily[Deaths],tblDaily[EntryDate],DATE(2026,10,15),tblDaily[WardCode],"MAE")),"")</f>
        <v/>
      </c>
      <c r="E382" s="1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14" t="str">
        <f>IFERROR(IF(SUMIFS(tblDaily[TransfersIn],tblDaily[EntryDate],DATE(2026,10,15),tblDaily[WardCode],"MAE")=0,"",SUMIFS(tblDaily[TransfersIn],tblDaily[EntryDate],DATE(2026,10,15),tblDaily[WardCode],"MAE")),"")</f>
        <v/>
      </c>
      <c r="G382" s="14" t="str">
        <f>IFERROR(IF(SUMIFS(tblDaily[TransfersOut],tblDaily[EntryDate],DATE(2026,10,15),tblDaily[WardCode],"MAE")=0,"",SUMIFS(tblDaily[TransfersOut],tblDaily[EntryDate],DATE(2026,10,15),tblDaily[WardCode],"MAE")),"")</f>
        <v/>
      </c>
      <c r="H382" s="14" t="str">
        <f>IFERROR(IF(SUMIFS(tblDaily[Remaining],tblDaily[EntryDate],DATE(2026,10,15),tblDaily[WardCode],"MAE")=0,"",SUMIFS(tblDaily[Remaining],tblDaily[EntryDate],DATE(2026,10,15),tblDaily[WardCode],"MAE")),"")</f>
        <v/>
      </c>
      <c r="I382" s="14" t="str">
        <f>IFERROR(IF(SUMIFS(tblDaily[Admissions],tblDaily[EntryDate],DATE(2026,10,15),tblDaily[WardCode],"FAE")=0,"",SUMIFS(tblDaily[Admissions],tblDaily[EntryDate],DATE(2026,10,15),tblDaily[WardCode],"FAE")),"")</f>
        <v/>
      </c>
      <c r="J382" s="14" t="str">
        <f>IFERROR(IF(SUMIFS(tblDaily[Discharges],tblDaily[EntryDate],DATE(2026,10,15),tblDaily[WardCode],"FAE")=0,"",SUMIFS(tblDaily[Discharges],tblDaily[EntryDate],DATE(2026,10,15),tblDaily[WardCode],"FAE")),"")</f>
        <v/>
      </c>
      <c r="K382" s="14" t="str">
        <f>IFERROR(IF(SUMIFS(tblDaily[Deaths],tblDaily[EntryDate],DATE(2026,10,15),tblDaily[WardCode],"FAE")=0,"",SUMIFS(tblDaily[Deaths],tblDaily[EntryDate],DATE(2026,10,15),tblDaily[WardCode],"FAE")),"")</f>
        <v/>
      </c>
      <c r="L382" s="14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14" t="str">
        <f>IFERROR(IF(SUMIFS(tblDaily[TransfersIn],tblDaily[EntryDate],DATE(2026,10,15),tblDaily[WardCode],"FAE")=0,"",SUMIFS(tblDaily[TransfersIn],tblDaily[EntryDate],DATE(2026,10,15),tblDaily[WardCode],"FAE")),"")</f>
        <v/>
      </c>
      <c r="N382" s="14" t="str">
        <f>IFERROR(IF(SUMIFS(tblDaily[TransfersOut],tblDaily[EntryDate],DATE(2026,10,15),tblDaily[WardCode],"FAE")=0,"",SUMIFS(tblDaily[TransfersOut],tblDaily[EntryDate],DATE(2026,10,15),tblDaily[WardCode],"FAE")),"")</f>
        <v/>
      </c>
      <c r="O382" s="14" t="str">
        <f>IFERROR(IF(SUMIFS(tblDaily[Remaining],tblDaily[EntryDate],DATE(2026,10,15),tblDaily[WardCode],"FAE")=0,"",SUMIFS(tblDaily[Remaining],tblDaily[EntryDate],DATE(2026,10,15),tblDaily[WardCode],"FAE")),"")</f>
        <v/>
      </c>
      <c r="P382" s="15" t="str">
        <f t="shared" si="9"/>
        <v/>
      </c>
    </row>
    <row r="383" spans="1:16" x14ac:dyDescent="0.25">
      <c r="A383" s="14">
        <v>16</v>
      </c>
      <c r="B383" s="14" t="str">
        <f>IFERROR(IF(SUMIFS(tblDaily[Admissions],tblDaily[EntryDate],DATE(2026,10,16),tblDaily[WardCode],"MAE")=0,"",SUMIFS(tblDaily[Admissions],tblDaily[EntryDate],DATE(2026,10,16),tblDaily[WardCode],"MAE")),"")</f>
        <v/>
      </c>
      <c r="C383" s="14" t="str">
        <f>IFERROR(IF(SUMIFS(tblDaily[Discharges],tblDaily[EntryDate],DATE(2026,10,16),tblDaily[WardCode],"MAE")=0,"",SUMIFS(tblDaily[Discharges],tblDaily[EntryDate],DATE(2026,10,16),tblDaily[WardCode],"MAE")),"")</f>
        <v/>
      </c>
      <c r="D383" s="14" t="str">
        <f>IFERROR(IF(SUMIFS(tblDaily[Deaths],tblDaily[EntryDate],DATE(2026,10,16),tblDaily[WardCode],"MAE")=0,"",SUMIFS(tblDaily[Deaths],tblDaily[EntryDate],DATE(2026,10,16),tblDaily[WardCode],"MAE")),"")</f>
        <v/>
      </c>
      <c r="E383" s="1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14" t="str">
        <f>IFERROR(IF(SUMIFS(tblDaily[TransfersIn],tblDaily[EntryDate],DATE(2026,10,16),tblDaily[WardCode],"MAE")=0,"",SUMIFS(tblDaily[TransfersIn],tblDaily[EntryDate],DATE(2026,10,16),tblDaily[WardCode],"MAE")),"")</f>
        <v/>
      </c>
      <c r="G383" s="14" t="str">
        <f>IFERROR(IF(SUMIFS(tblDaily[TransfersOut],tblDaily[EntryDate],DATE(2026,10,16),tblDaily[WardCode],"MAE")=0,"",SUMIFS(tblDaily[TransfersOut],tblDaily[EntryDate],DATE(2026,10,16),tblDaily[WardCode],"MAE")),"")</f>
        <v/>
      </c>
      <c r="H383" s="14" t="str">
        <f>IFERROR(IF(SUMIFS(tblDaily[Remaining],tblDaily[EntryDate],DATE(2026,10,16),tblDaily[WardCode],"MAE")=0,"",SUMIFS(tblDaily[Remaining],tblDaily[EntryDate],DATE(2026,10,16),tblDaily[WardCode],"MAE")),"")</f>
        <v/>
      </c>
      <c r="I383" s="14" t="str">
        <f>IFERROR(IF(SUMIFS(tblDaily[Admissions],tblDaily[EntryDate],DATE(2026,10,16),tblDaily[WardCode],"FAE")=0,"",SUMIFS(tblDaily[Admissions],tblDaily[EntryDate],DATE(2026,10,16),tblDaily[WardCode],"FAE")),"")</f>
        <v/>
      </c>
      <c r="J383" s="14" t="str">
        <f>IFERROR(IF(SUMIFS(tblDaily[Discharges],tblDaily[EntryDate],DATE(2026,10,16),tblDaily[WardCode],"FAE")=0,"",SUMIFS(tblDaily[Discharges],tblDaily[EntryDate],DATE(2026,10,16),tblDaily[WardCode],"FAE")),"")</f>
        <v/>
      </c>
      <c r="K383" s="14" t="str">
        <f>IFERROR(IF(SUMIFS(tblDaily[Deaths],tblDaily[EntryDate],DATE(2026,10,16),tblDaily[WardCode],"FAE")=0,"",SUMIFS(tblDaily[Deaths],tblDaily[EntryDate],DATE(2026,10,16),tblDaily[WardCode],"FAE")),"")</f>
        <v/>
      </c>
      <c r="L383" s="14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14" t="str">
        <f>IFERROR(IF(SUMIFS(tblDaily[TransfersIn],tblDaily[EntryDate],DATE(2026,10,16),tblDaily[WardCode],"FAE")=0,"",SUMIFS(tblDaily[TransfersIn],tblDaily[EntryDate],DATE(2026,10,16),tblDaily[WardCode],"FAE")),"")</f>
        <v/>
      </c>
      <c r="N383" s="14" t="str">
        <f>IFERROR(IF(SUMIFS(tblDaily[TransfersOut],tblDaily[EntryDate],DATE(2026,10,16),tblDaily[WardCode],"FAE")=0,"",SUMIFS(tblDaily[TransfersOut],tblDaily[EntryDate],DATE(2026,10,16),tblDaily[WardCode],"FAE")),"")</f>
        <v/>
      </c>
      <c r="O383" s="14" t="str">
        <f>IFERROR(IF(SUMIFS(tblDaily[Remaining],tblDaily[EntryDate],DATE(2026,10,16),tblDaily[WardCode],"FAE")=0,"",SUMIFS(tblDaily[Remaining],tblDaily[EntryDate],DATE(2026,10,16),tblDaily[WardCode],"FAE")),"")</f>
        <v/>
      </c>
      <c r="P383" s="15" t="str">
        <f t="shared" si="9"/>
        <v/>
      </c>
    </row>
    <row r="384" spans="1:16" x14ac:dyDescent="0.25">
      <c r="A384" s="14">
        <v>17</v>
      </c>
      <c r="B384" s="14" t="str">
        <f>IFERROR(IF(SUMIFS(tblDaily[Admissions],tblDaily[EntryDate],DATE(2026,10,17),tblDaily[WardCode],"MAE")=0,"",SUMIFS(tblDaily[Admissions],tblDaily[EntryDate],DATE(2026,10,17),tblDaily[WardCode],"MAE")),"")</f>
        <v/>
      </c>
      <c r="C384" s="14" t="str">
        <f>IFERROR(IF(SUMIFS(tblDaily[Discharges],tblDaily[EntryDate],DATE(2026,10,17),tblDaily[WardCode],"MAE")=0,"",SUMIFS(tblDaily[Discharges],tblDaily[EntryDate],DATE(2026,10,17),tblDaily[WardCode],"MAE")),"")</f>
        <v/>
      </c>
      <c r="D384" s="14" t="str">
        <f>IFERROR(IF(SUMIFS(tblDaily[Deaths],tblDaily[EntryDate],DATE(2026,10,17),tblDaily[WardCode],"MAE")=0,"",SUMIFS(tblDaily[Deaths],tblDaily[EntryDate],DATE(2026,10,17),tblDaily[WardCode],"MAE")),"")</f>
        <v/>
      </c>
      <c r="E384" s="1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14" t="str">
        <f>IFERROR(IF(SUMIFS(tblDaily[TransfersIn],tblDaily[EntryDate],DATE(2026,10,17),tblDaily[WardCode],"MAE")=0,"",SUMIFS(tblDaily[TransfersIn],tblDaily[EntryDate],DATE(2026,10,17),tblDaily[WardCode],"MAE")),"")</f>
        <v/>
      </c>
      <c r="G384" s="14" t="str">
        <f>IFERROR(IF(SUMIFS(tblDaily[TransfersOut],tblDaily[EntryDate],DATE(2026,10,17),tblDaily[WardCode],"MAE")=0,"",SUMIFS(tblDaily[TransfersOut],tblDaily[EntryDate],DATE(2026,10,17),tblDaily[WardCode],"MAE")),"")</f>
        <v/>
      </c>
      <c r="H384" s="14" t="str">
        <f>IFERROR(IF(SUMIFS(tblDaily[Remaining],tblDaily[EntryDate],DATE(2026,10,17),tblDaily[WardCode],"MAE")=0,"",SUMIFS(tblDaily[Remaining],tblDaily[EntryDate],DATE(2026,10,17),tblDaily[WardCode],"MAE")),"")</f>
        <v/>
      </c>
      <c r="I384" s="14" t="str">
        <f>IFERROR(IF(SUMIFS(tblDaily[Admissions],tblDaily[EntryDate],DATE(2026,10,17),tblDaily[WardCode],"FAE")=0,"",SUMIFS(tblDaily[Admissions],tblDaily[EntryDate],DATE(2026,10,17),tblDaily[WardCode],"FAE")),"")</f>
        <v/>
      </c>
      <c r="J384" s="14" t="str">
        <f>IFERROR(IF(SUMIFS(tblDaily[Discharges],tblDaily[EntryDate],DATE(2026,10,17),tblDaily[WardCode],"FAE")=0,"",SUMIFS(tblDaily[Discharges],tblDaily[EntryDate],DATE(2026,10,17),tblDaily[WardCode],"FAE")),"")</f>
        <v/>
      </c>
      <c r="K384" s="14" t="str">
        <f>IFERROR(IF(SUMIFS(tblDaily[Deaths],tblDaily[EntryDate],DATE(2026,10,17),tblDaily[WardCode],"FAE")=0,"",SUMIFS(tblDaily[Deaths],tblDaily[EntryDate],DATE(2026,10,17),tblDaily[WardCode],"FAE")),"")</f>
        <v/>
      </c>
      <c r="L384" s="14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14" t="str">
        <f>IFERROR(IF(SUMIFS(tblDaily[TransfersIn],tblDaily[EntryDate],DATE(2026,10,17),tblDaily[WardCode],"FAE")=0,"",SUMIFS(tblDaily[TransfersIn],tblDaily[EntryDate],DATE(2026,10,17),tblDaily[WardCode],"FAE")),"")</f>
        <v/>
      </c>
      <c r="N384" s="14" t="str">
        <f>IFERROR(IF(SUMIFS(tblDaily[TransfersOut],tblDaily[EntryDate],DATE(2026,10,17),tblDaily[WardCode],"FAE")=0,"",SUMIFS(tblDaily[TransfersOut],tblDaily[EntryDate],DATE(2026,10,17),tblDaily[WardCode],"FAE")),"")</f>
        <v/>
      </c>
      <c r="O384" s="14" t="str">
        <f>IFERROR(IF(SUMIFS(tblDaily[Remaining],tblDaily[EntryDate],DATE(2026,10,17),tblDaily[WardCode],"FAE")=0,"",SUMIFS(tblDaily[Remaining],tblDaily[EntryDate],DATE(2026,10,17),tblDaily[WardCode],"FAE")),"")</f>
        <v/>
      </c>
      <c r="P384" s="15" t="str">
        <f t="shared" si="9"/>
        <v/>
      </c>
    </row>
    <row r="385" spans="1:16" x14ac:dyDescent="0.25">
      <c r="A385" s="14">
        <v>18</v>
      </c>
      <c r="B385" s="14" t="str">
        <f>IFERROR(IF(SUMIFS(tblDaily[Admissions],tblDaily[EntryDate],DATE(2026,10,18),tblDaily[WardCode],"MAE")=0,"",SUMIFS(tblDaily[Admissions],tblDaily[EntryDate],DATE(2026,10,18),tblDaily[WardCode],"MAE")),"")</f>
        <v/>
      </c>
      <c r="C385" s="14" t="str">
        <f>IFERROR(IF(SUMIFS(tblDaily[Discharges],tblDaily[EntryDate],DATE(2026,10,18),tblDaily[WardCode],"MAE")=0,"",SUMIFS(tblDaily[Discharges],tblDaily[EntryDate],DATE(2026,10,18),tblDaily[WardCode],"MAE")),"")</f>
        <v/>
      </c>
      <c r="D385" s="14" t="str">
        <f>IFERROR(IF(SUMIFS(tblDaily[Deaths],tblDaily[EntryDate],DATE(2026,10,18),tblDaily[WardCode],"MAE")=0,"",SUMIFS(tblDaily[Deaths],tblDaily[EntryDate],DATE(2026,10,18),tblDaily[WardCode],"MAE")),"")</f>
        <v/>
      </c>
      <c r="E385" s="1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14" t="str">
        <f>IFERROR(IF(SUMIFS(tblDaily[TransfersIn],tblDaily[EntryDate],DATE(2026,10,18),tblDaily[WardCode],"MAE")=0,"",SUMIFS(tblDaily[TransfersIn],tblDaily[EntryDate],DATE(2026,10,18),tblDaily[WardCode],"MAE")),"")</f>
        <v/>
      </c>
      <c r="G385" s="14" t="str">
        <f>IFERROR(IF(SUMIFS(tblDaily[TransfersOut],tblDaily[EntryDate],DATE(2026,10,18),tblDaily[WardCode],"MAE")=0,"",SUMIFS(tblDaily[TransfersOut],tblDaily[EntryDate],DATE(2026,10,18),tblDaily[WardCode],"MAE")),"")</f>
        <v/>
      </c>
      <c r="H385" s="14" t="str">
        <f>IFERROR(IF(SUMIFS(tblDaily[Remaining],tblDaily[EntryDate],DATE(2026,10,18),tblDaily[WardCode],"MAE")=0,"",SUMIFS(tblDaily[Remaining],tblDaily[EntryDate],DATE(2026,10,18),tblDaily[WardCode],"MAE")),"")</f>
        <v/>
      </c>
      <c r="I385" s="14" t="str">
        <f>IFERROR(IF(SUMIFS(tblDaily[Admissions],tblDaily[EntryDate],DATE(2026,10,18),tblDaily[WardCode],"FAE")=0,"",SUMIFS(tblDaily[Admissions],tblDaily[EntryDate],DATE(2026,10,18),tblDaily[WardCode],"FAE")),"")</f>
        <v/>
      </c>
      <c r="J385" s="14" t="str">
        <f>IFERROR(IF(SUMIFS(tblDaily[Discharges],tblDaily[EntryDate],DATE(2026,10,18),tblDaily[WardCode],"FAE")=0,"",SUMIFS(tblDaily[Discharges],tblDaily[EntryDate],DATE(2026,10,18),tblDaily[WardCode],"FAE")),"")</f>
        <v/>
      </c>
      <c r="K385" s="14" t="str">
        <f>IFERROR(IF(SUMIFS(tblDaily[Deaths],tblDaily[EntryDate],DATE(2026,10,18),tblDaily[WardCode],"FAE")=0,"",SUMIFS(tblDaily[Deaths],tblDaily[EntryDate],DATE(2026,10,18),tblDaily[WardCode],"FAE")),"")</f>
        <v/>
      </c>
      <c r="L385" s="14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14" t="str">
        <f>IFERROR(IF(SUMIFS(tblDaily[TransfersIn],tblDaily[EntryDate],DATE(2026,10,18),tblDaily[WardCode],"FAE")=0,"",SUMIFS(tblDaily[TransfersIn],tblDaily[EntryDate],DATE(2026,10,18),tblDaily[WardCode],"FAE")),"")</f>
        <v/>
      </c>
      <c r="N385" s="14" t="str">
        <f>IFERROR(IF(SUMIFS(tblDaily[TransfersOut],tblDaily[EntryDate],DATE(2026,10,18),tblDaily[WardCode],"FAE")=0,"",SUMIFS(tblDaily[TransfersOut],tblDaily[EntryDate],DATE(2026,10,18),tblDaily[WardCode],"FAE")),"")</f>
        <v/>
      </c>
      <c r="O385" s="14" t="str">
        <f>IFERROR(IF(SUMIFS(tblDaily[Remaining],tblDaily[EntryDate],DATE(2026,10,18),tblDaily[WardCode],"FAE")=0,"",SUMIFS(tblDaily[Remaining],tblDaily[EntryDate],DATE(2026,10,18),tblDaily[WardCode],"FAE")),"")</f>
        <v/>
      </c>
      <c r="P385" s="15" t="str">
        <f t="shared" si="9"/>
        <v/>
      </c>
    </row>
    <row r="386" spans="1:16" x14ac:dyDescent="0.25">
      <c r="A386" s="14">
        <v>19</v>
      </c>
      <c r="B386" s="14" t="str">
        <f>IFERROR(IF(SUMIFS(tblDaily[Admissions],tblDaily[EntryDate],DATE(2026,10,19),tblDaily[WardCode],"MAE")=0,"",SUMIFS(tblDaily[Admissions],tblDaily[EntryDate],DATE(2026,10,19),tblDaily[WardCode],"MAE")),"")</f>
        <v/>
      </c>
      <c r="C386" s="14" t="str">
        <f>IFERROR(IF(SUMIFS(tblDaily[Discharges],tblDaily[EntryDate],DATE(2026,10,19),tblDaily[WardCode],"MAE")=0,"",SUMIFS(tblDaily[Discharges],tblDaily[EntryDate],DATE(2026,10,19),tblDaily[WardCode],"MAE")),"")</f>
        <v/>
      </c>
      <c r="D386" s="14" t="str">
        <f>IFERROR(IF(SUMIFS(tblDaily[Deaths],tblDaily[EntryDate],DATE(2026,10,19),tblDaily[WardCode],"MAE")=0,"",SUMIFS(tblDaily[Deaths],tblDaily[EntryDate],DATE(2026,10,19),tblDaily[WardCode],"MAE")),"")</f>
        <v/>
      </c>
      <c r="E386" s="1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14" t="str">
        <f>IFERROR(IF(SUMIFS(tblDaily[TransfersIn],tblDaily[EntryDate],DATE(2026,10,19),tblDaily[WardCode],"MAE")=0,"",SUMIFS(tblDaily[TransfersIn],tblDaily[EntryDate],DATE(2026,10,19),tblDaily[WardCode],"MAE")),"")</f>
        <v/>
      </c>
      <c r="G386" s="14" t="str">
        <f>IFERROR(IF(SUMIFS(tblDaily[TransfersOut],tblDaily[EntryDate],DATE(2026,10,19),tblDaily[WardCode],"MAE")=0,"",SUMIFS(tblDaily[TransfersOut],tblDaily[EntryDate],DATE(2026,10,19),tblDaily[WardCode],"MAE")),"")</f>
        <v/>
      </c>
      <c r="H386" s="14" t="str">
        <f>IFERROR(IF(SUMIFS(tblDaily[Remaining],tblDaily[EntryDate],DATE(2026,10,19),tblDaily[WardCode],"MAE")=0,"",SUMIFS(tblDaily[Remaining],tblDaily[EntryDate],DATE(2026,10,19),tblDaily[WardCode],"MAE")),"")</f>
        <v/>
      </c>
      <c r="I386" s="14" t="str">
        <f>IFERROR(IF(SUMIFS(tblDaily[Admissions],tblDaily[EntryDate],DATE(2026,10,19),tblDaily[WardCode],"FAE")=0,"",SUMIFS(tblDaily[Admissions],tblDaily[EntryDate],DATE(2026,10,19),tblDaily[WardCode],"FAE")),"")</f>
        <v/>
      </c>
      <c r="J386" s="14" t="str">
        <f>IFERROR(IF(SUMIFS(tblDaily[Discharges],tblDaily[EntryDate],DATE(2026,10,19),tblDaily[WardCode],"FAE")=0,"",SUMIFS(tblDaily[Discharges],tblDaily[EntryDate],DATE(2026,10,19),tblDaily[WardCode],"FAE")),"")</f>
        <v/>
      </c>
      <c r="K386" s="14" t="str">
        <f>IFERROR(IF(SUMIFS(tblDaily[Deaths],tblDaily[EntryDate],DATE(2026,10,19),tblDaily[WardCode],"FAE")=0,"",SUMIFS(tblDaily[Deaths],tblDaily[EntryDate],DATE(2026,10,19),tblDaily[WardCode],"FAE")),"")</f>
        <v/>
      </c>
      <c r="L386" s="14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14" t="str">
        <f>IFERROR(IF(SUMIFS(tblDaily[TransfersIn],tblDaily[EntryDate],DATE(2026,10,19),tblDaily[WardCode],"FAE")=0,"",SUMIFS(tblDaily[TransfersIn],tblDaily[EntryDate],DATE(2026,10,19),tblDaily[WardCode],"FAE")),"")</f>
        <v/>
      </c>
      <c r="N386" s="14" t="str">
        <f>IFERROR(IF(SUMIFS(tblDaily[TransfersOut],tblDaily[EntryDate],DATE(2026,10,19),tblDaily[WardCode],"FAE")=0,"",SUMIFS(tblDaily[TransfersOut],tblDaily[EntryDate],DATE(2026,10,19),tblDaily[WardCode],"FAE")),"")</f>
        <v/>
      </c>
      <c r="O386" s="14" t="str">
        <f>IFERROR(IF(SUMIFS(tblDaily[Remaining],tblDaily[EntryDate],DATE(2026,10,19),tblDaily[WardCode],"FAE")=0,"",SUMIFS(tblDaily[Remaining],tblDaily[EntryDate],DATE(2026,10,19),tblDaily[WardCode],"FAE")),"")</f>
        <v/>
      </c>
      <c r="P386" s="15" t="str">
        <f t="shared" si="9"/>
        <v/>
      </c>
    </row>
    <row r="387" spans="1:16" x14ac:dyDescent="0.25">
      <c r="A387" s="14">
        <v>20</v>
      </c>
      <c r="B387" s="14" t="str">
        <f>IFERROR(IF(SUMIFS(tblDaily[Admissions],tblDaily[EntryDate],DATE(2026,10,20),tblDaily[WardCode],"MAE")=0,"",SUMIFS(tblDaily[Admissions],tblDaily[EntryDate],DATE(2026,10,20),tblDaily[WardCode],"MAE")),"")</f>
        <v/>
      </c>
      <c r="C387" s="14" t="str">
        <f>IFERROR(IF(SUMIFS(tblDaily[Discharges],tblDaily[EntryDate],DATE(2026,10,20),tblDaily[WardCode],"MAE")=0,"",SUMIFS(tblDaily[Discharges],tblDaily[EntryDate],DATE(2026,10,20),tblDaily[WardCode],"MAE")),"")</f>
        <v/>
      </c>
      <c r="D387" s="14" t="str">
        <f>IFERROR(IF(SUMIFS(tblDaily[Deaths],tblDaily[EntryDate],DATE(2026,10,20),tblDaily[WardCode],"MAE")=0,"",SUMIFS(tblDaily[Deaths],tblDaily[EntryDate],DATE(2026,10,20),tblDaily[WardCode],"MAE")),"")</f>
        <v/>
      </c>
      <c r="E387" s="1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14" t="str">
        <f>IFERROR(IF(SUMIFS(tblDaily[TransfersIn],tblDaily[EntryDate],DATE(2026,10,20),tblDaily[WardCode],"MAE")=0,"",SUMIFS(tblDaily[TransfersIn],tblDaily[EntryDate],DATE(2026,10,20),tblDaily[WardCode],"MAE")),"")</f>
        <v/>
      </c>
      <c r="G387" s="14" t="str">
        <f>IFERROR(IF(SUMIFS(tblDaily[TransfersOut],tblDaily[EntryDate],DATE(2026,10,20),tblDaily[WardCode],"MAE")=0,"",SUMIFS(tblDaily[TransfersOut],tblDaily[EntryDate],DATE(2026,10,20),tblDaily[WardCode],"MAE")),"")</f>
        <v/>
      </c>
      <c r="H387" s="14" t="str">
        <f>IFERROR(IF(SUMIFS(tblDaily[Remaining],tblDaily[EntryDate],DATE(2026,10,20),tblDaily[WardCode],"MAE")=0,"",SUMIFS(tblDaily[Remaining],tblDaily[EntryDate],DATE(2026,10,20),tblDaily[WardCode],"MAE")),"")</f>
        <v/>
      </c>
      <c r="I387" s="14" t="str">
        <f>IFERROR(IF(SUMIFS(tblDaily[Admissions],tblDaily[EntryDate],DATE(2026,10,20),tblDaily[WardCode],"FAE")=0,"",SUMIFS(tblDaily[Admissions],tblDaily[EntryDate],DATE(2026,10,20),tblDaily[WardCode],"FAE")),"")</f>
        <v/>
      </c>
      <c r="J387" s="14" t="str">
        <f>IFERROR(IF(SUMIFS(tblDaily[Discharges],tblDaily[EntryDate],DATE(2026,10,20),tblDaily[WardCode],"FAE")=0,"",SUMIFS(tblDaily[Discharges],tblDaily[EntryDate],DATE(2026,10,20),tblDaily[WardCode],"FAE")),"")</f>
        <v/>
      </c>
      <c r="K387" s="14" t="str">
        <f>IFERROR(IF(SUMIFS(tblDaily[Deaths],tblDaily[EntryDate],DATE(2026,10,20),tblDaily[WardCode],"FAE")=0,"",SUMIFS(tblDaily[Deaths],tblDaily[EntryDate],DATE(2026,10,20),tblDaily[WardCode],"FAE")),"")</f>
        <v/>
      </c>
      <c r="L387" s="14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14" t="str">
        <f>IFERROR(IF(SUMIFS(tblDaily[TransfersIn],tblDaily[EntryDate],DATE(2026,10,20),tblDaily[WardCode],"FAE")=0,"",SUMIFS(tblDaily[TransfersIn],tblDaily[EntryDate],DATE(2026,10,20),tblDaily[WardCode],"FAE")),"")</f>
        <v/>
      </c>
      <c r="N387" s="14" t="str">
        <f>IFERROR(IF(SUMIFS(tblDaily[TransfersOut],tblDaily[EntryDate],DATE(2026,10,20),tblDaily[WardCode],"FAE")=0,"",SUMIFS(tblDaily[TransfersOut],tblDaily[EntryDate],DATE(2026,10,20),tblDaily[WardCode],"FAE")),"")</f>
        <v/>
      </c>
      <c r="O387" s="14" t="str">
        <f>IFERROR(IF(SUMIFS(tblDaily[Remaining],tblDaily[EntryDate],DATE(2026,10,20),tblDaily[WardCode],"FAE")=0,"",SUMIFS(tblDaily[Remaining],tblDaily[EntryDate],DATE(2026,10,20),tblDaily[WardCode],"FAE")),"")</f>
        <v/>
      </c>
      <c r="P387" s="15" t="str">
        <f t="shared" si="9"/>
        <v/>
      </c>
    </row>
    <row r="388" spans="1:16" x14ac:dyDescent="0.25">
      <c r="A388" s="14">
        <v>21</v>
      </c>
      <c r="B388" s="14" t="str">
        <f>IFERROR(IF(SUMIFS(tblDaily[Admissions],tblDaily[EntryDate],DATE(2026,10,21),tblDaily[WardCode],"MAE")=0,"",SUMIFS(tblDaily[Admissions],tblDaily[EntryDate],DATE(2026,10,21),tblDaily[WardCode],"MAE")),"")</f>
        <v/>
      </c>
      <c r="C388" s="14" t="str">
        <f>IFERROR(IF(SUMIFS(tblDaily[Discharges],tblDaily[EntryDate],DATE(2026,10,21),tblDaily[WardCode],"MAE")=0,"",SUMIFS(tblDaily[Discharges],tblDaily[EntryDate],DATE(2026,10,21),tblDaily[WardCode],"MAE")),"")</f>
        <v/>
      </c>
      <c r="D388" s="14" t="str">
        <f>IFERROR(IF(SUMIFS(tblDaily[Deaths],tblDaily[EntryDate],DATE(2026,10,21),tblDaily[WardCode],"MAE")=0,"",SUMIFS(tblDaily[Deaths],tblDaily[EntryDate],DATE(2026,10,21),tblDaily[WardCode],"MAE")),"")</f>
        <v/>
      </c>
      <c r="E388" s="1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14" t="str">
        <f>IFERROR(IF(SUMIFS(tblDaily[TransfersIn],tblDaily[EntryDate],DATE(2026,10,21),tblDaily[WardCode],"MAE")=0,"",SUMIFS(tblDaily[TransfersIn],tblDaily[EntryDate],DATE(2026,10,21),tblDaily[WardCode],"MAE")),"")</f>
        <v/>
      </c>
      <c r="G388" s="14" t="str">
        <f>IFERROR(IF(SUMIFS(tblDaily[TransfersOut],tblDaily[EntryDate],DATE(2026,10,21),tblDaily[WardCode],"MAE")=0,"",SUMIFS(tblDaily[TransfersOut],tblDaily[EntryDate],DATE(2026,10,21),tblDaily[WardCode],"MAE")),"")</f>
        <v/>
      </c>
      <c r="H388" s="14" t="str">
        <f>IFERROR(IF(SUMIFS(tblDaily[Remaining],tblDaily[EntryDate],DATE(2026,10,21),tblDaily[WardCode],"MAE")=0,"",SUMIFS(tblDaily[Remaining],tblDaily[EntryDate],DATE(2026,10,21),tblDaily[WardCode],"MAE")),"")</f>
        <v/>
      </c>
      <c r="I388" s="14" t="str">
        <f>IFERROR(IF(SUMIFS(tblDaily[Admissions],tblDaily[EntryDate],DATE(2026,10,21),tblDaily[WardCode],"FAE")=0,"",SUMIFS(tblDaily[Admissions],tblDaily[EntryDate],DATE(2026,10,21),tblDaily[WardCode],"FAE")),"")</f>
        <v/>
      </c>
      <c r="J388" s="14" t="str">
        <f>IFERROR(IF(SUMIFS(tblDaily[Discharges],tblDaily[EntryDate],DATE(2026,10,21),tblDaily[WardCode],"FAE")=0,"",SUMIFS(tblDaily[Discharges],tblDaily[EntryDate],DATE(2026,10,21),tblDaily[WardCode],"FAE")),"")</f>
        <v/>
      </c>
      <c r="K388" s="14" t="str">
        <f>IFERROR(IF(SUMIFS(tblDaily[Deaths],tblDaily[EntryDate],DATE(2026,10,21),tblDaily[WardCode],"FAE")=0,"",SUMIFS(tblDaily[Deaths],tblDaily[EntryDate],DATE(2026,10,21),tblDaily[WardCode],"FAE")),"")</f>
        <v/>
      </c>
      <c r="L388" s="14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14" t="str">
        <f>IFERROR(IF(SUMIFS(tblDaily[TransfersIn],tblDaily[EntryDate],DATE(2026,10,21),tblDaily[WardCode],"FAE")=0,"",SUMIFS(tblDaily[TransfersIn],tblDaily[EntryDate],DATE(2026,10,21),tblDaily[WardCode],"FAE")),"")</f>
        <v/>
      </c>
      <c r="N388" s="14" t="str">
        <f>IFERROR(IF(SUMIFS(tblDaily[TransfersOut],tblDaily[EntryDate],DATE(2026,10,21),tblDaily[WardCode],"FAE")=0,"",SUMIFS(tblDaily[TransfersOut],tblDaily[EntryDate],DATE(2026,10,21),tblDaily[WardCode],"FAE")),"")</f>
        <v/>
      </c>
      <c r="O388" s="14" t="str">
        <f>IFERROR(IF(SUMIFS(tblDaily[Remaining],tblDaily[EntryDate],DATE(2026,10,21),tblDaily[WardCode],"FAE")=0,"",SUMIFS(tblDaily[Remaining],tblDaily[EntryDate],DATE(2026,10,21),tblDaily[WardCode],"FAE")),"")</f>
        <v/>
      </c>
      <c r="P388" s="15" t="str">
        <f t="shared" si="9"/>
        <v/>
      </c>
    </row>
    <row r="389" spans="1:16" x14ac:dyDescent="0.25">
      <c r="A389" s="14">
        <v>22</v>
      </c>
      <c r="B389" s="14" t="str">
        <f>IFERROR(IF(SUMIFS(tblDaily[Admissions],tblDaily[EntryDate],DATE(2026,10,22),tblDaily[WardCode],"MAE")=0,"",SUMIFS(tblDaily[Admissions],tblDaily[EntryDate],DATE(2026,10,22),tblDaily[WardCode],"MAE")),"")</f>
        <v/>
      </c>
      <c r="C389" s="14" t="str">
        <f>IFERROR(IF(SUMIFS(tblDaily[Discharges],tblDaily[EntryDate],DATE(2026,10,22),tblDaily[WardCode],"MAE")=0,"",SUMIFS(tblDaily[Discharges],tblDaily[EntryDate],DATE(2026,10,22),tblDaily[WardCode],"MAE")),"")</f>
        <v/>
      </c>
      <c r="D389" s="14" t="str">
        <f>IFERROR(IF(SUMIFS(tblDaily[Deaths],tblDaily[EntryDate],DATE(2026,10,22),tblDaily[WardCode],"MAE")=0,"",SUMIFS(tblDaily[Deaths],tblDaily[EntryDate],DATE(2026,10,22),tblDaily[WardCode],"MAE")),"")</f>
        <v/>
      </c>
      <c r="E389" s="1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14" t="str">
        <f>IFERROR(IF(SUMIFS(tblDaily[TransfersIn],tblDaily[EntryDate],DATE(2026,10,22),tblDaily[WardCode],"MAE")=0,"",SUMIFS(tblDaily[TransfersIn],tblDaily[EntryDate],DATE(2026,10,22),tblDaily[WardCode],"MAE")),"")</f>
        <v/>
      </c>
      <c r="G389" s="14" t="str">
        <f>IFERROR(IF(SUMIFS(tblDaily[TransfersOut],tblDaily[EntryDate],DATE(2026,10,22),tblDaily[WardCode],"MAE")=0,"",SUMIFS(tblDaily[TransfersOut],tblDaily[EntryDate],DATE(2026,10,22),tblDaily[WardCode],"MAE")),"")</f>
        <v/>
      </c>
      <c r="H389" s="14" t="str">
        <f>IFERROR(IF(SUMIFS(tblDaily[Remaining],tblDaily[EntryDate],DATE(2026,10,22),tblDaily[WardCode],"MAE")=0,"",SUMIFS(tblDaily[Remaining],tblDaily[EntryDate],DATE(2026,10,22),tblDaily[WardCode],"MAE")),"")</f>
        <v/>
      </c>
      <c r="I389" s="14" t="str">
        <f>IFERROR(IF(SUMIFS(tblDaily[Admissions],tblDaily[EntryDate],DATE(2026,10,22),tblDaily[WardCode],"FAE")=0,"",SUMIFS(tblDaily[Admissions],tblDaily[EntryDate],DATE(2026,10,22),tblDaily[WardCode],"FAE")),"")</f>
        <v/>
      </c>
      <c r="J389" s="14" t="str">
        <f>IFERROR(IF(SUMIFS(tblDaily[Discharges],tblDaily[EntryDate],DATE(2026,10,22),tblDaily[WardCode],"FAE")=0,"",SUMIFS(tblDaily[Discharges],tblDaily[EntryDate],DATE(2026,10,22),tblDaily[WardCode],"FAE")),"")</f>
        <v/>
      </c>
      <c r="K389" s="14" t="str">
        <f>IFERROR(IF(SUMIFS(tblDaily[Deaths],tblDaily[EntryDate],DATE(2026,10,22),tblDaily[WardCode],"FAE")=0,"",SUMIFS(tblDaily[Deaths],tblDaily[EntryDate],DATE(2026,10,22),tblDaily[WardCode],"FAE")),"")</f>
        <v/>
      </c>
      <c r="L389" s="14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14" t="str">
        <f>IFERROR(IF(SUMIFS(tblDaily[TransfersIn],tblDaily[EntryDate],DATE(2026,10,22),tblDaily[WardCode],"FAE")=0,"",SUMIFS(tblDaily[TransfersIn],tblDaily[EntryDate],DATE(2026,10,22),tblDaily[WardCode],"FAE")),"")</f>
        <v/>
      </c>
      <c r="N389" s="14" t="str">
        <f>IFERROR(IF(SUMIFS(tblDaily[TransfersOut],tblDaily[EntryDate],DATE(2026,10,22),tblDaily[WardCode],"FAE")=0,"",SUMIFS(tblDaily[TransfersOut],tblDaily[EntryDate],DATE(2026,10,22),tblDaily[WardCode],"FAE")),"")</f>
        <v/>
      </c>
      <c r="O389" s="14" t="str">
        <f>IFERROR(IF(SUMIFS(tblDaily[Remaining],tblDaily[EntryDate],DATE(2026,10,22),tblDaily[WardCode],"FAE")=0,"",SUMIFS(tblDaily[Remaining],tblDaily[EntryDate],DATE(2026,10,22),tblDaily[WardCode],"FAE")),"")</f>
        <v/>
      </c>
      <c r="P389" s="15" t="str">
        <f t="shared" si="9"/>
        <v/>
      </c>
    </row>
    <row r="390" spans="1:16" x14ac:dyDescent="0.25">
      <c r="A390" s="14">
        <v>23</v>
      </c>
      <c r="B390" s="14" t="str">
        <f>IFERROR(IF(SUMIFS(tblDaily[Admissions],tblDaily[EntryDate],DATE(2026,10,23),tblDaily[WardCode],"MAE")=0,"",SUMIFS(tblDaily[Admissions],tblDaily[EntryDate],DATE(2026,10,23),tblDaily[WardCode],"MAE")),"")</f>
        <v/>
      </c>
      <c r="C390" s="14" t="str">
        <f>IFERROR(IF(SUMIFS(tblDaily[Discharges],tblDaily[EntryDate],DATE(2026,10,23),tblDaily[WardCode],"MAE")=0,"",SUMIFS(tblDaily[Discharges],tblDaily[EntryDate],DATE(2026,10,23),tblDaily[WardCode],"MAE")),"")</f>
        <v/>
      </c>
      <c r="D390" s="14" t="str">
        <f>IFERROR(IF(SUMIFS(tblDaily[Deaths],tblDaily[EntryDate],DATE(2026,10,23),tblDaily[WardCode],"MAE")=0,"",SUMIFS(tblDaily[Deaths],tblDaily[EntryDate],DATE(2026,10,23),tblDaily[WardCode],"MAE")),"")</f>
        <v/>
      </c>
      <c r="E390" s="1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14" t="str">
        <f>IFERROR(IF(SUMIFS(tblDaily[TransfersIn],tblDaily[EntryDate],DATE(2026,10,23),tblDaily[WardCode],"MAE")=0,"",SUMIFS(tblDaily[TransfersIn],tblDaily[EntryDate],DATE(2026,10,23),tblDaily[WardCode],"MAE")),"")</f>
        <v/>
      </c>
      <c r="G390" s="14" t="str">
        <f>IFERROR(IF(SUMIFS(tblDaily[TransfersOut],tblDaily[EntryDate],DATE(2026,10,23),tblDaily[WardCode],"MAE")=0,"",SUMIFS(tblDaily[TransfersOut],tblDaily[EntryDate],DATE(2026,10,23),tblDaily[WardCode],"MAE")),"")</f>
        <v/>
      </c>
      <c r="H390" s="14" t="str">
        <f>IFERROR(IF(SUMIFS(tblDaily[Remaining],tblDaily[EntryDate],DATE(2026,10,23),tblDaily[WardCode],"MAE")=0,"",SUMIFS(tblDaily[Remaining],tblDaily[EntryDate],DATE(2026,10,23),tblDaily[WardCode],"MAE")),"")</f>
        <v/>
      </c>
      <c r="I390" s="14" t="str">
        <f>IFERROR(IF(SUMIFS(tblDaily[Admissions],tblDaily[EntryDate],DATE(2026,10,23),tblDaily[WardCode],"FAE")=0,"",SUMIFS(tblDaily[Admissions],tblDaily[EntryDate],DATE(2026,10,23),tblDaily[WardCode],"FAE")),"")</f>
        <v/>
      </c>
      <c r="J390" s="14" t="str">
        <f>IFERROR(IF(SUMIFS(tblDaily[Discharges],tblDaily[EntryDate],DATE(2026,10,23),tblDaily[WardCode],"FAE")=0,"",SUMIFS(tblDaily[Discharges],tblDaily[EntryDate],DATE(2026,10,23),tblDaily[WardCode],"FAE")),"")</f>
        <v/>
      </c>
      <c r="K390" s="14" t="str">
        <f>IFERROR(IF(SUMIFS(tblDaily[Deaths],tblDaily[EntryDate],DATE(2026,10,23),tblDaily[WardCode],"FAE")=0,"",SUMIFS(tblDaily[Deaths],tblDaily[EntryDate],DATE(2026,10,23),tblDaily[WardCode],"FAE")),"")</f>
        <v/>
      </c>
      <c r="L390" s="14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14" t="str">
        <f>IFERROR(IF(SUMIFS(tblDaily[TransfersIn],tblDaily[EntryDate],DATE(2026,10,23),tblDaily[WardCode],"FAE")=0,"",SUMIFS(tblDaily[TransfersIn],tblDaily[EntryDate],DATE(2026,10,23),tblDaily[WardCode],"FAE")),"")</f>
        <v/>
      </c>
      <c r="N390" s="14" t="str">
        <f>IFERROR(IF(SUMIFS(tblDaily[TransfersOut],tblDaily[EntryDate],DATE(2026,10,23),tblDaily[WardCode],"FAE")=0,"",SUMIFS(tblDaily[TransfersOut],tblDaily[EntryDate],DATE(2026,10,23),tblDaily[WardCode],"FAE")),"")</f>
        <v/>
      </c>
      <c r="O390" s="14" t="str">
        <f>IFERROR(IF(SUMIFS(tblDaily[Remaining],tblDaily[EntryDate],DATE(2026,10,23),tblDaily[WardCode],"FAE")=0,"",SUMIFS(tblDaily[Remaining],tblDaily[EntryDate],DATE(2026,10,23),tblDaily[WardCode],"FAE")),"")</f>
        <v/>
      </c>
      <c r="P390" s="15" t="str">
        <f t="shared" si="9"/>
        <v/>
      </c>
    </row>
    <row r="391" spans="1:16" x14ac:dyDescent="0.25">
      <c r="A391" s="14">
        <v>24</v>
      </c>
      <c r="B391" s="14" t="str">
        <f>IFERROR(IF(SUMIFS(tblDaily[Admissions],tblDaily[EntryDate],DATE(2026,10,24),tblDaily[WardCode],"MAE")=0,"",SUMIFS(tblDaily[Admissions],tblDaily[EntryDate],DATE(2026,10,24),tblDaily[WardCode],"MAE")),"")</f>
        <v/>
      </c>
      <c r="C391" s="14" t="str">
        <f>IFERROR(IF(SUMIFS(tblDaily[Discharges],tblDaily[EntryDate],DATE(2026,10,24),tblDaily[WardCode],"MAE")=0,"",SUMIFS(tblDaily[Discharges],tblDaily[EntryDate],DATE(2026,10,24),tblDaily[WardCode],"MAE")),"")</f>
        <v/>
      </c>
      <c r="D391" s="14" t="str">
        <f>IFERROR(IF(SUMIFS(tblDaily[Deaths],tblDaily[EntryDate],DATE(2026,10,24),tblDaily[WardCode],"MAE")=0,"",SUMIFS(tblDaily[Deaths],tblDaily[EntryDate],DATE(2026,10,24),tblDaily[WardCode],"MAE")),"")</f>
        <v/>
      </c>
      <c r="E391" s="1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14" t="str">
        <f>IFERROR(IF(SUMIFS(tblDaily[TransfersIn],tblDaily[EntryDate],DATE(2026,10,24),tblDaily[WardCode],"MAE")=0,"",SUMIFS(tblDaily[TransfersIn],tblDaily[EntryDate],DATE(2026,10,24),tblDaily[WardCode],"MAE")),"")</f>
        <v/>
      </c>
      <c r="G391" s="14" t="str">
        <f>IFERROR(IF(SUMIFS(tblDaily[TransfersOut],tblDaily[EntryDate],DATE(2026,10,24),tblDaily[WardCode],"MAE")=0,"",SUMIFS(tblDaily[TransfersOut],tblDaily[EntryDate],DATE(2026,10,24),tblDaily[WardCode],"MAE")),"")</f>
        <v/>
      </c>
      <c r="H391" s="14" t="str">
        <f>IFERROR(IF(SUMIFS(tblDaily[Remaining],tblDaily[EntryDate],DATE(2026,10,24),tblDaily[WardCode],"MAE")=0,"",SUMIFS(tblDaily[Remaining],tblDaily[EntryDate],DATE(2026,10,24),tblDaily[WardCode],"MAE")),"")</f>
        <v/>
      </c>
      <c r="I391" s="14" t="str">
        <f>IFERROR(IF(SUMIFS(tblDaily[Admissions],tblDaily[EntryDate],DATE(2026,10,24),tblDaily[WardCode],"FAE")=0,"",SUMIFS(tblDaily[Admissions],tblDaily[EntryDate],DATE(2026,10,24),tblDaily[WardCode],"FAE")),"")</f>
        <v/>
      </c>
      <c r="J391" s="14" t="str">
        <f>IFERROR(IF(SUMIFS(tblDaily[Discharges],tblDaily[EntryDate],DATE(2026,10,24),tblDaily[WardCode],"FAE")=0,"",SUMIFS(tblDaily[Discharges],tblDaily[EntryDate],DATE(2026,10,24),tblDaily[WardCode],"FAE")),"")</f>
        <v/>
      </c>
      <c r="K391" s="14" t="str">
        <f>IFERROR(IF(SUMIFS(tblDaily[Deaths],tblDaily[EntryDate],DATE(2026,10,24),tblDaily[WardCode],"FAE")=0,"",SUMIFS(tblDaily[Deaths],tblDaily[EntryDate],DATE(2026,10,24),tblDaily[WardCode],"FAE")),"")</f>
        <v/>
      </c>
      <c r="L391" s="14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14" t="str">
        <f>IFERROR(IF(SUMIFS(tblDaily[TransfersIn],tblDaily[EntryDate],DATE(2026,10,24),tblDaily[WardCode],"FAE")=0,"",SUMIFS(tblDaily[TransfersIn],tblDaily[EntryDate],DATE(2026,10,24),tblDaily[WardCode],"FAE")),"")</f>
        <v/>
      </c>
      <c r="N391" s="14" t="str">
        <f>IFERROR(IF(SUMIFS(tblDaily[TransfersOut],tblDaily[EntryDate],DATE(2026,10,24),tblDaily[WardCode],"FAE")=0,"",SUMIFS(tblDaily[TransfersOut],tblDaily[EntryDate],DATE(2026,10,24),tblDaily[WardCode],"FAE")),"")</f>
        <v/>
      </c>
      <c r="O391" s="14" t="str">
        <f>IFERROR(IF(SUMIFS(tblDaily[Remaining],tblDaily[EntryDate],DATE(2026,10,24),tblDaily[WardCode],"FAE")=0,"",SUMIFS(tblDaily[Remaining],tblDaily[EntryDate],DATE(2026,10,24),tblDaily[WardCode],"FAE")),"")</f>
        <v/>
      </c>
      <c r="P391" s="15" t="str">
        <f t="shared" si="9"/>
        <v/>
      </c>
    </row>
    <row r="392" spans="1:16" x14ac:dyDescent="0.25">
      <c r="A392" s="14">
        <v>25</v>
      </c>
      <c r="B392" s="14" t="str">
        <f>IFERROR(IF(SUMIFS(tblDaily[Admissions],tblDaily[EntryDate],DATE(2026,10,25),tblDaily[WardCode],"MAE")=0,"",SUMIFS(tblDaily[Admissions],tblDaily[EntryDate],DATE(2026,10,25),tblDaily[WardCode],"MAE")),"")</f>
        <v/>
      </c>
      <c r="C392" s="14" t="str">
        <f>IFERROR(IF(SUMIFS(tblDaily[Discharges],tblDaily[EntryDate],DATE(2026,10,25),tblDaily[WardCode],"MAE")=0,"",SUMIFS(tblDaily[Discharges],tblDaily[EntryDate],DATE(2026,10,25),tblDaily[WardCode],"MAE")),"")</f>
        <v/>
      </c>
      <c r="D392" s="14" t="str">
        <f>IFERROR(IF(SUMIFS(tblDaily[Deaths],tblDaily[EntryDate],DATE(2026,10,25),tblDaily[WardCode],"MAE")=0,"",SUMIFS(tblDaily[Deaths],tblDaily[EntryDate],DATE(2026,10,25),tblDaily[WardCode],"MAE")),"")</f>
        <v/>
      </c>
      <c r="E392" s="1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14" t="str">
        <f>IFERROR(IF(SUMIFS(tblDaily[TransfersIn],tblDaily[EntryDate],DATE(2026,10,25),tblDaily[WardCode],"MAE")=0,"",SUMIFS(tblDaily[TransfersIn],tblDaily[EntryDate],DATE(2026,10,25),tblDaily[WardCode],"MAE")),"")</f>
        <v/>
      </c>
      <c r="G392" s="14" t="str">
        <f>IFERROR(IF(SUMIFS(tblDaily[TransfersOut],tblDaily[EntryDate],DATE(2026,10,25),tblDaily[WardCode],"MAE")=0,"",SUMIFS(tblDaily[TransfersOut],tblDaily[EntryDate],DATE(2026,10,25),tblDaily[WardCode],"MAE")),"")</f>
        <v/>
      </c>
      <c r="H392" s="14" t="str">
        <f>IFERROR(IF(SUMIFS(tblDaily[Remaining],tblDaily[EntryDate],DATE(2026,10,25),tblDaily[WardCode],"MAE")=0,"",SUMIFS(tblDaily[Remaining],tblDaily[EntryDate],DATE(2026,10,25),tblDaily[WardCode],"MAE")),"")</f>
        <v/>
      </c>
      <c r="I392" s="14" t="str">
        <f>IFERROR(IF(SUMIFS(tblDaily[Admissions],tblDaily[EntryDate],DATE(2026,10,25),tblDaily[WardCode],"FAE")=0,"",SUMIFS(tblDaily[Admissions],tblDaily[EntryDate],DATE(2026,10,25),tblDaily[WardCode],"FAE")),"")</f>
        <v/>
      </c>
      <c r="J392" s="14" t="str">
        <f>IFERROR(IF(SUMIFS(tblDaily[Discharges],tblDaily[EntryDate],DATE(2026,10,25),tblDaily[WardCode],"FAE")=0,"",SUMIFS(tblDaily[Discharges],tblDaily[EntryDate],DATE(2026,10,25),tblDaily[WardCode],"FAE")),"")</f>
        <v/>
      </c>
      <c r="K392" s="14" t="str">
        <f>IFERROR(IF(SUMIFS(tblDaily[Deaths],tblDaily[EntryDate],DATE(2026,10,25),tblDaily[WardCode],"FAE")=0,"",SUMIFS(tblDaily[Deaths],tblDaily[EntryDate],DATE(2026,10,25),tblDaily[WardCode],"FAE")),"")</f>
        <v/>
      </c>
      <c r="L392" s="14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14" t="str">
        <f>IFERROR(IF(SUMIFS(tblDaily[TransfersIn],tblDaily[EntryDate],DATE(2026,10,25),tblDaily[WardCode],"FAE")=0,"",SUMIFS(tblDaily[TransfersIn],tblDaily[EntryDate],DATE(2026,10,25),tblDaily[WardCode],"FAE")),"")</f>
        <v/>
      </c>
      <c r="N392" s="14" t="str">
        <f>IFERROR(IF(SUMIFS(tblDaily[TransfersOut],tblDaily[EntryDate],DATE(2026,10,25),tblDaily[WardCode],"FAE")=0,"",SUMIFS(tblDaily[TransfersOut],tblDaily[EntryDate],DATE(2026,10,25),tblDaily[WardCode],"FAE")),"")</f>
        <v/>
      </c>
      <c r="O392" s="14" t="str">
        <f>IFERROR(IF(SUMIFS(tblDaily[Remaining],tblDaily[EntryDate],DATE(2026,10,25),tblDaily[WardCode],"FAE")=0,"",SUMIFS(tblDaily[Remaining],tblDaily[EntryDate],DATE(2026,10,25),tblDaily[WardCode],"FAE")),"")</f>
        <v/>
      </c>
      <c r="P392" s="15" t="str">
        <f t="shared" si="9"/>
        <v/>
      </c>
    </row>
    <row r="393" spans="1:16" x14ac:dyDescent="0.25">
      <c r="A393" s="14">
        <v>26</v>
      </c>
      <c r="B393" s="14" t="str">
        <f>IFERROR(IF(SUMIFS(tblDaily[Admissions],tblDaily[EntryDate],DATE(2026,10,26),tblDaily[WardCode],"MAE")=0,"",SUMIFS(tblDaily[Admissions],tblDaily[EntryDate],DATE(2026,10,26),tblDaily[WardCode],"MAE")),"")</f>
        <v/>
      </c>
      <c r="C393" s="14" t="str">
        <f>IFERROR(IF(SUMIFS(tblDaily[Discharges],tblDaily[EntryDate],DATE(2026,10,26),tblDaily[WardCode],"MAE")=0,"",SUMIFS(tblDaily[Discharges],tblDaily[EntryDate],DATE(2026,10,26),tblDaily[WardCode],"MAE")),"")</f>
        <v/>
      </c>
      <c r="D393" s="14" t="str">
        <f>IFERROR(IF(SUMIFS(tblDaily[Deaths],tblDaily[EntryDate],DATE(2026,10,26),tblDaily[WardCode],"MAE")=0,"",SUMIFS(tblDaily[Deaths],tblDaily[EntryDate],DATE(2026,10,26),tblDaily[WardCode],"MAE")),"")</f>
        <v/>
      </c>
      <c r="E393" s="1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14" t="str">
        <f>IFERROR(IF(SUMIFS(tblDaily[TransfersIn],tblDaily[EntryDate],DATE(2026,10,26),tblDaily[WardCode],"MAE")=0,"",SUMIFS(tblDaily[TransfersIn],tblDaily[EntryDate],DATE(2026,10,26),tblDaily[WardCode],"MAE")),"")</f>
        <v/>
      </c>
      <c r="G393" s="14" t="str">
        <f>IFERROR(IF(SUMIFS(tblDaily[TransfersOut],tblDaily[EntryDate],DATE(2026,10,26),tblDaily[WardCode],"MAE")=0,"",SUMIFS(tblDaily[TransfersOut],tblDaily[EntryDate],DATE(2026,10,26),tblDaily[WardCode],"MAE")),"")</f>
        <v/>
      </c>
      <c r="H393" s="14" t="str">
        <f>IFERROR(IF(SUMIFS(tblDaily[Remaining],tblDaily[EntryDate],DATE(2026,10,26),tblDaily[WardCode],"MAE")=0,"",SUMIFS(tblDaily[Remaining],tblDaily[EntryDate],DATE(2026,10,26),tblDaily[WardCode],"MAE")),"")</f>
        <v/>
      </c>
      <c r="I393" s="14" t="str">
        <f>IFERROR(IF(SUMIFS(tblDaily[Admissions],tblDaily[EntryDate],DATE(2026,10,26),tblDaily[WardCode],"FAE")=0,"",SUMIFS(tblDaily[Admissions],tblDaily[EntryDate],DATE(2026,10,26),tblDaily[WardCode],"FAE")),"")</f>
        <v/>
      </c>
      <c r="J393" s="14" t="str">
        <f>IFERROR(IF(SUMIFS(tblDaily[Discharges],tblDaily[EntryDate],DATE(2026,10,26),tblDaily[WardCode],"FAE")=0,"",SUMIFS(tblDaily[Discharges],tblDaily[EntryDate],DATE(2026,10,26),tblDaily[WardCode],"FAE")),"")</f>
        <v/>
      </c>
      <c r="K393" s="14" t="str">
        <f>IFERROR(IF(SUMIFS(tblDaily[Deaths],tblDaily[EntryDate],DATE(2026,10,26),tblDaily[WardCode],"FAE")=0,"",SUMIFS(tblDaily[Deaths],tblDaily[EntryDate],DATE(2026,10,26),tblDaily[WardCode],"FAE")),"")</f>
        <v/>
      </c>
      <c r="L393" s="14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14" t="str">
        <f>IFERROR(IF(SUMIFS(tblDaily[TransfersIn],tblDaily[EntryDate],DATE(2026,10,26),tblDaily[WardCode],"FAE")=0,"",SUMIFS(tblDaily[TransfersIn],tblDaily[EntryDate],DATE(2026,10,26),tblDaily[WardCode],"FAE")),"")</f>
        <v/>
      </c>
      <c r="N393" s="14" t="str">
        <f>IFERROR(IF(SUMIFS(tblDaily[TransfersOut],tblDaily[EntryDate],DATE(2026,10,26),tblDaily[WardCode],"FAE")=0,"",SUMIFS(tblDaily[TransfersOut],tblDaily[EntryDate],DATE(2026,10,26),tblDaily[WardCode],"FAE")),"")</f>
        <v/>
      </c>
      <c r="O393" s="14" t="str">
        <f>IFERROR(IF(SUMIFS(tblDaily[Remaining],tblDaily[EntryDate],DATE(2026,10,26),tblDaily[WardCode],"FAE")=0,"",SUMIFS(tblDaily[Remaining],tblDaily[EntryDate],DATE(2026,10,26),tblDaily[WardCode],"FAE")),"")</f>
        <v/>
      </c>
      <c r="P393" s="15" t="str">
        <f t="shared" si="9"/>
        <v/>
      </c>
    </row>
    <row r="394" spans="1:16" x14ac:dyDescent="0.25">
      <c r="A394" s="14">
        <v>27</v>
      </c>
      <c r="B394" s="14" t="str">
        <f>IFERROR(IF(SUMIFS(tblDaily[Admissions],tblDaily[EntryDate],DATE(2026,10,27),tblDaily[WardCode],"MAE")=0,"",SUMIFS(tblDaily[Admissions],tblDaily[EntryDate],DATE(2026,10,27),tblDaily[WardCode],"MAE")),"")</f>
        <v/>
      </c>
      <c r="C394" s="14" t="str">
        <f>IFERROR(IF(SUMIFS(tblDaily[Discharges],tblDaily[EntryDate],DATE(2026,10,27),tblDaily[WardCode],"MAE")=0,"",SUMIFS(tblDaily[Discharges],tblDaily[EntryDate],DATE(2026,10,27),tblDaily[WardCode],"MAE")),"")</f>
        <v/>
      </c>
      <c r="D394" s="14" t="str">
        <f>IFERROR(IF(SUMIFS(tblDaily[Deaths],tblDaily[EntryDate],DATE(2026,10,27),tblDaily[WardCode],"MAE")=0,"",SUMIFS(tblDaily[Deaths],tblDaily[EntryDate],DATE(2026,10,27),tblDaily[WardCode],"MAE")),"")</f>
        <v/>
      </c>
      <c r="E394" s="1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14" t="str">
        <f>IFERROR(IF(SUMIFS(tblDaily[TransfersIn],tblDaily[EntryDate],DATE(2026,10,27),tblDaily[WardCode],"MAE")=0,"",SUMIFS(tblDaily[TransfersIn],tblDaily[EntryDate],DATE(2026,10,27),tblDaily[WardCode],"MAE")),"")</f>
        <v/>
      </c>
      <c r="G394" s="14" t="str">
        <f>IFERROR(IF(SUMIFS(tblDaily[TransfersOut],tblDaily[EntryDate],DATE(2026,10,27),tblDaily[WardCode],"MAE")=0,"",SUMIFS(tblDaily[TransfersOut],tblDaily[EntryDate],DATE(2026,10,27),tblDaily[WardCode],"MAE")),"")</f>
        <v/>
      </c>
      <c r="H394" s="14" t="str">
        <f>IFERROR(IF(SUMIFS(tblDaily[Remaining],tblDaily[EntryDate],DATE(2026,10,27),tblDaily[WardCode],"MAE")=0,"",SUMIFS(tblDaily[Remaining],tblDaily[EntryDate],DATE(2026,10,27),tblDaily[WardCode],"MAE")),"")</f>
        <v/>
      </c>
      <c r="I394" s="14" t="str">
        <f>IFERROR(IF(SUMIFS(tblDaily[Admissions],tblDaily[EntryDate],DATE(2026,10,27),tblDaily[WardCode],"FAE")=0,"",SUMIFS(tblDaily[Admissions],tblDaily[EntryDate],DATE(2026,10,27),tblDaily[WardCode],"FAE")),"")</f>
        <v/>
      </c>
      <c r="J394" s="14" t="str">
        <f>IFERROR(IF(SUMIFS(tblDaily[Discharges],tblDaily[EntryDate],DATE(2026,10,27),tblDaily[WardCode],"FAE")=0,"",SUMIFS(tblDaily[Discharges],tblDaily[EntryDate],DATE(2026,10,27),tblDaily[WardCode],"FAE")),"")</f>
        <v/>
      </c>
      <c r="K394" s="14" t="str">
        <f>IFERROR(IF(SUMIFS(tblDaily[Deaths],tblDaily[EntryDate],DATE(2026,10,27),tblDaily[WardCode],"FAE")=0,"",SUMIFS(tblDaily[Deaths],tblDaily[EntryDate],DATE(2026,10,27),tblDaily[WardCode],"FAE")),"")</f>
        <v/>
      </c>
      <c r="L394" s="14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14" t="str">
        <f>IFERROR(IF(SUMIFS(tblDaily[TransfersIn],tblDaily[EntryDate],DATE(2026,10,27),tblDaily[WardCode],"FAE")=0,"",SUMIFS(tblDaily[TransfersIn],tblDaily[EntryDate],DATE(2026,10,27),tblDaily[WardCode],"FAE")),"")</f>
        <v/>
      </c>
      <c r="N394" s="14" t="str">
        <f>IFERROR(IF(SUMIFS(tblDaily[TransfersOut],tblDaily[EntryDate],DATE(2026,10,27),tblDaily[WardCode],"FAE")=0,"",SUMIFS(tblDaily[TransfersOut],tblDaily[EntryDate],DATE(2026,10,27),tblDaily[WardCode],"FAE")),"")</f>
        <v/>
      </c>
      <c r="O394" s="14" t="str">
        <f>IFERROR(IF(SUMIFS(tblDaily[Remaining],tblDaily[EntryDate],DATE(2026,10,27),tblDaily[WardCode],"FAE")=0,"",SUMIFS(tblDaily[Remaining],tblDaily[EntryDate],DATE(2026,10,27),tblDaily[WardCode],"FAE")),"")</f>
        <v/>
      </c>
      <c r="P394" s="15" t="str">
        <f t="shared" si="9"/>
        <v/>
      </c>
    </row>
    <row r="395" spans="1:16" x14ac:dyDescent="0.25">
      <c r="A395" s="14">
        <v>28</v>
      </c>
      <c r="B395" s="14" t="str">
        <f>IFERROR(IF(SUMIFS(tblDaily[Admissions],tblDaily[EntryDate],DATE(2026,10,28),tblDaily[WardCode],"MAE")=0,"",SUMIFS(tblDaily[Admissions],tblDaily[EntryDate],DATE(2026,10,28),tblDaily[WardCode],"MAE")),"")</f>
        <v/>
      </c>
      <c r="C395" s="14" t="str">
        <f>IFERROR(IF(SUMIFS(tblDaily[Discharges],tblDaily[EntryDate],DATE(2026,10,28),tblDaily[WardCode],"MAE")=0,"",SUMIFS(tblDaily[Discharges],tblDaily[EntryDate],DATE(2026,10,28),tblDaily[WardCode],"MAE")),"")</f>
        <v/>
      </c>
      <c r="D395" s="14" t="str">
        <f>IFERROR(IF(SUMIFS(tblDaily[Deaths],tblDaily[EntryDate],DATE(2026,10,28),tblDaily[WardCode],"MAE")=0,"",SUMIFS(tblDaily[Deaths],tblDaily[EntryDate],DATE(2026,10,28),tblDaily[WardCode],"MAE")),"")</f>
        <v/>
      </c>
      <c r="E395" s="1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14" t="str">
        <f>IFERROR(IF(SUMIFS(tblDaily[TransfersIn],tblDaily[EntryDate],DATE(2026,10,28),tblDaily[WardCode],"MAE")=0,"",SUMIFS(tblDaily[TransfersIn],tblDaily[EntryDate],DATE(2026,10,28),tblDaily[WardCode],"MAE")),"")</f>
        <v/>
      </c>
      <c r="G395" s="14" t="str">
        <f>IFERROR(IF(SUMIFS(tblDaily[TransfersOut],tblDaily[EntryDate],DATE(2026,10,28),tblDaily[WardCode],"MAE")=0,"",SUMIFS(tblDaily[TransfersOut],tblDaily[EntryDate],DATE(2026,10,28),tblDaily[WardCode],"MAE")),"")</f>
        <v/>
      </c>
      <c r="H395" s="14" t="str">
        <f>IFERROR(IF(SUMIFS(tblDaily[Remaining],tblDaily[EntryDate],DATE(2026,10,28),tblDaily[WardCode],"MAE")=0,"",SUMIFS(tblDaily[Remaining],tblDaily[EntryDate],DATE(2026,10,28),tblDaily[WardCode],"MAE")),"")</f>
        <v/>
      </c>
      <c r="I395" s="14" t="str">
        <f>IFERROR(IF(SUMIFS(tblDaily[Admissions],tblDaily[EntryDate],DATE(2026,10,28),tblDaily[WardCode],"FAE")=0,"",SUMIFS(tblDaily[Admissions],tblDaily[EntryDate],DATE(2026,10,28),tblDaily[WardCode],"FAE")),"")</f>
        <v/>
      </c>
      <c r="J395" s="14" t="str">
        <f>IFERROR(IF(SUMIFS(tblDaily[Discharges],tblDaily[EntryDate],DATE(2026,10,28),tblDaily[WardCode],"FAE")=0,"",SUMIFS(tblDaily[Discharges],tblDaily[EntryDate],DATE(2026,10,28),tblDaily[WardCode],"FAE")),"")</f>
        <v/>
      </c>
      <c r="K395" s="14" t="str">
        <f>IFERROR(IF(SUMIFS(tblDaily[Deaths],tblDaily[EntryDate],DATE(2026,10,28),tblDaily[WardCode],"FAE")=0,"",SUMIFS(tblDaily[Deaths],tblDaily[EntryDate],DATE(2026,10,28),tblDaily[WardCode],"FAE")),"")</f>
        <v/>
      </c>
      <c r="L395" s="14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14" t="str">
        <f>IFERROR(IF(SUMIFS(tblDaily[TransfersIn],tblDaily[EntryDate],DATE(2026,10,28),tblDaily[WardCode],"FAE")=0,"",SUMIFS(tblDaily[TransfersIn],tblDaily[EntryDate],DATE(2026,10,28),tblDaily[WardCode],"FAE")),"")</f>
        <v/>
      </c>
      <c r="N395" s="14" t="str">
        <f>IFERROR(IF(SUMIFS(tblDaily[TransfersOut],tblDaily[EntryDate],DATE(2026,10,28),tblDaily[WardCode],"FAE")=0,"",SUMIFS(tblDaily[TransfersOut],tblDaily[EntryDate],DATE(2026,10,28),tblDaily[WardCode],"FAE")),"")</f>
        <v/>
      </c>
      <c r="O395" s="14" t="str">
        <f>IFERROR(IF(SUMIFS(tblDaily[Remaining],tblDaily[EntryDate],DATE(2026,10,28),tblDaily[WardCode],"FAE")=0,"",SUMIFS(tblDaily[Remaining],tblDaily[EntryDate],DATE(2026,10,28),tblDaily[WardCode],"FAE")),"")</f>
        <v/>
      </c>
      <c r="P395" s="15" t="str">
        <f t="shared" si="9"/>
        <v/>
      </c>
    </row>
    <row r="396" spans="1:16" x14ac:dyDescent="0.25">
      <c r="A396" s="14">
        <v>29</v>
      </c>
      <c r="B396" s="14" t="str">
        <f>IFERROR(IF(SUMIFS(tblDaily[Admissions],tblDaily[EntryDate],DATE(2026,10,29),tblDaily[WardCode],"MAE")=0,"",SUMIFS(tblDaily[Admissions],tblDaily[EntryDate],DATE(2026,10,29),tblDaily[WardCode],"MAE")),"")</f>
        <v/>
      </c>
      <c r="C396" s="14" t="str">
        <f>IFERROR(IF(SUMIFS(tblDaily[Discharges],tblDaily[EntryDate],DATE(2026,10,29),tblDaily[WardCode],"MAE")=0,"",SUMIFS(tblDaily[Discharges],tblDaily[EntryDate],DATE(2026,10,29),tblDaily[WardCode],"MAE")),"")</f>
        <v/>
      </c>
      <c r="D396" s="14" t="str">
        <f>IFERROR(IF(SUMIFS(tblDaily[Deaths],tblDaily[EntryDate],DATE(2026,10,29),tblDaily[WardCode],"MAE")=0,"",SUMIFS(tblDaily[Deaths],tblDaily[EntryDate],DATE(2026,10,29),tblDaily[WardCode],"MAE")),"")</f>
        <v/>
      </c>
      <c r="E396" s="1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14" t="str">
        <f>IFERROR(IF(SUMIFS(tblDaily[TransfersIn],tblDaily[EntryDate],DATE(2026,10,29),tblDaily[WardCode],"MAE")=0,"",SUMIFS(tblDaily[TransfersIn],tblDaily[EntryDate],DATE(2026,10,29),tblDaily[WardCode],"MAE")),"")</f>
        <v/>
      </c>
      <c r="G396" s="14" t="str">
        <f>IFERROR(IF(SUMIFS(tblDaily[TransfersOut],tblDaily[EntryDate],DATE(2026,10,29),tblDaily[WardCode],"MAE")=0,"",SUMIFS(tblDaily[TransfersOut],tblDaily[EntryDate],DATE(2026,10,29),tblDaily[WardCode],"MAE")),"")</f>
        <v/>
      </c>
      <c r="H396" s="14" t="str">
        <f>IFERROR(IF(SUMIFS(tblDaily[Remaining],tblDaily[EntryDate],DATE(2026,10,29),tblDaily[WardCode],"MAE")=0,"",SUMIFS(tblDaily[Remaining],tblDaily[EntryDate],DATE(2026,10,29),tblDaily[WardCode],"MAE")),"")</f>
        <v/>
      </c>
      <c r="I396" s="14" t="str">
        <f>IFERROR(IF(SUMIFS(tblDaily[Admissions],tblDaily[EntryDate],DATE(2026,10,29),tblDaily[WardCode],"FAE")=0,"",SUMIFS(tblDaily[Admissions],tblDaily[EntryDate],DATE(2026,10,29),tblDaily[WardCode],"FAE")),"")</f>
        <v/>
      </c>
      <c r="J396" s="14" t="str">
        <f>IFERROR(IF(SUMIFS(tblDaily[Discharges],tblDaily[EntryDate],DATE(2026,10,29),tblDaily[WardCode],"FAE")=0,"",SUMIFS(tblDaily[Discharges],tblDaily[EntryDate],DATE(2026,10,29),tblDaily[WardCode],"FAE")),"")</f>
        <v/>
      </c>
      <c r="K396" s="14" t="str">
        <f>IFERROR(IF(SUMIFS(tblDaily[Deaths],tblDaily[EntryDate],DATE(2026,10,29),tblDaily[WardCode],"FAE")=0,"",SUMIFS(tblDaily[Deaths],tblDaily[EntryDate],DATE(2026,10,29),tblDaily[WardCode],"FAE")),"")</f>
        <v/>
      </c>
      <c r="L396" s="14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14" t="str">
        <f>IFERROR(IF(SUMIFS(tblDaily[TransfersIn],tblDaily[EntryDate],DATE(2026,10,29),tblDaily[WardCode],"FAE")=0,"",SUMIFS(tblDaily[TransfersIn],tblDaily[EntryDate],DATE(2026,10,29),tblDaily[WardCode],"FAE")),"")</f>
        <v/>
      </c>
      <c r="N396" s="14" t="str">
        <f>IFERROR(IF(SUMIFS(tblDaily[TransfersOut],tblDaily[EntryDate],DATE(2026,10,29),tblDaily[WardCode],"FAE")=0,"",SUMIFS(tblDaily[TransfersOut],tblDaily[EntryDate],DATE(2026,10,29),tblDaily[WardCode],"FAE")),"")</f>
        <v/>
      </c>
      <c r="O396" s="14" t="str">
        <f>IFERROR(IF(SUMIFS(tblDaily[Remaining],tblDaily[EntryDate],DATE(2026,10,29),tblDaily[WardCode],"FAE")=0,"",SUMIFS(tblDaily[Remaining],tblDaily[EntryDate],DATE(2026,10,29),tblDaily[WardCode],"FAE")),"")</f>
        <v/>
      </c>
      <c r="P396" s="15" t="str">
        <f t="shared" si="9"/>
        <v/>
      </c>
    </row>
    <row r="397" spans="1:16" x14ac:dyDescent="0.25">
      <c r="A397" s="14">
        <v>30</v>
      </c>
      <c r="B397" s="14" t="str">
        <f>IFERROR(IF(SUMIFS(tblDaily[Admissions],tblDaily[EntryDate],DATE(2026,10,30),tblDaily[WardCode],"MAE")=0,"",SUMIFS(tblDaily[Admissions],tblDaily[EntryDate],DATE(2026,10,30),tblDaily[WardCode],"MAE")),"")</f>
        <v/>
      </c>
      <c r="C397" s="14" t="str">
        <f>IFERROR(IF(SUMIFS(tblDaily[Discharges],tblDaily[EntryDate],DATE(2026,10,30),tblDaily[WardCode],"MAE")=0,"",SUMIFS(tblDaily[Discharges],tblDaily[EntryDate],DATE(2026,10,30),tblDaily[WardCode],"MAE")),"")</f>
        <v/>
      </c>
      <c r="D397" s="14" t="str">
        <f>IFERROR(IF(SUMIFS(tblDaily[Deaths],tblDaily[EntryDate],DATE(2026,10,30),tblDaily[WardCode],"MAE")=0,"",SUMIFS(tblDaily[Deaths],tblDaily[EntryDate],DATE(2026,10,30),tblDaily[WardCode],"MAE")),"")</f>
        <v/>
      </c>
      <c r="E397" s="1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14" t="str">
        <f>IFERROR(IF(SUMIFS(tblDaily[TransfersIn],tblDaily[EntryDate],DATE(2026,10,30),tblDaily[WardCode],"MAE")=0,"",SUMIFS(tblDaily[TransfersIn],tblDaily[EntryDate],DATE(2026,10,30),tblDaily[WardCode],"MAE")),"")</f>
        <v/>
      </c>
      <c r="G397" s="14" t="str">
        <f>IFERROR(IF(SUMIFS(tblDaily[TransfersOut],tblDaily[EntryDate],DATE(2026,10,30),tblDaily[WardCode],"MAE")=0,"",SUMIFS(tblDaily[TransfersOut],tblDaily[EntryDate],DATE(2026,10,30),tblDaily[WardCode],"MAE")),"")</f>
        <v/>
      </c>
      <c r="H397" s="14" t="str">
        <f>IFERROR(IF(SUMIFS(tblDaily[Remaining],tblDaily[EntryDate],DATE(2026,10,30),tblDaily[WardCode],"MAE")=0,"",SUMIFS(tblDaily[Remaining],tblDaily[EntryDate],DATE(2026,10,30),tblDaily[WardCode],"MAE")),"")</f>
        <v/>
      </c>
      <c r="I397" s="14" t="str">
        <f>IFERROR(IF(SUMIFS(tblDaily[Admissions],tblDaily[EntryDate],DATE(2026,10,30),tblDaily[WardCode],"FAE")=0,"",SUMIFS(tblDaily[Admissions],tblDaily[EntryDate],DATE(2026,10,30),tblDaily[WardCode],"FAE")),"")</f>
        <v/>
      </c>
      <c r="J397" s="14" t="str">
        <f>IFERROR(IF(SUMIFS(tblDaily[Discharges],tblDaily[EntryDate],DATE(2026,10,30),tblDaily[WardCode],"FAE")=0,"",SUMIFS(tblDaily[Discharges],tblDaily[EntryDate],DATE(2026,10,30),tblDaily[WardCode],"FAE")),"")</f>
        <v/>
      </c>
      <c r="K397" s="14" t="str">
        <f>IFERROR(IF(SUMIFS(tblDaily[Deaths],tblDaily[EntryDate],DATE(2026,10,30),tblDaily[WardCode],"FAE")=0,"",SUMIFS(tblDaily[Deaths],tblDaily[EntryDate],DATE(2026,10,30),tblDaily[WardCode],"FAE")),"")</f>
        <v/>
      </c>
      <c r="L397" s="14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14" t="str">
        <f>IFERROR(IF(SUMIFS(tblDaily[TransfersIn],tblDaily[EntryDate],DATE(2026,10,30),tblDaily[WardCode],"FAE")=0,"",SUMIFS(tblDaily[TransfersIn],tblDaily[EntryDate],DATE(2026,10,30),tblDaily[WardCode],"FAE")),"")</f>
        <v/>
      </c>
      <c r="N397" s="14" t="str">
        <f>IFERROR(IF(SUMIFS(tblDaily[TransfersOut],tblDaily[EntryDate],DATE(2026,10,30),tblDaily[WardCode],"FAE")=0,"",SUMIFS(tblDaily[TransfersOut],tblDaily[EntryDate],DATE(2026,10,30),tblDaily[WardCode],"FAE")),"")</f>
        <v/>
      </c>
      <c r="O397" s="14" t="str">
        <f>IFERROR(IF(SUMIFS(tblDaily[Remaining],tblDaily[EntryDate],DATE(2026,10,30),tblDaily[WardCode],"FAE")=0,"",SUMIFS(tblDaily[Remaining],tblDaily[EntryDate],DATE(2026,10,30),tblDaily[WardCode],"FAE")),"")</f>
        <v/>
      </c>
      <c r="P397" s="15" t="str">
        <f t="shared" si="9"/>
        <v/>
      </c>
    </row>
    <row r="398" spans="1:16" x14ac:dyDescent="0.25">
      <c r="A398" s="14">
        <v>31</v>
      </c>
      <c r="B398" s="14" t="str">
        <f>IFERROR(IF(SUMIFS(tblDaily[Admissions],tblDaily[EntryDate],DATE(2026,10,31),tblDaily[WardCode],"MAE")=0,"",SUMIFS(tblDaily[Admissions],tblDaily[EntryDate],DATE(2026,10,31),tblDaily[WardCode],"MAE")),"")</f>
        <v/>
      </c>
      <c r="C398" s="14" t="str">
        <f>IFERROR(IF(SUMIFS(tblDaily[Discharges],tblDaily[EntryDate],DATE(2026,10,31),tblDaily[WardCode],"MAE")=0,"",SUMIFS(tblDaily[Discharges],tblDaily[EntryDate],DATE(2026,10,31),tblDaily[WardCode],"MAE")),"")</f>
        <v/>
      </c>
      <c r="D398" s="14" t="str">
        <f>IFERROR(IF(SUMIFS(tblDaily[Deaths],tblDaily[EntryDate],DATE(2026,10,31),tblDaily[WardCode],"MAE")=0,"",SUMIFS(tblDaily[Deaths],tblDaily[EntryDate],DATE(2026,10,31),tblDaily[WardCode],"MAE")),"")</f>
        <v/>
      </c>
      <c r="E398" s="1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14" t="str">
        <f>IFERROR(IF(SUMIFS(tblDaily[TransfersIn],tblDaily[EntryDate],DATE(2026,10,31),tblDaily[WardCode],"MAE")=0,"",SUMIFS(tblDaily[TransfersIn],tblDaily[EntryDate],DATE(2026,10,31),tblDaily[WardCode],"MAE")),"")</f>
        <v/>
      </c>
      <c r="G398" s="14" t="str">
        <f>IFERROR(IF(SUMIFS(tblDaily[TransfersOut],tblDaily[EntryDate],DATE(2026,10,31),tblDaily[WardCode],"MAE")=0,"",SUMIFS(tblDaily[TransfersOut],tblDaily[EntryDate],DATE(2026,10,31),tblDaily[WardCode],"MAE")),"")</f>
        <v/>
      </c>
      <c r="H398" s="14" t="str">
        <f>IFERROR(IF(SUMIFS(tblDaily[Remaining],tblDaily[EntryDate],DATE(2026,10,31),tblDaily[WardCode],"MAE")=0,"",SUMIFS(tblDaily[Remaining],tblDaily[EntryDate],DATE(2026,10,31),tblDaily[WardCode],"MAE")),"")</f>
        <v/>
      </c>
      <c r="I398" s="14" t="str">
        <f>IFERROR(IF(SUMIFS(tblDaily[Admissions],tblDaily[EntryDate],DATE(2026,10,31),tblDaily[WardCode],"FAE")=0,"",SUMIFS(tblDaily[Admissions],tblDaily[EntryDate],DATE(2026,10,31),tblDaily[WardCode],"FAE")),"")</f>
        <v/>
      </c>
      <c r="J398" s="14" t="str">
        <f>IFERROR(IF(SUMIFS(tblDaily[Discharges],tblDaily[EntryDate],DATE(2026,10,31),tblDaily[WardCode],"FAE")=0,"",SUMIFS(tblDaily[Discharges],tblDaily[EntryDate],DATE(2026,10,31),tblDaily[WardCode],"FAE")),"")</f>
        <v/>
      </c>
      <c r="K398" s="14" t="str">
        <f>IFERROR(IF(SUMIFS(tblDaily[Deaths],tblDaily[EntryDate],DATE(2026,10,31),tblDaily[WardCode],"FAE")=0,"",SUMIFS(tblDaily[Deaths],tblDaily[EntryDate],DATE(2026,10,31),tblDaily[WardCode],"FAE")),"")</f>
        <v/>
      </c>
      <c r="L398" s="14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14" t="str">
        <f>IFERROR(IF(SUMIFS(tblDaily[TransfersIn],tblDaily[EntryDate],DATE(2026,10,31),tblDaily[WardCode],"FAE")=0,"",SUMIFS(tblDaily[TransfersIn],tblDaily[EntryDate],DATE(2026,10,31),tblDaily[WardCode],"FAE")),"")</f>
        <v/>
      </c>
      <c r="N398" s="14" t="str">
        <f>IFERROR(IF(SUMIFS(tblDaily[TransfersOut],tblDaily[EntryDate],DATE(2026,10,31),tblDaily[WardCode],"FAE")=0,"",SUMIFS(tblDaily[TransfersOut],tblDaily[EntryDate],DATE(2026,10,31),tblDaily[WardCode],"FAE")),"")</f>
        <v/>
      </c>
      <c r="O398" s="14" t="str">
        <f>IFERROR(IF(SUMIFS(tblDaily[Remaining],tblDaily[EntryDate],DATE(2026,10,31),tblDaily[WardCode],"FAE")=0,"",SUMIFS(tblDaily[Remaining],tblDaily[EntryDate],DATE(2026,10,31),tblDaily[WardCode],"FAE")),"")</f>
        <v/>
      </c>
      <c r="P398" s="15" t="str">
        <f t="shared" si="9"/>
        <v/>
      </c>
    </row>
    <row r="399" spans="1:16" x14ac:dyDescent="0.25">
      <c r="A399" s="9" t="s">
        <v>112</v>
      </c>
      <c r="B399" s="9">
        <f>SUMIFS(tblDaily[Admissions],tblDaily[Month],10,tblDaily[WardCode],"MAE") - SUMIFS(tblDaily[DeathsUnder24Hrs],tblDaily[Month],10,tblDaily[WardCode],"MAE")</f>
        <v>0</v>
      </c>
      <c r="C399" s="9">
        <f>SUMIFS(tblDaily[Discharges],tblDaily[Month],10,tblDaily[WardCode],"MAE")</f>
        <v>0</v>
      </c>
      <c r="D399" s="9">
        <f>SUMIFS(tblDaily[Deaths],tblDaily[Month],10,tblDaily[WardCode],"MAE")</f>
        <v>0</v>
      </c>
      <c r="E399" s="9">
        <f>SUMIFS(tblDaily[DeathsUnder24Hrs],tblDaily[Month],10,tblDaily[WardCode],"MAE")</f>
        <v>0</v>
      </c>
      <c r="F399" s="9">
        <f>SUMIFS(tblDaily[TransfersIn],tblDaily[Month],10,tblDaily[WardCode],"MAE")</f>
        <v>0</v>
      </c>
      <c r="G399" s="9">
        <f>SUMIFS(tblDaily[TransfersOut],tblDaily[Month],10,tblDaily[WardCode],"MAE")</f>
        <v>0</v>
      </c>
      <c r="H399" s="9">
        <f>SUMIFS(tblDaily[Remaining],tblDaily[Month],10,tblDaily[WardCode],"MAE")</f>
        <v>0</v>
      </c>
      <c r="I399" s="9">
        <f>SUMIFS(tblDaily[Admissions],tblDaily[Month],10,tblDaily[WardCode],"FAE") - SUMIFS(tblDaily[DeathsUnder24Hrs],tblDaily[Month],10,tblDaily[WardCode],"FAE")</f>
        <v>0</v>
      </c>
      <c r="J399" s="9">
        <f>SUMIFS(tblDaily[Discharges],tblDaily[Month],10,tblDaily[WardCode],"FAE")</f>
        <v>0</v>
      </c>
      <c r="K399" s="9">
        <f>SUMIFS(tblDaily[Deaths],tblDaily[Month],10,tblDaily[WardCode],"FAE")</f>
        <v>0</v>
      </c>
      <c r="L399" s="9">
        <f>SUMIFS(tblDaily[DeathsUnder24Hrs],tblDaily[Month],10,tblDaily[WardCode],"FAE")</f>
        <v>0</v>
      </c>
      <c r="M399" s="9">
        <f>SUMIFS(tblDaily[TransfersIn],tblDaily[Month],10,tblDaily[WardCode],"FAE")</f>
        <v>0</v>
      </c>
      <c r="N399" s="9">
        <f>SUMIFS(tblDaily[TransfersOut],tblDaily[Month],10,tblDaily[WardCode],"FAE")</f>
        <v>0</v>
      </c>
      <c r="O399" s="9">
        <f>SUMIFS(tblDaily[Remaining],tblDaily[Month],10,tblDaily[WardCode],"FAE")</f>
        <v>0</v>
      </c>
      <c r="P399" s="9">
        <f>H399 + O399</f>
        <v>0</v>
      </c>
    </row>
    <row r="401" spans="1:16" ht="18.75" x14ac:dyDescent="0.25">
      <c r="A401" s="39" t="s">
        <v>0</v>
      </c>
      <c r="B401" s="29"/>
      <c r="C401" s="29"/>
      <c r="D401" s="29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6" ht="15.75" x14ac:dyDescent="0.25">
      <c r="A402" s="35" t="s">
        <v>101</v>
      </c>
      <c r="B402" s="29"/>
      <c r="C402" s="29"/>
      <c r="D402" s="29"/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</row>
    <row r="403" spans="1:16" x14ac:dyDescent="0.25">
      <c r="A403" s="1" t="s">
        <v>4</v>
      </c>
      <c r="B403" s="2" t="s">
        <v>2</v>
      </c>
      <c r="E403" s="1" t="s">
        <v>102</v>
      </c>
      <c r="F403" s="1" t="s">
        <v>121</v>
      </c>
      <c r="M403" s="1" t="s">
        <v>104</v>
      </c>
      <c r="N403" s="1" t="s">
        <v>70</v>
      </c>
    </row>
    <row r="404" spans="1:16" x14ac:dyDescent="0.25">
      <c r="A404" s="1" t="s">
        <v>105</v>
      </c>
      <c r="B404" s="11">
        <f>IFERROR(SUMIFS(tblDaily[Remaining],tblDaily[EntryDate],DATE(2026,10,31),tblDaily[WardCode],"MAE"),0)</f>
        <v>0</v>
      </c>
      <c r="I404" s="11">
        <f>IFERROR(SUMIFS(tblDaily[Remaining],tblDaily[EntryDate],DATE(2026,10,31),tblDaily[WardCode],"FAE"),0)</f>
        <v>0</v>
      </c>
    </row>
    <row r="405" spans="1:16" x14ac:dyDescent="0.25">
      <c r="A405" s="1" t="s">
        <v>106</v>
      </c>
      <c r="B405" s="11">
        <f>IFERROR(INDEX(tblWardConfig[BedComplement],MATCH("MAE",tblWardConfig[WardCode],0)),0)</f>
        <v>10</v>
      </c>
      <c r="I405" s="11">
        <f>IFERROR(INDEX(tblWardConfig[BedComplement],MATCH("FAE",tblWardConfig[WardCode],0)),0)</f>
        <v>10</v>
      </c>
      <c r="O405" s="12">
        <f>B405+I405</f>
        <v>20</v>
      </c>
    </row>
    <row r="406" spans="1:16" x14ac:dyDescent="0.25">
      <c r="A406" s="3" t="s">
        <v>122</v>
      </c>
      <c r="B406" s="38" t="s">
        <v>119</v>
      </c>
      <c r="C406" s="29"/>
      <c r="D406" s="29"/>
      <c r="E406" s="29"/>
      <c r="F406" s="29"/>
      <c r="G406" s="29"/>
      <c r="H406" s="29"/>
      <c r="I406" s="40" t="s">
        <v>120</v>
      </c>
      <c r="J406" s="29"/>
      <c r="K406" s="29"/>
      <c r="L406" s="29"/>
      <c r="M406" s="29"/>
      <c r="N406" s="29"/>
      <c r="O406" s="29"/>
      <c r="P406" s="13" t="s">
        <v>112</v>
      </c>
    </row>
    <row r="407" spans="1:16" x14ac:dyDescent="0.25">
      <c r="A407" s="3" t="s">
        <v>122</v>
      </c>
      <c r="B407" s="3" t="s">
        <v>123</v>
      </c>
      <c r="C407" s="3" t="s">
        <v>124</v>
      </c>
      <c r="D407" s="3" t="s">
        <v>125</v>
      </c>
      <c r="E407" s="3" t="s">
        <v>126</v>
      </c>
      <c r="F407" s="3" t="s">
        <v>127</v>
      </c>
      <c r="G407" s="3" t="s">
        <v>128</v>
      </c>
      <c r="H407" s="3" t="s">
        <v>129</v>
      </c>
      <c r="I407" s="3" t="s">
        <v>123</v>
      </c>
      <c r="J407" s="3" t="s">
        <v>124</v>
      </c>
      <c r="K407" s="3" t="s">
        <v>125</v>
      </c>
      <c r="L407" s="3" t="s">
        <v>126</v>
      </c>
      <c r="M407" s="3" t="s">
        <v>127</v>
      </c>
      <c r="N407" s="3" t="s">
        <v>128</v>
      </c>
      <c r="O407" s="3" t="s">
        <v>129</v>
      </c>
      <c r="P407" s="3" t="s">
        <v>130</v>
      </c>
    </row>
    <row r="408" spans="1:16" x14ac:dyDescent="0.25">
      <c r="A408" s="14">
        <v>1</v>
      </c>
      <c r="B408" s="14" t="str">
        <f>IFERROR(IF(SUMIFS(tblDaily[Admissions],tblDaily[EntryDate],DATE(2026,11,1),tblDaily[WardCode],"MAE")=0,"",SUMIFS(tblDaily[Admissions],tblDaily[EntryDate],DATE(2026,11,1),tblDaily[WardCode],"MAE")),"")</f>
        <v/>
      </c>
      <c r="C408" s="14" t="str">
        <f>IFERROR(IF(SUMIFS(tblDaily[Discharges],tblDaily[EntryDate],DATE(2026,11,1),tblDaily[WardCode],"MAE")=0,"",SUMIFS(tblDaily[Discharges],tblDaily[EntryDate],DATE(2026,11,1),tblDaily[WardCode],"MAE")),"")</f>
        <v/>
      </c>
      <c r="D408" s="14" t="str">
        <f>IFERROR(IF(SUMIFS(tblDaily[Deaths],tblDaily[EntryDate],DATE(2026,11,1),tblDaily[WardCode],"MAE")=0,"",SUMIFS(tblDaily[Deaths],tblDaily[EntryDate],DATE(2026,11,1),tblDaily[WardCode],"MAE")),"")</f>
        <v/>
      </c>
      <c r="E408" s="14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14" t="str">
        <f>IFERROR(IF(SUMIFS(tblDaily[TransfersIn],tblDaily[EntryDate],DATE(2026,11,1),tblDaily[WardCode],"MAE")=0,"",SUMIFS(tblDaily[TransfersIn],tblDaily[EntryDate],DATE(2026,11,1),tblDaily[WardCode],"MAE")),"")</f>
        <v/>
      </c>
      <c r="G408" s="14" t="str">
        <f>IFERROR(IF(SUMIFS(tblDaily[TransfersOut],tblDaily[EntryDate],DATE(2026,11,1),tblDaily[WardCode],"MAE")=0,"",SUMIFS(tblDaily[TransfersOut],tblDaily[EntryDate],DATE(2026,11,1),tblDaily[WardCode],"MAE")),"")</f>
        <v/>
      </c>
      <c r="H408" s="14" t="str">
        <f>IFERROR(IF(SUMIFS(tblDaily[Remaining],tblDaily[EntryDate],DATE(2026,11,1),tblDaily[WardCode],"MAE")=0,"",SUMIFS(tblDaily[Remaining],tblDaily[EntryDate],DATE(2026,11,1),tblDaily[WardCode],"MAE")),"")</f>
        <v/>
      </c>
      <c r="I408" s="14" t="str">
        <f>IFERROR(IF(SUMIFS(tblDaily[Admissions],tblDaily[EntryDate],DATE(2026,11,1),tblDaily[WardCode],"FAE")=0,"",SUMIFS(tblDaily[Admissions],tblDaily[EntryDate],DATE(2026,11,1),tblDaily[WardCode],"FAE")),"")</f>
        <v/>
      </c>
      <c r="J408" s="14" t="str">
        <f>IFERROR(IF(SUMIFS(tblDaily[Discharges],tblDaily[EntryDate],DATE(2026,11,1),tblDaily[WardCode],"FAE")=0,"",SUMIFS(tblDaily[Discharges],tblDaily[EntryDate],DATE(2026,11,1),tblDaily[WardCode],"FAE")),"")</f>
        <v/>
      </c>
      <c r="K408" s="14" t="str">
        <f>IFERROR(IF(SUMIFS(tblDaily[Deaths],tblDaily[EntryDate],DATE(2026,11,1),tblDaily[WardCode],"FAE")=0,"",SUMIFS(tblDaily[Deaths],tblDaily[EntryDate],DATE(2026,11,1),tblDaily[WardCode],"FAE")),"")</f>
        <v/>
      </c>
      <c r="L408" s="14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14" t="str">
        <f>IFERROR(IF(SUMIFS(tblDaily[TransfersIn],tblDaily[EntryDate],DATE(2026,11,1),tblDaily[WardCode],"FAE")=0,"",SUMIFS(tblDaily[TransfersIn],tblDaily[EntryDate],DATE(2026,11,1),tblDaily[WardCode],"FAE")),"")</f>
        <v/>
      </c>
      <c r="N408" s="14" t="str">
        <f>IFERROR(IF(SUMIFS(tblDaily[TransfersOut],tblDaily[EntryDate],DATE(2026,11,1),tblDaily[WardCode],"FAE")=0,"",SUMIFS(tblDaily[TransfersOut],tblDaily[EntryDate],DATE(2026,11,1),tblDaily[WardCode],"FAE")),"")</f>
        <v/>
      </c>
      <c r="O408" s="14" t="str">
        <f>IFERROR(IF(SUMIFS(tblDaily[Remaining],tblDaily[EntryDate],DATE(2026,11,1),tblDaily[WardCode],"FAE")=0,"",SUMIFS(tblDaily[Remaining],tblDaily[EntryDate],DATE(2026,11,1),tblDaily[WardCode],"FAE")),"")</f>
        <v/>
      </c>
      <c r="P408" s="15" t="str">
        <f t="shared" ref="P408:P437" si="10">IF(AND(H408="", O408=""), "", N(H408) + N(O408))</f>
        <v/>
      </c>
    </row>
    <row r="409" spans="1:16" x14ac:dyDescent="0.25">
      <c r="A409" s="14">
        <v>2</v>
      </c>
      <c r="B409" s="14" t="str">
        <f>IFERROR(IF(SUMIFS(tblDaily[Admissions],tblDaily[EntryDate],DATE(2026,11,2),tblDaily[WardCode],"MAE")=0,"",SUMIFS(tblDaily[Admissions],tblDaily[EntryDate],DATE(2026,11,2),tblDaily[WardCode],"MAE")),"")</f>
        <v/>
      </c>
      <c r="C409" s="14" t="str">
        <f>IFERROR(IF(SUMIFS(tblDaily[Discharges],tblDaily[EntryDate],DATE(2026,11,2),tblDaily[WardCode],"MAE")=0,"",SUMIFS(tblDaily[Discharges],tblDaily[EntryDate],DATE(2026,11,2),tblDaily[WardCode],"MAE")),"")</f>
        <v/>
      </c>
      <c r="D409" s="14" t="str">
        <f>IFERROR(IF(SUMIFS(tblDaily[Deaths],tblDaily[EntryDate],DATE(2026,11,2),tblDaily[WardCode],"MAE")=0,"",SUMIFS(tblDaily[Deaths],tblDaily[EntryDate],DATE(2026,11,2),tblDaily[WardCode],"MAE")),"")</f>
        <v/>
      </c>
      <c r="E409" s="14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14" t="str">
        <f>IFERROR(IF(SUMIFS(tblDaily[TransfersIn],tblDaily[EntryDate],DATE(2026,11,2),tblDaily[WardCode],"MAE")=0,"",SUMIFS(tblDaily[TransfersIn],tblDaily[EntryDate],DATE(2026,11,2),tblDaily[WardCode],"MAE")),"")</f>
        <v/>
      </c>
      <c r="G409" s="14" t="str">
        <f>IFERROR(IF(SUMIFS(tblDaily[TransfersOut],tblDaily[EntryDate],DATE(2026,11,2),tblDaily[WardCode],"MAE")=0,"",SUMIFS(tblDaily[TransfersOut],tblDaily[EntryDate],DATE(2026,11,2),tblDaily[WardCode],"MAE")),"")</f>
        <v/>
      </c>
      <c r="H409" s="14" t="str">
        <f>IFERROR(IF(SUMIFS(tblDaily[Remaining],tblDaily[EntryDate],DATE(2026,11,2),tblDaily[WardCode],"MAE")=0,"",SUMIFS(tblDaily[Remaining],tblDaily[EntryDate],DATE(2026,11,2),tblDaily[WardCode],"MAE")),"")</f>
        <v/>
      </c>
      <c r="I409" s="14" t="str">
        <f>IFERROR(IF(SUMIFS(tblDaily[Admissions],tblDaily[EntryDate],DATE(2026,11,2),tblDaily[WardCode],"FAE")=0,"",SUMIFS(tblDaily[Admissions],tblDaily[EntryDate],DATE(2026,11,2),tblDaily[WardCode],"FAE")),"")</f>
        <v/>
      </c>
      <c r="J409" s="14" t="str">
        <f>IFERROR(IF(SUMIFS(tblDaily[Discharges],tblDaily[EntryDate],DATE(2026,11,2),tblDaily[WardCode],"FAE")=0,"",SUMIFS(tblDaily[Discharges],tblDaily[EntryDate],DATE(2026,11,2),tblDaily[WardCode],"FAE")),"")</f>
        <v/>
      </c>
      <c r="K409" s="14" t="str">
        <f>IFERROR(IF(SUMIFS(tblDaily[Deaths],tblDaily[EntryDate],DATE(2026,11,2),tblDaily[WardCode],"FAE")=0,"",SUMIFS(tblDaily[Deaths],tblDaily[EntryDate],DATE(2026,11,2),tblDaily[WardCode],"FAE")),"")</f>
        <v/>
      </c>
      <c r="L409" s="14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14" t="str">
        <f>IFERROR(IF(SUMIFS(tblDaily[TransfersIn],tblDaily[EntryDate],DATE(2026,11,2),tblDaily[WardCode],"FAE")=0,"",SUMIFS(tblDaily[TransfersIn],tblDaily[EntryDate],DATE(2026,11,2),tblDaily[WardCode],"FAE")),"")</f>
        <v/>
      </c>
      <c r="N409" s="14" t="str">
        <f>IFERROR(IF(SUMIFS(tblDaily[TransfersOut],tblDaily[EntryDate],DATE(2026,11,2),tblDaily[WardCode],"FAE")=0,"",SUMIFS(tblDaily[TransfersOut],tblDaily[EntryDate],DATE(2026,11,2),tblDaily[WardCode],"FAE")),"")</f>
        <v/>
      </c>
      <c r="O409" s="14" t="str">
        <f>IFERROR(IF(SUMIFS(tblDaily[Remaining],tblDaily[EntryDate],DATE(2026,11,2),tblDaily[WardCode],"FAE")=0,"",SUMIFS(tblDaily[Remaining],tblDaily[EntryDate],DATE(2026,11,2),tblDaily[WardCode],"FAE")),"")</f>
        <v/>
      </c>
      <c r="P409" s="15" t="str">
        <f t="shared" si="10"/>
        <v/>
      </c>
    </row>
    <row r="410" spans="1:16" x14ac:dyDescent="0.25">
      <c r="A410" s="14">
        <v>3</v>
      </c>
      <c r="B410" s="14" t="str">
        <f>IFERROR(IF(SUMIFS(tblDaily[Admissions],tblDaily[EntryDate],DATE(2026,11,3),tblDaily[WardCode],"MAE")=0,"",SUMIFS(tblDaily[Admissions],tblDaily[EntryDate],DATE(2026,11,3),tblDaily[WardCode],"MAE")),"")</f>
        <v/>
      </c>
      <c r="C410" s="14" t="str">
        <f>IFERROR(IF(SUMIFS(tblDaily[Discharges],tblDaily[EntryDate],DATE(2026,11,3),tblDaily[WardCode],"MAE")=0,"",SUMIFS(tblDaily[Discharges],tblDaily[EntryDate],DATE(2026,11,3),tblDaily[WardCode],"MAE")),"")</f>
        <v/>
      </c>
      <c r="D410" s="14" t="str">
        <f>IFERROR(IF(SUMIFS(tblDaily[Deaths],tblDaily[EntryDate],DATE(2026,11,3),tblDaily[WardCode],"MAE")=0,"",SUMIFS(tblDaily[Deaths],tblDaily[EntryDate],DATE(2026,11,3),tblDaily[WardCode],"MAE")),"")</f>
        <v/>
      </c>
      <c r="E410" s="14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14" t="str">
        <f>IFERROR(IF(SUMIFS(tblDaily[TransfersIn],tblDaily[EntryDate],DATE(2026,11,3),tblDaily[WardCode],"MAE")=0,"",SUMIFS(tblDaily[TransfersIn],tblDaily[EntryDate],DATE(2026,11,3),tblDaily[WardCode],"MAE")),"")</f>
        <v/>
      </c>
      <c r="G410" s="14" t="str">
        <f>IFERROR(IF(SUMIFS(tblDaily[TransfersOut],tblDaily[EntryDate],DATE(2026,11,3),tblDaily[WardCode],"MAE")=0,"",SUMIFS(tblDaily[TransfersOut],tblDaily[EntryDate],DATE(2026,11,3),tblDaily[WardCode],"MAE")),"")</f>
        <v/>
      </c>
      <c r="H410" s="14" t="str">
        <f>IFERROR(IF(SUMIFS(tblDaily[Remaining],tblDaily[EntryDate],DATE(2026,11,3),tblDaily[WardCode],"MAE")=0,"",SUMIFS(tblDaily[Remaining],tblDaily[EntryDate],DATE(2026,11,3),tblDaily[WardCode],"MAE")),"")</f>
        <v/>
      </c>
      <c r="I410" s="14" t="str">
        <f>IFERROR(IF(SUMIFS(tblDaily[Admissions],tblDaily[EntryDate],DATE(2026,11,3),tblDaily[WardCode],"FAE")=0,"",SUMIFS(tblDaily[Admissions],tblDaily[EntryDate],DATE(2026,11,3),tblDaily[WardCode],"FAE")),"")</f>
        <v/>
      </c>
      <c r="J410" s="14" t="str">
        <f>IFERROR(IF(SUMIFS(tblDaily[Discharges],tblDaily[EntryDate],DATE(2026,11,3),tblDaily[WardCode],"FAE")=0,"",SUMIFS(tblDaily[Discharges],tblDaily[EntryDate],DATE(2026,11,3),tblDaily[WardCode],"FAE")),"")</f>
        <v/>
      </c>
      <c r="K410" s="14" t="str">
        <f>IFERROR(IF(SUMIFS(tblDaily[Deaths],tblDaily[EntryDate],DATE(2026,11,3),tblDaily[WardCode],"FAE")=0,"",SUMIFS(tblDaily[Deaths],tblDaily[EntryDate],DATE(2026,11,3),tblDaily[WardCode],"FAE")),"")</f>
        <v/>
      </c>
      <c r="L410" s="14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14" t="str">
        <f>IFERROR(IF(SUMIFS(tblDaily[TransfersIn],tblDaily[EntryDate],DATE(2026,11,3),tblDaily[WardCode],"FAE")=0,"",SUMIFS(tblDaily[TransfersIn],tblDaily[EntryDate],DATE(2026,11,3),tblDaily[WardCode],"FAE")),"")</f>
        <v/>
      </c>
      <c r="N410" s="14" t="str">
        <f>IFERROR(IF(SUMIFS(tblDaily[TransfersOut],tblDaily[EntryDate],DATE(2026,11,3),tblDaily[WardCode],"FAE")=0,"",SUMIFS(tblDaily[TransfersOut],tblDaily[EntryDate],DATE(2026,11,3),tblDaily[WardCode],"FAE")),"")</f>
        <v/>
      </c>
      <c r="O410" s="14" t="str">
        <f>IFERROR(IF(SUMIFS(tblDaily[Remaining],tblDaily[EntryDate],DATE(2026,11,3),tblDaily[WardCode],"FAE")=0,"",SUMIFS(tblDaily[Remaining],tblDaily[EntryDate],DATE(2026,11,3),tblDaily[WardCode],"FAE")),"")</f>
        <v/>
      </c>
      <c r="P410" s="15" t="str">
        <f t="shared" si="10"/>
        <v/>
      </c>
    </row>
    <row r="411" spans="1:16" x14ac:dyDescent="0.25">
      <c r="A411" s="14">
        <v>4</v>
      </c>
      <c r="B411" s="14" t="str">
        <f>IFERROR(IF(SUMIFS(tblDaily[Admissions],tblDaily[EntryDate],DATE(2026,11,4),tblDaily[WardCode],"MAE")=0,"",SUMIFS(tblDaily[Admissions],tblDaily[EntryDate],DATE(2026,11,4),tblDaily[WardCode],"MAE")),"")</f>
        <v/>
      </c>
      <c r="C411" s="14" t="str">
        <f>IFERROR(IF(SUMIFS(tblDaily[Discharges],tblDaily[EntryDate],DATE(2026,11,4),tblDaily[WardCode],"MAE")=0,"",SUMIFS(tblDaily[Discharges],tblDaily[EntryDate],DATE(2026,11,4),tblDaily[WardCode],"MAE")),"")</f>
        <v/>
      </c>
      <c r="D411" s="14" t="str">
        <f>IFERROR(IF(SUMIFS(tblDaily[Deaths],tblDaily[EntryDate],DATE(2026,11,4),tblDaily[WardCode],"MAE")=0,"",SUMIFS(tblDaily[Deaths],tblDaily[EntryDate],DATE(2026,11,4),tblDaily[WardCode],"MAE")),"")</f>
        <v/>
      </c>
      <c r="E411" s="14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14" t="str">
        <f>IFERROR(IF(SUMIFS(tblDaily[TransfersIn],tblDaily[EntryDate],DATE(2026,11,4),tblDaily[WardCode],"MAE")=0,"",SUMIFS(tblDaily[TransfersIn],tblDaily[EntryDate],DATE(2026,11,4),tblDaily[WardCode],"MAE")),"")</f>
        <v/>
      </c>
      <c r="G411" s="14" t="str">
        <f>IFERROR(IF(SUMIFS(tblDaily[TransfersOut],tblDaily[EntryDate],DATE(2026,11,4),tblDaily[WardCode],"MAE")=0,"",SUMIFS(tblDaily[TransfersOut],tblDaily[EntryDate],DATE(2026,11,4),tblDaily[WardCode],"MAE")),"")</f>
        <v/>
      </c>
      <c r="H411" s="14" t="str">
        <f>IFERROR(IF(SUMIFS(tblDaily[Remaining],tblDaily[EntryDate],DATE(2026,11,4),tblDaily[WardCode],"MAE")=0,"",SUMIFS(tblDaily[Remaining],tblDaily[EntryDate],DATE(2026,11,4),tblDaily[WardCode],"MAE")),"")</f>
        <v/>
      </c>
      <c r="I411" s="14" t="str">
        <f>IFERROR(IF(SUMIFS(tblDaily[Admissions],tblDaily[EntryDate],DATE(2026,11,4),tblDaily[WardCode],"FAE")=0,"",SUMIFS(tblDaily[Admissions],tblDaily[EntryDate],DATE(2026,11,4),tblDaily[WardCode],"FAE")),"")</f>
        <v/>
      </c>
      <c r="J411" s="14" t="str">
        <f>IFERROR(IF(SUMIFS(tblDaily[Discharges],tblDaily[EntryDate],DATE(2026,11,4),tblDaily[WardCode],"FAE")=0,"",SUMIFS(tblDaily[Discharges],tblDaily[EntryDate],DATE(2026,11,4),tblDaily[WardCode],"FAE")),"")</f>
        <v/>
      </c>
      <c r="K411" s="14" t="str">
        <f>IFERROR(IF(SUMIFS(tblDaily[Deaths],tblDaily[EntryDate],DATE(2026,11,4),tblDaily[WardCode],"FAE")=0,"",SUMIFS(tblDaily[Deaths],tblDaily[EntryDate],DATE(2026,11,4),tblDaily[WardCode],"FAE")),"")</f>
        <v/>
      </c>
      <c r="L411" s="14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14" t="str">
        <f>IFERROR(IF(SUMIFS(tblDaily[TransfersIn],tblDaily[EntryDate],DATE(2026,11,4),tblDaily[WardCode],"FAE")=0,"",SUMIFS(tblDaily[TransfersIn],tblDaily[EntryDate],DATE(2026,11,4),tblDaily[WardCode],"FAE")),"")</f>
        <v/>
      </c>
      <c r="N411" s="14" t="str">
        <f>IFERROR(IF(SUMIFS(tblDaily[TransfersOut],tblDaily[EntryDate],DATE(2026,11,4),tblDaily[WardCode],"FAE")=0,"",SUMIFS(tblDaily[TransfersOut],tblDaily[EntryDate],DATE(2026,11,4),tblDaily[WardCode],"FAE")),"")</f>
        <v/>
      </c>
      <c r="O411" s="14" t="str">
        <f>IFERROR(IF(SUMIFS(tblDaily[Remaining],tblDaily[EntryDate],DATE(2026,11,4),tblDaily[WardCode],"FAE")=0,"",SUMIFS(tblDaily[Remaining],tblDaily[EntryDate],DATE(2026,11,4),tblDaily[WardCode],"FAE")),"")</f>
        <v/>
      </c>
      <c r="P411" s="15" t="str">
        <f t="shared" si="10"/>
        <v/>
      </c>
    </row>
    <row r="412" spans="1:16" x14ac:dyDescent="0.25">
      <c r="A412" s="14">
        <v>5</v>
      </c>
      <c r="B412" s="14" t="str">
        <f>IFERROR(IF(SUMIFS(tblDaily[Admissions],tblDaily[EntryDate],DATE(2026,11,5),tblDaily[WardCode],"MAE")=0,"",SUMIFS(tblDaily[Admissions],tblDaily[EntryDate],DATE(2026,11,5),tblDaily[WardCode],"MAE")),"")</f>
        <v/>
      </c>
      <c r="C412" s="14" t="str">
        <f>IFERROR(IF(SUMIFS(tblDaily[Discharges],tblDaily[EntryDate],DATE(2026,11,5),tblDaily[WardCode],"MAE")=0,"",SUMIFS(tblDaily[Discharges],tblDaily[EntryDate],DATE(2026,11,5),tblDaily[WardCode],"MAE")),"")</f>
        <v/>
      </c>
      <c r="D412" s="14" t="str">
        <f>IFERROR(IF(SUMIFS(tblDaily[Deaths],tblDaily[EntryDate],DATE(2026,11,5),tblDaily[WardCode],"MAE")=0,"",SUMIFS(tblDaily[Deaths],tblDaily[EntryDate],DATE(2026,11,5),tblDaily[WardCode],"MAE")),"")</f>
        <v/>
      </c>
      <c r="E412" s="14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14" t="str">
        <f>IFERROR(IF(SUMIFS(tblDaily[TransfersIn],tblDaily[EntryDate],DATE(2026,11,5),tblDaily[WardCode],"MAE")=0,"",SUMIFS(tblDaily[TransfersIn],tblDaily[EntryDate],DATE(2026,11,5),tblDaily[WardCode],"MAE")),"")</f>
        <v/>
      </c>
      <c r="G412" s="14" t="str">
        <f>IFERROR(IF(SUMIFS(tblDaily[TransfersOut],tblDaily[EntryDate],DATE(2026,11,5),tblDaily[WardCode],"MAE")=0,"",SUMIFS(tblDaily[TransfersOut],tblDaily[EntryDate],DATE(2026,11,5),tblDaily[WardCode],"MAE")),"")</f>
        <v/>
      </c>
      <c r="H412" s="14" t="str">
        <f>IFERROR(IF(SUMIFS(tblDaily[Remaining],tblDaily[EntryDate],DATE(2026,11,5),tblDaily[WardCode],"MAE")=0,"",SUMIFS(tblDaily[Remaining],tblDaily[EntryDate],DATE(2026,11,5),tblDaily[WardCode],"MAE")),"")</f>
        <v/>
      </c>
      <c r="I412" s="14" t="str">
        <f>IFERROR(IF(SUMIFS(tblDaily[Admissions],tblDaily[EntryDate],DATE(2026,11,5),tblDaily[WardCode],"FAE")=0,"",SUMIFS(tblDaily[Admissions],tblDaily[EntryDate],DATE(2026,11,5),tblDaily[WardCode],"FAE")),"")</f>
        <v/>
      </c>
      <c r="J412" s="14" t="str">
        <f>IFERROR(IF(SUMIFS(tblDaily[Discharges],tblDaily[EntryDate],DATE(2026,11,5),tblDaily[WardCode],"FAE")=0,"",SUMIFS(tblDaily[Discharges],tblDaily[EntryDate],DATE(2026,11,5),tblDaily[WardCode],"FAE")),"")</f>
        <v/>
      </c>
      <c r="K412" s="14" t="str">
        <f>IFERROR(IF(SUMIFS(tblDaily[Deaths],tblDaily[EntryDate],DATE(2026,11,5),tblDaily[WardCode],"FAE")=0,"",SUMIFS(tblDaily[Deaths],tblDaily[EntryDate],DATE(2026,11,5),tblDaily[WardCode],"FAE")),"")</f>
        <v/>
      </c>
      <c r="L412" s="14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14" t="str">
        <f>IFERROR(IF(SUMIFS(tblDaily[TransfersIn],tblDaily[EntryDate],DATE(2026,11,5),tblDaily[WardCode],"FAE")=0,"",SUMIFS(tblDaily[TransfersIn],tblDaily[EntryDate],DATE(2026,11,5),tblDaily[WardCode],"FAE")),"")</f>
        <v/>
      </c>
      <c r="N412" s="14" t="str">
        <f>IFERROR(IF(SUMIFS(tblDaily[TransfersOut],tblDaily[EntryDate],DATE(2026,11,5),tblDaily[WardCode],"FAE")=0,"",SUMIFS(tblDaily[TransfersOut],tblDaily[EntryDate],DATE(2026,11,5),tblDaily[WardCode],"FAE")),"")</f>
        <v/>
      </c>
      <c r="O412" s="14" t="str">
        <f>IFERROR(IF(SUMIFS(tblDaily[Remaining],tblDaily[EntryDate],DATE(2026,11,5),tblDaily[WardCode],"FAE")=0,"",SUMIFS(tblDaily[Remaining],tblDaily[EntryDate],DATE(2026,11,5),tblDaily[WardCode],"FAE")),"")</f>
        <v/>
      </c>
      <c r="P412" s="15" t="str">
        <f t="shared" si="10"/>
        <v/>
      </c>
    </row>
    <row r="413" spans="1:16" x14ac:dyDescent="0.25">
      <c r="A413" s="14">
        <v>6</v>
      </c>
      <c r="B413" s="14" t="str">
        <f>IFERROR(IF(SUMIFS(tblDaily[Admissions],tblDaily[EntryDate],DATE(2026,11,6),tblDaily[WardCode],"MAE")=0,"",SUMIFS(tblDaily[Admissions],tblDaily[EntryDate],DATE(2026,11,6),tblDaily[WardCode],"MAE")),"")</f>
        <v/>
      </c>
      <c r="C413" s="14" t="str">
        <f>IFERROR(IF(SUMIFS(tblDaily[Discharges],tblDaily[EntryDate],DATE(2026,11,6),tblDaily[WardCode],"MAE")=0,"",SUMIFS(tblDaily[Discharges],tblDaily[EntryDate],DATE(2026,11,6),tblDaily[WardCode],"MAE")),"")</f>
        <v/>
      </c>
      <c r="D413" s="14" t="str">
        <f>IFERROR(IF(SUMIFS(tblDaily[Deaths],tblDaily[EntryDate],DATE(2026,11,6),tblDaily[WardCode],"MAE")=0,"",SUMIFS(tblDaily[Deaths],tblDaily[EntryDate],DATE(2026,11,6),tblDaily[WardCode],"MAE")),"")</f>
        <v/>
      </c>
      <c r="E413" s="14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14" t="str">
        <f>IFERROR(IF(SUMIFS(tblDaily[TransfersIn],tblDaily[EntryDate],DATE(2026,11,6),tblDaily[WardCode],"MAE")=0,"",SUMIFS(tblDaily[TransfersIn],tblDaily[EntryDate],DATE(2026,11,6),tblDaily[WardCode],"MAE")),"")</f>
        <v/>
      </c>
      <c r="G413" s="14" t="str">
        <f>IFERROR(IF(SUMIFS(tblDaily[TransfersOut],tblDaily[EntryDate],DATE(2026,11,6),tblDaily[WardCode],"MAE")=0,"",SUMIFS(tblDaily[TransfersOut],tblDaily[EntryDate],DATE(2026,11,6),tblDaily[WardCode],"MAE")),"")</f>
        <v/>
      </c>
      <c r="H413" s="14" t="str">
        <f>IFERROR(IF(SUMIFS(tblDaily[Remaining],tblDaily[EntryDate],DATE(2026,11,6),tblDaily[WardCode],"MAE")=0,"",SUMIFS(tblDaily[Remaining],tblDaily[EntryDate],DATE(2026,11,6),tblDaily[WardCode],"MAE")),"")</f>
        <v/>
      </c>
      <c r="I413" s="14" t="str">
        <f>IFERROR(IF(SUMIFS(tblDaily[Admissions],tblDaily[EntryDate],DATE(2026,11,6),tblDaily[WardCode],"FAE")=0,"",SUMIFS(tblDaily[Admissions],tblDaily[EntryDate],DATE(2026,11,6),tblDaily[WardCode],"FAE")),"")</f>
        <v/>
      </c>
      <c r="J413" s="14" t="str">
        <f>IFERROR(IF(SUMIFS(tblDaily[Discharges],tblDaily[EntryDate],DATE(2026,11,6),tblDaily[WardCode],"FAE")=0,"",SUMIFS(tblDaily[Discharges],tblDaily[EntryDate],DATE(2026,11,6),tblDaily[WardCode],"FAE")),"")</f>
        <v/>
      </c>
      <c r="K413" s="14" t="str">
        <f>IFERROR(IF(SUMIFS(tblDaily[Deaths],tblDaily[EntryDate],DATE(2026,11,6),tblDaily[WardCode],"FAE")=0,"",SUMIFS(tblDaily[Deaths],tblDaily[EntryDate],DATE(2026,11,6),tblDaily[WardCode],"FAE")),"")</f>
        <v/>
      </c>
      <c r="L413" s="14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14" t="str">
        <f>IFERROR(IF(SUMIFS(tblDaily[TransfersIn],tblDaily[EntryDate],DATE(2026,11,6),tblDaily[WardCode],"FAE")=0,"",SUMIFS(tblDaily[TransfersIn],tblDaily[EntryDate],DATE(2026,11,6),tblDaily[WardCode],"FAE")),"")</f>
        <v/>
      </c>
      <c r="N413" s="14" t="str">
        <f>IFERROR(IF(SUMIFS(tblDaily[TransfersOut],tblDaily[EntryDate],DATE(2026,11,6),tblDaily[WardCode],"FAE")=0,"",SUMIFS(tblDaily[TransfersOut],tblDaily[EntryDate],DATE(2026,11,6),tblDaily[WardCode],"FAE")),"")</f>
        <v/>
      </c>
      <c r="O413" s="14" t="str">
        <f>IFERROR(IF(SUMIFS(tblDaily[Remaining],tblDaily[EntryDate],DATE(2026,11,6),tblDaily[WardCode],"FAE")=0,"",SUMIFS(tblDaily[Remaining],tblDaily[EntryDate],DATE(2026,11,6),tblDaily[WardCode],"FAE")),"")</f>
        <v/>
      </c>
      <c r="P413" s="15" t="str">
        <f t="shared" si="10"/>
        <v/>
      </c>
    </row>
    <row r="414" spans="1:16" x14ac:dyDescent="0.25">
      <c r="A414" s="14">
        <v>7</v>
      </c>
      <c r="B414" s="14" t="str">
        <f>IFERROR(IF(SUMIFS(tblDaily[Admissions],tblDaily[EntryDate],DATE(2026,11,7),tblDaily[WardCode],"MAE")=0,"",SUMIFS(tblDaily[Admissions],tblDaily[EntryDate],DATE(2026,11,7),tblDaily[WardCode],"MAE")),"")</f>
        <v/>
      </c>
      <c r="C414" s="14" t="str">
        <f>IFERROR(IF(SUMIFS(tblDaily[Discharges],tblDaily[EntryDate],DATE(2026,11,7),tblDaily[WardCode],"MAE")=0,"",SUMIFS(tblDaily[Discharges],tblDaily[EntryDate],DATE(2026,11,7),tblDaily[WardCode],"MAE")),"")</f>
        <v/>
      </c>
      <c r="D414" s="14" t="str">
        <f>IFERROR(IF(SUMIFS(tblDaily[Deaths],tblDaily[EntryDate],DATE(2026,11,7),tblDaily[WardCode],"MAE")=0,"",SUMIFS(tblDaily[Deaths],tblDaily[EntryDate],DATE(2026,11,7),tblDaily[WardCode],"MAE")),"")</f>
        <v/>
      </c>
      <c r="E414" s="14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14" t="str">
        <f>IFERROR(IF(SUMIFS(tblDaily[TransfersIn],tblDaily[EntryDate],DATE(2026,11,7),tblDaily[WardCode],"MAE")=0,"",SUMIFS(tblDaily[TransfersIn],tblDaily[EntryDate],DATE(2026,11,7),tblDaily[WardCode],"MAE")),"")</f>
        <v/>
      </c>
      <c r="G414" s="14" t="str">
        <f>IFERROR(IF(SUMIFS(tblDaily[TransfersOut],tblDaily[EntryDate],DATE(2026,11,7),tblDaily[WardCode],"MAE")=0,"",SUMIFS(tblDaily[TransfersOut],tblDaily[EntryDate],DATE(2026,11,7),tblDaily[WardCode],"MAE")),"")</f>
        <v/>
      </c>
      <c r="H414" s="14" t="str">
        <f>IFERROR(IF(SUMIFS(tblDaily[Remaining],tblDaily[EntryDate],DATE(2026,11,7),tblDaily[WardCode],"MAE")=0,"",SUMIFS(tblDaily[Remaining],tblDaily[EntryDate],DATE(2026,11,7),tblDaily[WardCode],"MAE")),"")</f>
        <v/>
      </c>
      <c r="I414" s="14" t="str">
        <f>IFERROR(IF(SUMIFS(tblDaily[Admissions],tblDaily[EntryDate],DATE(2026,11,7),tblDaily[WardCode],"FAE")=0,"",SUMIFS(tblDaily[Admissions],tblDaily[EntryDate],DATE(2026,11,7),tblDaily[WardCode],"FAE")),"")</f>
        <v/>
      </c>
      <c r="J414" s="14" t="str">
        <f>IFERROR(IF(SUMIFS(tblDaily[Discharges],tblDaily[EntryDate],DATE(2026,11,7),tblDaily[WardCode],"FAE")=0,"",SUMIFS(tblDaily[Discharges],tblDaily[EntryDate],DATE(2026,11,7),tblDaily[WardCode],"FAE")),"")</f>
        <v/>
      </c>
      <c r="K414" s="14" t="str">
        <f>IFERROR(IF(SUMIFS(tblDaily[Deaths],tblDaily[EntryDate],DATE(2026,11,7),tblDaily[WardCode],"FAE")=0,"",SUMIFS(tblDaily[Deaths],tblDaily[EntryDate],DATE(2026,11,7),tblDaily[WardCode],"FAE")),"")</f>
        <v/>
      </c>
      <c r="L414" s="14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14" t="str">
        <f>IFERROR(IF(SUMIFS(tblDaily[TransfersIn],tblDaily[EntryDate],DATE(2026,11,7),tblDaily[WardCode],"FAE")=0,"",SUMIFS(tblDaily[TransfersIn],tblDaily[EntryDate],DATE(2026,11,7),tblDaily[WardCode],"FAE")),"")</f>
        <v/>
      </c>
      <c r="N414" s="14" t="str">
        <f>IFERROR(IF(SUMIFS(tblDaily[TransfersOut],tblDaily[EntryDate],DATE(2026,11,7),tblDaily[WardCode],"FAE")=0,"",SUMIFS(tblDaily[TransfersOut],tblDaily[EntryDate],DATE(2026,11,7),tblDaily[WardCode],"FAE")),"")</f>
        <v/>
      </c>
      <c r="O414" s="14" t="str">
        <f>IFERROR(IF(SUMIFS(tblDaily[Remaining],tblDaily[EntryDate],DATE(2026,11,7),tblDaily[WardCode],"FAE")=0,"",SUMIFS(tblDaily[Remaining],tblDaily[EntryDate],DATE(2026,11,7),tblDaily[WardCode],"FAE")),"")</f>
        <v/>
      </c>
      <c r="P414" s="15" t="str">
        <f t="shared" si="10"/>
        <v/>
      </c>
    </row>
    <row r="415" spans="1:16" x14ac:dyDescent="0.25">
      <c r="A415" s="14">
        <v>8</v>
      </c>
      <c r="B415" s="14" t="str">
        <f>IFERROR(IF(SUMIFS(tblDaily[Admissions],tblDaily[EntryDate],DATE(2026,11,8),tblDaily[WardCode],"MAE")=0,"",SUMIFS(tblDaily[Admissions],tblDaily[EntryDate],DATE(2026,11,8),tblDaily[WardCode],"MAE")),"")</f>
        <v/>
      </c>
      <c r="C415" s="14" t="str">
        <f>IFERROR(IF(SUMIFS(tblDaily[Discharges],tblDaily[EntryDate],DATE(2026,11,8),tblDaily[WardCode],"MAE")=0,"",SUMIFS(tblDaily[Discharges],tblDaily[EntryDate],DATE(2026,11,8),tblDaily[WardCode],"MAE")),"")</f>
        <v/>
      </c>
      <c r="D415" s="14" t="str">
        <f>IFERROR(IF(SUMIFS(tblDaily[Deaths],tblDaily[EntryDate],DATE(2026,11,8),tblDaily[WardCode],"MAE")=0,"",SUMIFS(tblDaily[Deaths],tblDaily[EntryDate],DATE(2026,11,8),tblDaily[WardCode],"MAE")),"")</f>
        <v/>
      </c>
      <c r="E415" s="14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14" t="str">
        <f>IFERROR(IF(SUMIFS(tblDaily[TransfersIn],tblDaily[EntryDate],DATE(2026,11,8),tblDaily[WardCode],"MAE")=0,"",SUMIFS(tblDaily[TransfersIn],tblDaily[EntryDate],DATE(2026,11,8),tblDaily[WardCode],"MAE")),"")</f>
        <v/>
      </c>
      <c r="G415" s="14" t="str">
        <f>IFERROR(IF(SUMIFS(tblDaily[TransfersOut],tblDaily[EntryDate],DATE(2026,11,8),tblDaily[WardCode],"MAE")=0,"",SUMIFS(tblDaily[TransfersOut],tblDaily[EntryDate],DATE(2026,11,8),tblDaily[WardCode],"MAE")),"")</f>
        <v/>
      </c>
      <c r="H415" s="14" t="str">
        <f>IFERROR(IF(SUMIFS(tblDaily[Remaining],tblDaily[EntryDate],DATE(2026,11,8),tblDaily[WardCode],"MAE")=0,"",SUMIFS(tblDaily[Remaining],tblDaily[EntryDate],DATE(2026,11,8),tblDaily[WardCode],"MAE")),"")</f>
        <v/>
      </c>
      <c r="I415" s="14" t="str">
        <f>IFERROR(IF(SUMIFS(tblDaily[Admissions],tblDaily[EntryDate],DATE(2026,11,8),tblDaily[WardCode],"FAE")=0,"",SUMIFS(tblDaily[Admissions],tblDaily[EntryDate],DATE(2026,11,8),tblDaily[WardCode],"FAE")),"")</f>
        <v/>
      </c>
      <c r="J415" s="14" t="str">
        <f>IFERROR(IF(SUMIFS(tblDaily[Discharges],tblDaily[EntryDate],DATE(2026,11,8),tblDaily[WardCode],"FAE")=0,"",SUMIFS(tblDaily[Discharges],tblDaily[EntryDate],DATE(2026,11,8),tblDaily[WardCode],"FAE")),"")</f>
        <v/>
      </c>
      <c r="K415" s="14" t="str">
        <f>IFERROR(IF(SUMIFS(tblDaily[Deaths],tblDaily[EntryDate],DATE(2026,11,8),tblDaily[WardCode],"FAE")=0,"",SUMIFS(tblDaily[Deaths],tblDaily[EntryDate],DATE(2026,11,8),tblDaily[WardCode],"FAE")),"")</f>
        <v/>
      </c>
      <c r="L415" s="14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14" t="str">
        <f>IFERROR(IF(SUMIFS(tblDaily[TransfersIn],tblDaily[EntryDate],DATE(2026,11,8),tblDaily[WardCode],"FAE")=0,"",SUMIFS(tblDaily[TransfersIn],tblDaily[EntryDate],DATE(2026,11,8),tblDaily[WardCode],"FAE")),"")</f>
        <v/>
      </c>
      <c r="N415" s="14" t="str">
        <f>IFERROR(IF(SUMIFS(tblDaily[TransfersOut],tblDaily[EntryDate],DATE(2026,11,8),tblDaily[WardCode],"FAE")=0,"",SUMIFS(tblDaily[TransfersOut],tblDaily[EntryDate],DATE(2026,11,8),tblDaily[WardCode],"FAE")),"")</f>
        <v/>
      </c>
      <c r="O415" s="14" t="str">
        <f>IFERROR(IF(SUMIFS(tblDaily[Remaining],tblDaily[EntryDate],DATE(2026,11,8),tblDaily[WardCode],"FAE")=0,"",SUMIFS(tblDaily[Remaining],tblDaily[EntryDate],DATE(2026,11,8),tblDaily[WardCode],"FAE")),"")</f>
        <v/>
      </c>
      <c r="P415" s="15" t="str">
        <f t="shared" si="10"/>
        <v/>
      </c>
    </row>
    <row r="416" spans="1:16" x14ac:dyDescent="0.25">
      <c r="A416" s="14">
        <v>9</v>
      </c>
      <c r="B416" s="14" t="str">
        <f>IFERROR(IF(SUMIFS(tblDaily[Admissions],tblDaily[EntryDate],DATE(2026,11,9),tblDaily[WardCode],"MAE")=0,"",SUMIFS(tblDaily[Admissions],tblDaily[EntryDate],DATE(2026,11,9),tblDaily[WardCode],"MAE")),"")</f>
        <v/>
      </c>
      <c r="C416" s="14" t="str">
        <f>IFERROR(IF(SUMIFS(tblDaily[Discharges],tblDaily[EntryDate],DATE(2026,11,9),tblDaily[WardCode],"MAE")=0,"",SUMIFS(tblDaily[Discharges],tblDaily[EntryDate],DATE(2026,11,9),tblDaily[WardCode],"MAE")),"")</f>
        <v/>
      </c>
      <c r="D416" s="14" t="str">
        <f>IFERROR(IF(SUMIFS(tblDaily[Deaths],tblDaily[EntryDate],DATE(2026,11,9),tblDaily[WardCode],"MAE")=0,"",SUMIFS(tblDaily[Deaths],tblDaily[EntryDate],DATE(2026,11,9),tblDaily[WardCode],"MAE")),"")</f>
        <v/>
      </c>
      <c r="E416" s="14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14" t="str">
        <f>IFERROR(IF(SUMIFS(tblDaily[TransfersIn],tblDaily[EntryDate],DATE(2026,11,9),tblDaily[WardCode],"MAE")=0,"",SUMIFS(tblDaily[TransfersIn],tblDaily[EntryDate],DATE(2026,11,9),tblDaily[WardCode],"MAE")),"")</f>
        <v/>
      </c>
      <c r="G416" s="14" t="str">
        <f>IFERROR(IF(SUMIFS(tblDaily[TransfersOut],tblDaily[EntryDate],DATE(2026,11,9),tblDaily[WardCode],"MAE")=0,"",SUMIFS(tblDaily[TransfersOut],tblDaily[EntryDate],DATE(2026,11,9),tblDaily[WardCode],"MAE")),"")</f>
        <v/>
      </c>
      <c r="H416" s="14" t="str">
        <f>IFERROR(IF(SUMIFS(tblDaily[Remaining],tblDaily[EntryDate],DATE(2026,11,9),tblDaily[WardCode],"MAE")=0,"",SUMIFS(tblDaily[Remaining],tblDaily[EntryDate],DATE(2026,11,9),tblDaily[WardCode],"MAE")),"")</f>
        <v/>
      </c>
      <c r="I416" s="14" t="str">
        <f>IFERROR(IF(SUMIFS(tblDaily[Admissions],tblDaily[EntryDate],DATE(2026,11,9),tblDaily[WardCode],"FAE")=0,"",SUMIFS(tblDaily[Admissions],tblDaily[EntryDate],DATE(2026,11,9),tblDaily[WardCode],"FAE")),"")</f>
        <v/>
      </c>
      <c r="J416" s="14" t="str">
        <f>IFERROR(IF(SUMIFS(tblDaily[Discharges],tblDaily[EntryDate],DATE(2026,11,9),tblDaily[WardCode],"FAE")=0,"",SUMIFS(tblDaily[Discharges],tblDaily[EntryDate],DATE(2026,11,9),tblDaily[WardCode],"FAE")),"")</f>
        <v/>
      </c>
      <c r="K416" s="14" t="str">
        <f>IFERROR(IF(SUMIFS(tblDaily[Deaths],tblDaily[EntryDate],DATE(2026,11,9),tblDaily[WardCode],"FAE")=0,"",SUMIFS(tblDaily[Deaths],tblDaily[EntryDate],DATE(2026,11,9),tblDaily[WardCode],"FAE")),"")</f>
        <v/>
      </c>
      <c r="L416" s="14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14" t="str">
        <f>IFERROR(IF(SUMIFS(tblDaily[TransfersIn],tblDaily[EntryDate],DATE(2026,11,9),tblDaily[WardCode],"FAE")=0,"",SUMIFS(tblDaily[TransfersIn],tblDaily[EntryDate],DATE(2026,11,9),tblDaily[WardCode],"FAE")),"")</f>
        <v/>
      </c>
      <c r="N416" s="14" t="str">
        <f>IFERROR(IF(SUMIFS(tblDaily[TransfersOut],tblDaily[EntryDate],DATE(2026,11,9),tblDaily[WardCode],"FAE")=0,"",SUMIFS(tblDaily[TransfersOut],tblDaily[EntryDate],DATE(2026,11,9),tblDaily[WardCode],"FAE")),"")</f>
        <v/>
      </c>
      <c r="O416" s="14" t="str">
        <f>IFERROR(IF(SUMIFS(tblDaily[Remaining],tblDaily[EntryDate],DATE(2026,11,9),tblDaily[WardCode],"FAE")=0,"",SUMIFS(tblDaily[Remaining],tblDaily[EntryDate],DATE(2026,11,9),tblDaily[WardCode],"FAE")),"")</f>
        <v/>
      </c>
      <c r="P416" s="15" t="str">
        <f t="shared" si="10"/>
        <v/>
      </c>
    </row>
    <row r="417" spans="1:16" x14ac:dyDescent="0.25">
      <c r="A417" s="14">
        <v>10</v>
      </c>
      <c r="B417" s="14" t="str">
        <f>IFERROR(IF(SUMIFS(tblDaily[Admissions],tblDaily[EntryDate],DATE(2026,11,10),tblDaily[WardCode],"MAE")=0,"",SUMIFS(tblDaily[Admissions],tblDaily[EntryDate],DATE(2026,11,10),tblDaily[WardCode],"MAE")),"")</f>
        <v/>
      </c>
      <c r="C417" s="14" t="str">
        <f>IFERROR(IF(SUMIFS(tblDaily[Discharges],tblDaily[EntryDate],DATE(2026,11,10),tblDaily[WardCode],"MAE")=0,"",SUMIFS(tblDaily[Discharges],tblDaily[EntryDate],DATE(2026,11,10),tblDaily[WardCode],"MAE")),"")</f>
        <v/>
      </c>
      <c r="D417" s="14" t="str">
        <f>IFERROR(IF(SUMIFS(tblDaily[Deaths],tblDaily[EntryDate],DATE(2026,11,10),tblDaily[WardCode],"MAE")=0,"",SUMIFS(tblDaily[Deaths],tblDaily[EntryDate],DATE(2026,11,10),tblDaily[WardCode],"MAE")),"")</f>
        <v/>
      </c>
      <c r="E417" s="1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14" t="str">
        <f>IFERROR(IF(SUMIFS(tblDaily[TransfersIn],tblDaily[EntryDate],DATE(2026,11,10),tblDaily[WardCode],"MAE")=0,"",SUMIFS(tblDaily[TransfersIn],tblDaily[EntryDate],DATE(2026,11,10),tblDaily[WardCode],"MAE")),"")</f>
        <v/>
      </c>
      <c r="G417" s="14" t="str">
        <f>IFERROR(IF(SUMIFS(tblDaily[TransfersOut],tblDaily[EntryDate],DATE(2026,11,10),tblDaily[WardCode],"MAE")=0,"",SUMIFS(tblDaily[TransfersOut],tblDaily[EntryDate],DATE(2026,11,10),tblDaily[WardCode],"MAE")),"")</f>
        <v/>
      </c>
      <c r="H417" s="14" t="str">
        <f>IFERROR(IF(SUMIFS(tblDaily[Remaining],tblDaily[EntryDate],DATE(2026,11,10),tblDaily[WardCode],"MAE")=0,"",SUMIFS(tblDaily[Remaining],tblDaily[EntryDate],DATE(2026,11,10),tblDaily[WardCode],"MAE")),"")</f>
        <v/>
      </c>
      <c r="I417" s="14" t="str">
        <f>IFERROR(IF(SUMIFS(tblDaily[Admissions],tblDaily[EntryDate],DATE(2026,11,10),tblDaily[WardCode],"FAE")=0,"",SUMIFS(tblDaily[Admissions],tblDaily[EntryDate],DATE(2026,11,10),tblDaily[WardCode],"FAE")),"")</f>
        <v/>
      </c>
      <c r="J417" s="14" t="str">
        <f>IFERROR(IF(SUMIFS(tblDaily[Discharges],tblDaily[EntryDate],DATE(2026,11,10),tblDaily[WardCode],"FAE")=0,"",SUMIFS(tblDaily[Discharges],tblDaily[EntryDate],DATE(2026,11,10),tblDaily[WardCode],"FAE")),"")</f>
        <v/>
      </c>
      <c r="K417" s="14" t="str">
        <f>IFERROR(IF(SUMIFS(tblDaily[Deaths],tblDaily[EntryDate],DATE(2026,11,10),tblDaily[WardCode],"FAE")=0,"",SUMIFS(tblDaily[Deaths],tblDaily[EntryDate],DATE(2026,11,10),tblDaily[WardCode],"FAE")),"")</f>
        <v/>
      </c>
      <c r="L417" s="14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14" t="str">
        <f>IFERROR(IF(SUMIFS(tblDaily[TransfersIn],tblDaily[EntryDate],DATE(2026,11,10),tblDaily[WardCode],"FAE")=0,"",SUMIFS(tblDaily[TransfersIn],tblDaily[EntryDate],DATE(2026,11,10),tblDaily[WardCode],"FAE")),"")</f>
        <v/>
      </c>
      <c r="N417" s="14" t="str">
        <f>IFERROR(IF(SUMIFS(tblDaily[TransfersOut],tblDaily[EntryDate],DATE(2026,11,10),tblDaily[WardCode],"FAE")=0,"",SUMIFS(tblDaily[TransfersOut],tblDaily[EntryDate],DATE(2026,11,10),tblDaily[WardCode],"FAE")),"")</f>
        <v/>
      </c>
      <c r="O417" s="14" t="str">
        <f>IFERROR(IF(SUMIFS(tblDaily[Remaining],tblDaily[EntryDate],DATE(2026,11,10),tblDaily[WardCode],"FAE")=0,"",SUMIFS(tblDaily[Remaining],tblDaily[EntryDate],DATE(2026,11,10),tblDaily[WardCode],"FAE")),"")</f>
        <v/>
      </c>
      <c r="P417" s="15" t="str">
        <f t="shared" si="10"/>
        <v/>
      </c>
    </row>
    <row r="418" spans="1:16" x14ac:dyDescent="0.25">
      <c r="A418" s="14">
        <v>11</v>
      </c>
      <c r="B418" s="14" t="str">
        <f>IFERROR(IF(SUMIFS(tblDaily[Admissions],tblDaily[EntryDate],DATE(2026,11,11),tblDaily[WardCode],"MAE")=0,"",SUMIFS(tblDaily[Admissions],tblDaily[EntryDate],DATE(2026,11,11),tblDaily[WardCode],"MAE")),"")</f>
        <v/>
      </c>
      <c r="C418" s="14" t="str">
        <f>IFERROR(IF(SUMIFS(tblDaily[Discharges],tblDaily[EntryDate],DATE(2026,11,11),tblDaily[WardCode],"MAE")=0,"",SUMIFS(tblDaily[Discharges],tblDaily[EntryDate],DATE(2026,11,11),tblDaily[WardCode],"MAE")),"")</f>
        <v/>
      </c>
      <c r="D418" s="14" t="str">
        <f>IFERROR(IF(SUMIFS(tblDaily[Deaths],tblDaily[EntryDate],DATE(2026,11,11),tblDaily[WardCode],"MAE")=0,"",SUMIFS(tblDaily[Deaths],tblDaily[EntryDate],DATE(2026,11,11),tblDaily[WardCode],"MAE")),"")</f>
        <v/>
      </c>
      <c r="E418" s="1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14" t="str">
        <f>IFERROR(IF(SUMIFS(tblDaily[TransfersIn],tblDaily[EntryDate],DATE(2026,11,11),tblDaily[WardCode],"MAE")=0,"",SUMIFS(tblDaily[TransfersIn],tblDaily[EntryDate],DATE(2026,11,11),tblDaily[WardCode],"MAE")),"")</f>
        <v/>
      </c>
      <c r="G418" s="14" t="str">
        <f>IFERROR(IF(SUMIFS(tblDaily[TransfersOut],tblDaily[EntryDate],DATE(2026,11,11),tblDaily[WardCode],"MAE")=0,"",SUMIFS(tblDaily[TransfersOut],tblDaily[EntryDate],DATE(2026,11,11),tblDaily[WardCode],"MAE")),"")</f>
        <v/>
      </c>
      <c r="H418" s="14" t="str">
        <f>IFERROR(IF(SUMIFS(tblDaily[Remaining],tblDaily[EntryDate],DATE(2026,11,11),tblDaily[WardCode],"MAE")=0,"",SUMIFS(tblDaily[Remaining],tblDaily[EntryDate],DATE(2026,11,11),tblDaily[WardCode],"MAE")),"")</f>
        <v/>
      </c>
      <c r="I418" s="14" t="str">
        <f>IFERROR(IF(SUMIFS(tblDaily[Admissions],tblDaily[EntryDate],DATE(2026,11,11),tblDaily[WardCode],"FAE")=0,"",SUMIFS(tblDaily[Admissions],tblDaily[EntryDate],DATE(2026,11,11),tblDaily[WardCode],"FAE")),"")</f>
        <v/>
      </c>
      <c r="J418" s="14" t="str">
        <f>IFERROR(IF(SUMIFS(tblDaily[Discharges],tblDaily[EntryDate],DATE(2026,11,11),tblDaily[WardCode],"FAE")=0,"",SUMIFS(tblDaily[Discharges],tblDaily[EntryDate],DATE(2026,11,11),tblDaily[WardCode],"FAE")),"")</f>
        <v/>
      </c>
      <c r="K418" s="14" t="str">
        <f>IFERROR(IF(SUMIFS(tblDaily[Deaths],tblDaily[EntryDate],DATE(2026,11,11),tblDaily[WardCode],"FAE")=0,"",SUMIFS(tblDaily[Deaths],tblDaily[EntryDate],DATE(2026,11,11),tblDaily[WardCode],"FAE")),"")</f>
        <v/>
      </c>
      <c r="L418" s="14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14" t="str">
        <f>IFERROR(IF(SUMIFS(tblDaily[TransfersIn],tblDaily[EntryDate],DATE(2026,11,11),tblDaily[WardCode],"FAE")=0,"",SUMIFS(tblDaily[TransfersIn],tblDaily[EntryDate],DATE(2026,11,11),tblDaily[WardCode],"FAE")),"")</f>
        <v/>
      </c>
      <c r="N418" s="14" t="str">
        <f>IFERROR(IF(SUMIFS(tblDaily[TransfersOut],tblDaily[EntryDate],DATE(2026,11,11),tblDaily[WardCode],"FAE")=0,"",SUMIFS(tblDaily[TransfersOut],tblDaily[EntryDate],DATE(2026,11,11),tblDaily[WardCode],"FAE")),"")</f>
        <v/>
      </c>
      <c r="O418" s="14" t="str">
        <f>IFERROR(IF(SUMIFS(tblDaily[Remaining],tblDaily[EntryDate],DATE(2026,11,11),tblDaily[WardCode],"FAE")=0,"",SUMIFS(tblDaily[Remaining],tblDaily[EntryDate],DATE(2026,11,11),tblDaily[WardCode],"FAE")),"")</f>
        <v/>
      </c>
      <c r="P418" s="15" t="str">
        <f t="shared" si="10"/>
        <v/>
      </c>
    </row>
    <row r="419" spans="1:16" x14ac:dyDescent="0.25">
      <c r="A419" s="14">
        <v>12</v>
      </c>
      <c r="B419" s="14" t="str">
        <f>IFERROR(IF(SUMIFS(tblDaily[Admissions],tblDaily[EntryDate],DATE(2026,11,12),tblDaily[WardCode],"MAE")=0,"",SUMIFS(tblDaily[Admissions],tblDaily[EntryDate],DATE(2026,11,12),tblDaily[WardCode],"MAE")),"")</f>
        <v/>
      </c>
      <c r="C419" s="14" t="str">
        <f>IFERROR(IF(SUMIFS(tblDaily[Discharges],tblDaily[EntryDate],DATE(2026,11,12),tblDaily[WardCode],"MAE")=0,"",SUMIFS(tblDaily[Discharges],tblDaily[EntryDate],DATE(2026,11,12),tblDaily[WardCode],"MAE")),"")</f>
        <v/>
      </c>
      <c r="D419" s="14" t="str">
        <f>IFERROR(IF(SUMIFS(tblDaily[Deaths],tblDaily[EntryDate],DATE(2026,11,12),tblDaily[WardCode],"MAE")=0,"",SUMIFS(tblDaily[Deaths],tblDaily[EntryDate],DATE(2026,11,12),tblDaily[WardCode],"MAE")),"")</f>
        <v/>
      </c>
      <c r="E419" s="1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14" t="str">
        <f>IFERROR(IF(SUMIFS(tblDaily[TransfersIn],tblDaily[EntryDate],DATE(2026,11,12),tblDaily[WardCode],"MAE")=0,"",SUMIFS(tblDaily[TransfersIn],tblDaily[EntryDate],DATE(2026,11,12),tblDaily[WardCode],"MAE")),"")</f>
        <v/>
      </c>
      <c r="G419" s="14" t="str">
        <f>IFERROR(IF(SUMIFS(tblDaily[TransfersOut],tblDaily[EntryDate],DATE(2026,11,12),tblDaily[WardCode],"MAE")=0,"",SUMIFS(tblDaily[TransfersOut],tblDaily[EntryDate],DATE(2026,11,12),tblDaily[WardCode],"MAE")),"")</f>
        <v/>
      </c>
      <c r="H419" s="14" t="str">
        <f>IFERROR(IF(SUMIFS(tblDaily[Remaining],tblDaily[EntryDate],DATE(2026,11,12),tblDaily[WardCode],"MAE")=0,"",SUMIFS(tblDaily[Remaining],tblDaily[EntryDate],DATE(2026,11,12),tblDaily[WardCode],"MAE")),"")</f>
        <v/>
      </c>
      <c r="I419" s="14" t="str">
        <f>IFERROR(IF(SUMIFS(tblDaily[Admissions],tblDaily[EntryDate],DATE(2026,11,12),tblDaily[WardCode],"FAE")=0,"",SUMIFS(tblDaily[Admissions],tblDaily[EntryDate],DATE(2026,11,12),tblDaily[WardCode],"FAE")),"")</f>
        <v/>
      </c>
      <c r="J419" s="14" t="str">
        <f>IFERROR(IF(SUMIFS(tblDaily[Discharges],tblDaily[EntryDate],DATE(2026,11,12),tblDaily[WardCode],"FAE")=0,"",SUMIFS(tblDaily[Discharges],tblDaily[EntryDate],DATE(2026,11,12),tblDaily[WardCode],"FAE")),"")</f>
        <v/>
      </c>
      <c r="K419" s="14" t="str">
        <f>IFERROR(IF(SUMIFS(tblDaily[Deaths],tblDaily[EntryDate],DATE(2026,11,12),tblDaily[WardCode],"FAE")=0,"",SUMIFS(tblDaily[Deaths],tblDaily[EntryDate],DATE(2026,11,12),tblDaily[WardCode],"FAE")),"")</f>
        <v/>
      </c>
      <c r="L419" s="14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14" t="str">
        <f>IFERROR(IF(SUMIFS(tblDaily[TransfersIn],tblDaily[EntryDate],DATE(2026,11,12),tblDaily[WardCode],"FAE")=0,"",SUMIFS(tblDaily[TransfersIn],tblDaily[EntryDate],DATE(2026,11,12),tblDaily[WardCode],"FAE")),"")</f>
        <v/>
      </c>
      <c r="N419" s="14" t="str">
        <f>IFERROR(IF(SUMIFS(tblDaily[TransfersOut],tblDaily[EntryDate],DATE(2026,11,12),tblDaily[WardCode],"FAE")=0,"",SUMIFS(tblDaily[TransfersOut],tblDaily[EntryDate],DATE(2026,11,12),tblDaily[WardCode],"FAE")),"")</f>
        <v/>
      </c>
      <c r="O419" s="14" t="str">
        <f>IFERROR(IF(SUMIFS(tblDaily[Remaining],tblDaily[EntryDate],DATE(2026,11,12),tblDaily[WardCode],"FAE")=0,"",SUMIFS(tblDaily[Remaining],tblDaily[EntryDate],DATE(2026,11,12),tblDaily[WardCode],"FAE")),"")</f>
        <v/>
      </c>
      <c r="P419" s="15" t="str">
        <f t="shared" si="10"/>
        <v/>
      </c>
    </row>
    <row r="420" spans="1:16" x14ac:dyDescent="0.25">
      <c r="A420" s="14">
        <v>13</v>
      </c>
      <c r="B420" s="14" t="str">
        <f>IFERROR(IF(SUMIFS(tblDaily[Admissions],tblDaily[EntryDate],DATE(2026,11,13),tblDaily[WardCode],"MAE")=0,"",SUMIFS(tblDaily[Admissions],tblDaily[EntryDate],DATE(2026,11,13),tblDaily[WardCode],"MAE")),"")</f>
        <v/>
      </c>
      <c r="C420" s="14" t="str">
        <f>IFERROR(IF(SUMIFS(tblDaily[Discharges],tblDaily[EntryDate],DATE(2026,11,13),tblDaily[WardCode],"MAE")=0,"",SUMIFS(tblDaily[Discharges],tblDaily[EntryDate],DATE(2026,11,13),tblDaily[WardCode],"MAE")),"")</f>
        <v/>
      </c>
      <c r="D420" s="14" t="str">
        <f>IFERROR(IF(SUMIFS(tblDaily[Deaths],tblDaily[EntryDate],DATE(2026,11,13),tblDaily[WardCode],"MAE")=0,"",SUMIFS(tblDaily[Deaths],tblDaily[EntryDate],DATE(2026,11,13),tblDaily[WardCode],"MAE")),"")</f>
        <v/>
      </c>
      <c r="E420" s="1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14" t="str">
        <f>IFERROR(IF(SUMIFS(tblDaily[TransfersIn],tblDaily[EntryDate],DATE(2026,11,13),tblDaily[WardCode],"MAE")=0,"",SUMIFS(tblDaily[TransfersIn],tblDaily[EntryDate],DATE(2026,11,13),tblDaily[WardCode],"MAE")),"")</f>
        <v/>
      </c>
      <c r="G420" s="14" t="str">
        <f>IFERROR(IF(SUMIFS(tblDaily[TransfersOut],tblDaily[EntryDate],DATE(2026,11,13),tblDaily[WardCode],"MAE")=0,"",SUMIFS(tblDaily[TransfersOut],tblDaily[EntryDate],DATE(2026,11,13),tblDaily[WardCode],"MAE")),"")</f>
        <v/>
      </c>
      <c r="H420" s="14" t="str">
        <f>IFERROR(IF(SUMIFS(tblDaily[Remaining],tblDaily[EntryDate],DATE(2026,11,13),tblDaily[WardCode],"MAE")=0,"",SUMIFS(tblDaily[Remaining],tblDaily[EntryDate],DATE(2026,11,13),tblDaily[WardCode],"MAE")),"")</f>
        <v/>
      </c>
      <c r="I420" s="14" t="str">
        <f>IFERROR(IF(SUMIFS(tblDaily[Admissions],tblDaily[EntryDate],DATE(2026,11,13),tblDaily[WardCode],"FAE")=0,"",SUMIFS(tblDaily[Admissions],tblDaily[EntryDate],DATE(2026,11,13),tblDaily[WardCode],"FAE")),"")</f>
        <v/>
      </c>
      <c r="J420" s="14" t="str">
        <f>IFERROR(IF(SUMIFS(tblDaily[Discharges],tblDaily[EntryDate],DATE(2026,11,13),tblDaily[WardCode],"FAE")=0,"",SUMIFS(tblDaily[Discharges],tblDaily[EntryDate],DATE(2026,11,13),tblDaily[WardCode],"FAE")),"")</f>
        <v/>
      </c>
      <c r="K420" s="14" t="str">
        <f>IFERROR(IF(SUMIFS(tblDaily[Deaths],tblDaily[EntryDate],DATE(2026,11,13),tblDaily[WardCode],"FAE")=0,"",SUMIFS(tblDaily[Deaths],tblDaily[EntryDate],DATE(2026,11,13),tblDaily[WardCode],"FAE")),"")</f>
        <v/>
      </c>
      <c r="L420" s="14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14" t="str">
        <f>IFERROR(IF(SUMIFS(tblDaily[TransfersIn],tblDaily[EntryDate],DATE(2026,11,13),tblDaily[WardCode],"FAE")=0,"",SUMIFS(tblDaily[TransfersIn],tblDaily[EntryDate],DATE(2026,11,13),tblDaily[WardCode],"FAE")),"")</f>
        <v/>
      </c>
      <c r="N420" s="14" t="str">
        <f>IFERROR(IF(SUMIFS(tblDaily[TransfersOut],tblDaily[EntryDate],DATE(2026,11,13),tblDaily[WardCode],"FAE")=0,"",SUMIFS(tblDaily[TransfersOut],tblDaily[EntryDate],DATE(2026,11,13),tblDaily[WardCode],"FAE")),"")</f>
        <v/>
      </c>
      <c r="O420" s="14" t="str">
        <f>IFERROR(IF(SUMIFS(tblDaily[Remaining],tblDaily[EntryDate],DATE(2026,11,13),tblDaily[WardCode],"FAE")=0,"",SUMIFS(tblDaily[Remaining],tblDaily[EntryDate],DATE(2026,11,13),tblDaily[WardCode],"FAE")),"")</f>
        <v/>
      </c>
      <c r="P420" s="15" t="str">
        <f t="shared" si="10"/>
        <v/>
      </c>
    </row>
    <row r="421" spans="1:16" x14ac:dyDescent="0.25">
      <c r="A421" s="14">
        <v>14</v>
      </c>
      <c r="B421" s="14" t="str">
        <f>IFERROR(IF(SUMIFS(tblDaily[Admissions],tblDaily[EntryDate],DATE(2026,11,14),tblDaily[WardCode],"MAE")=0,"",SUMIFS(tblDaily[Admissions],tblDaily[EntryDate],DATE(2026,11,14),tblDaily[WardCode],"MAE")),"")</f>
        <v/>
      </c>
      <c r="C421" s="14" t="str">
        <f>IFERROR(IF(SUMIFS(tblDaily[Discharges],tblDaily[EntryDate],DATE(2026,11,14),tblDaily[WardCode],"MAE")=0,"",SUMIFS(tblDaily[Discharges],tblDaily[EntryDate],DATE(2026,11,14),tblDaily[WardCode],"MAE")),"")</f>
        <v/>
      </c>
      <c r="D421" s="14" t="str">
        <f>IFERROR(IF(SUMIFS(tblDaily[Deaths],tblDaily[EntryDate],DATE(2026,11,14),tblDaily[WardCode],"MAE")=0,"",SUMIFS(tblDaily[Deaths],tblDaily[EntryDate],DATE(2026,11,14),tblDaily[WardCode],"MAE")),"")</f>
        <v/>
      </c>
      <c r="E421" s="1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14" t="str">
        <f>IFERROR(IF(SUMIFS(tblDaily[TransfersIn],tblDaily[EntryDate],DATE(2026,11,14),tblDaily[WardCode],"MAE")=0,"",SUMIFS(tblDaily[TransfersIn],tblDaily[EntryDate],DATE(2026,11,14),tblDaily[WardCode],"MAE")),"")</f>
        <v/>
      </c>
      <c r="G421" s="14" t="str">
        <f>IFERROR(IF(SUMIFS(tblDaily[TransfersOut],tblDaily[EntryDate],DATE(2026,11,14),tblDaily[WardCode],"MAE")=0,"",SUMIFS(tblDaily[TransfersOut],tblDaily[EntryDate],DATE(2026,11,14),tblDaily[WardCode],"MAE")),"")</f>
        <v/>
      </c>
      <c r="H421" s="14" t="str">
        <f>IFERROR(IF(SUMIFS(tblDaily[Remaining],tblDaily[EntryDate],DATE(2026,11,14),tblDaily[WardCode],"MAE")=0,"",SUMIFS(tblDaily[Remaining],tblDaily[EntryDate],DATE(2026,11,14),tblDaily[WardCode],"MAE")),"")</f>
        <v/>
      </c>
      <c r="I421" s="14" t="str">
        <f>IFERROR(IF(SUMIFS(tblDaily[Admissions],tblDaily[EntryDate],DATE(2026,11,14),tblDaily[WardCode],"FAE")=0,"",SUMIFS(tblDaily[Admissions],tblDaily[EntryDate],DATE(2026,11,14),tblDaily[WardCode],"FAE")),"")</f>
        <v/>
      </c>
      <c r="J421" s="14" t="str">
        <f>IFERROR(IF(SUMIFS(tblDaily[Discharges],tblDaily[EntryDate],DATE(2026,11,14),tblDaily[WardCode],"FAE")=0,"",SUMIFS(tblDaily[Discharges],tblDaily[EntryDate],DATE(2026,11,14),tblDaily[WardCode],"FAE")),"")</f>
        <v/>
      </c>
      <c r="K421" s="14" t="str">
        <f>IFERROR(IF(SUMIFS(tblDaily[Deaths],tblDaily[EntryDate],DATE(2026,11,14),tblDaily[WardCode],"FAE")=0,"",SUMIFS(tblDaily[Deaths],tblDaily[EntryDate],DATE(2026,11,14),tblDaily[WardCode],"FAE")),"")</f>
        <v/>
      </c>
      <c r="L421" s="14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14" t="str">
        <f>IFERROR(IF(SUMIFS(tblDaily[TransfersIn],tblDaily[EntryDate],DATE(2026,11,14),tblDaily[WardCode],"FAE")=0,"",SUMIFS(tblDaily[TransfersIn],tblDaily[EntryDate],DATE(2026,11,14),tblDaily[WardCode],"FAE")),"")</f>
        <v/>
      </c>
      <c r="N421" s="14" t="str">
        <f>IFERROR(IF(SUMIFS(tblDaily[TransfersOut],tblDaily[EntryDate],DATE(2026,11,14),tblDaily[WardCode],"FAE")=0,"",SUMIFS(tblDaily[TransfersOut],tblDaily[EntryDate],DATE(2026,11,14),tblDaily[WardCode],"FAE")),"")</f>
        <v/>
      </c>
      <c r="O421" s="14" t="str">
        <f>IFERROR(IF(SUMIFS(tblDaily[Remaining],tblDaily[EntryDate],DATE(2026,11,14),tblDaily[WardCode],"FAE")=0,"",SUMIFS(tblDaily[Remaining],tblDaily[EntryDate],DATE(2026,11,14),tblDaily[WardCode],"FAE")),"")</f>
        <v/>
      </c>
      <c r="P421" s="15" t="str">
        <f t="shared" si="10"/>
        <v/>
      </c>
    </row>
    <row r="422" spans="1:16" x14ac:dyDescent="0.25">
      <c r="A422" s="14">
        <v>15</v>
      </c>
      <c r="B422" s="14" t="str">
        <f>IFERROR(IF(SUMIFS(tblDaily[Admissions],tblDaily[EntryDate],DATE(2026,11,15),tblDaily[WardCode],"MAE")=0,"",SUMIFS(tblDaily[Admissions],tblDaily[EntryDate],DATE(2026,11,15),tblDaily[WardCode],"MAE")),"")</f>
        <v/>
      </c>
      <c r="C422" s="14" t="str">
        <f>IFERROR(IF(SUMIFS(tblDaily[Discharges],tblDaily[EntryDate],DATE(2026,11,15),tblDaily[WardCode],"MAE")=0,"",SUMIFS(tblDaily[Discharges],tblDaily[EntryDate],DATE(2026,11,15),tblDaily[WardCode],"MAE")),"")</f>
        <v/>
      </c>
      <c r="D422" s="14" t="str">
        <f>IFERROR(IF(SUMIFS(tblDaily[Deaths],tblDaily[EntryDate],DATE(2026,11,15),tblDaily[WardCode],"MAE")=0,"",SUMIFS(tblDaily[Deaths],tblDaily[EntryDate],DATE(2026,11,15),tblDaily[WardCode],"MAE")),"")</f>
        <v/>
      </c>
      <c r="E422" s="1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14" t="str">
        <f>IFERROR(IF(SUMIFS(tblDaily[TransfersIn],tblDaily[EntryDate],DATE(2026,11,15),tblDaily[WardCode],"MAE")=0,"",SUMIFS(tblDaily[TransfersIn],tblDaily[EntryDate],DATE(2026,11,15),tblDaily[WardCode],"MAE")),"")</f>
        <v/>
      </c>
      <c r="G422" s="14" t="str">
        <f>IFERROR(IF(SUMIFS(tblDaily[TransfersOut],tblDaily[EntryDate],DATE(2026,11,15),tblDaily[WardCode],"MAE")=0,"",SUMIFS(tblDaily[TransfersOut],tblDaily[EntryDate],DATE(2026,11,15),tblDaily[WardCode],"MAE")),"")</f>
        <v/>
      </c>
      <c r="H422" s="14" t="str">
        <f>IFERROR(IF(SUMIFS(tblDaily[Remaining],tblDaily[EntryDate],DATE(2026,11,15),tblDaily[WardCode],"MAE")=0,"",SUMIFS(tblDaily[Remaining],tblDaily[EntryDate],DATE(2026,11,15),tblDaily[WardCode],"MAE")),"")</f>
        <v/>
      </c>
      <c r="I422" s="14" t="str">
        <f>IFERROR(IF(SUMIFS(tblDaily[Admissions],tblDaily[EntryDate],DATE(2026,11,15),tblDaily[WardCode],"FAE")=0,"",SUMIFS(tblDaily[Admissions],tblDaily[EntryDate],DATE(2026,11,15),tblDaily[WardCode],"FAE")),"")</f>
        <v/>
      </c>
      <c r="J422" s="14" t="str">
        <f>IFERROR(IF(SUMIFS(tblDaily[Discharges],tblDaily[EntryDate],DATE(2026,11,15),tblDaily[WardCode],"FAE")=0,"",SUMIFS(tblDaily[Discharges],tblDaily[EntryDate],DATE(2026,11,15),tblDaily[WardCode],"FAE")),"")</f>
        <v/>
      </c>
      <c r="K422" s="14" t="str">
        <f>IFERROR(IF(SUMIFS(tblDaily[Deaths],tblDaily[EntryDate],DATE(2026,11,15),tblDaily[WardCode],"FAE")=0,"",SUMIFS(tblDaily[Deaths],tblDaily[EntryDate],DATE(2026,11,15),tblDaily[WardCode],"FAE")),"")</f>
        <v/>
      </c>
      <c r="L422" s="14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14" t="str">
        <f>IFERROR(IF(SUMIFS(tblDaily[TransfersIn],tblDaily[EntryDate],DATE(2026,11,15),tblDaily[WardCode],"FAE")=0,"",SUMIFS(tblDaily[TransfersIn],tblDaily[EntryDate],DATE(2026,11,15),tblDaily[WardCode],"FAE")),"")</f>
        <v/>
      </c>
      <c r="N422" s="14" t="str">
        <f>IFERROR(IF(SUMIFS(tblDaily[TransfersOut],tblDaily[EntryDate],DATE(2026,11,15),tblDaily[WardCode],"FAE")=0,"",SUMIFS(tblDaily[TransfersOut],tblDaily[EntryDate],DATE(2026,11,15),tblDaily[WardCode],"FAE")),"")</f>
        <v/>
      </c>
      <c r="O422" s="14" t="str">
        <f>IFERROR(IF(SUMIFS(tblDaily[Remaining],tblDaily[EntryDate],DATE(2026,11,15),tblDaily[WardCode],"FAE")=0,"",SUMIFS(tblDaily[Remaining],tblDaily[EntryDate],DATE(2026,11,15),tblDaily[WardCode],"FAE")),"")</f>
        <v/>
      </c>
      <c r="P422" s="15" t="str">
        <f t="shared" si="10"/>
        <v/>
      </c>
    </row>
    <row r="423" spans="1:16" x14ac:dyDescent="0.25">
      <c r="A423" s="14">
        <v>16</v>
      </c>
      <c r="B423" s="14" t="str">
        <f>IFERROR(IF(SUMIFS(tblDaily[Admissions],tblDaily[EntryDate],DATE(2026,11,16),tblDaily[WardCode],"MAE")=0,"",SUMIFS(tblDaily[Admissions],tblDaily[EntryDate],DATE(2026,11,16),tblDaily[WardCode],"MAE")),"")</f>
        <v/>
      </c>
      <c r="C423" s="14" t="str">
        <f>IFERROR(IF(SUMIFS(tblDaily[Discharges],tblDaily[EntryDate],DATE(2026,11,16),tblDaily[WardCode],"MAE")=0,"",SUMIFS(tblDaily[Discharges],tblDaily[EntryDate],DATE(2026,11,16),tblDaily[WardCode],"MAE")),"")</f>
        <v/>
      </c>
      <c r="D423" s="14" t="str">
        <f>IFERROR(IF(SUMIFS(tblDaily[Deaths],tblDaily[EntryDate],DATE(2026,11,16),tblDaily[WardCode],"MAE")=0,"",SUMIFS(tblDaily[Deaths],tblDaily[EntryDate],DATE(2026,11,16),tblDaily[WardCode],"MAE")),"")</f>
        <v/>
      </c>
      <c r="E423" s="1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14" t="str">
        <f>IFERROR(IF(SUMIFS(tblDaily[TransfersIn],tblDaily[EntryDate],DATE(2026,11,16),tblDaily[WardCode],"MAE")=0,"",SUMIFS(tblDaily[TransfersIn],tblDaily[EntryDate],DATE(2026,11,16),tblDaily[WardCode],"MAE")),"")</f>
        <v/>
      </c>
      <c r="G423" s="14" t="str">
        <f>IFERROR(IF(SUMIFS(tblDaily[TransfersOut],tblDaily[EntryDate],DATE(2026,11,16),tblDaily[WardCode],"MAE")=0,"",SUMIFS(tblDaily[TransfersOut],tblDaily[EntryDate],DATE(2026,11,16),tblDaily[WardCode],"MAE")),"")</f>
        <v/>
      </c>
      <c r="H423" s="14" t="str">
        <f>IFERROR(IF(SUMIFS(tblDaily[Remaining],tblDaily[EntryDate],DATE(2026,11,16),tblDaily[WardCode],"MAE")=0,"",SUMIFS(tblDaily[Remaining],tblDaily[EntryDate],DATE(2026,11,16),tblDaily[WardCode],"MAE")),"")</f>
        <v/>
      </c>
      <c r="I423" s="14" t="str">
        <f>IFERROR(IF(SUMIFS(tblDaily[Admissions],tblDaily[EntryDate],DATE(2026,11,16),tblDaily[WardCode],"FAE")=0,"",SUMIFS(tblDaily[Admissions],tblDaily[EntryDate],DATE(2026,11,16),tblDaily[WardCode],"FAE")),"")</f>
        <v/>
      </c>
      <c r="J423" s="14" t="str">
        <f>IFERROR(IF(SUMIFS(tblDaily[Discharges],tblDaily[EntryDate],DATE(2026,11,16),tblDaily[WardCode],"FAE")=0,"",SUMIFS(tblDaily[Discharges],tblDaily[EntryDate],DATE(2026,11,16),tblDaily[WardCode],"FAE")),"")</f>
        <v/>
      </c>
      <c r="K423" s="14" t="str">
        <f>IFERROR(IF(SUMIFS(tblDaily[Deaths],tblDaily[EntryDate],DATE(2026,11,16),tblDaily[WardCode],"FAE")=0,"",SUMIFS(tblDaily[Deaths],tblDaily[EntryDate],DATE(2026,11,16),tblDaily[WardCode],"FAE")),"")</f>
        <v/>
      </c>
      <c r="L423" s="14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14" t="str">
        <f>IFERROR(IF(SUMIFS(tblDaily[TransfersIn],tblDaily[EntryDate],DATE(2026,11,16),tblDaily[WardCode],"FAE")=0,"",SUMIFS(tblDaily[TransfersIn],tblDaily[EntryDate],DATE(2026,11,16),tblDaily[WardCode],"FAE")),"")</f>
        <v/>
      </c>
      <c r="N423" s="14" t="str">
        <f>IFERROR(IF(SUMIFS(tblDaily[TransfersOut],tblDaily[EntryDate],DATE(2026,11,16),tblDaily[WardCode],"FAE")=0,"",SUMIFS(tblDaily[TransfersOut],tblDaily[EntryDate],DATE(2026,11,16),tblDaily[WardCode],"FAE")),"")</f>
        <v/>
      </c>
      <c r="O423" s="14" t="str">
        <f>IFERROR(IF(SUMIFS(tblDaily[Remaining],tblDaily[EntryDate],DATE(2026,11,16),tblDaily[WardCode],"FAE")=0,"",SUMIFS(tblDaily[Remaining],tblDaily[EntryDate],DATE(2026,11,16),tblDaily[WardCode],"FAE")),"")</f>
        <v/>
      </c>
      <c r="P423" s="15" t="str">
        <f t="shared" si="10"/>
        <v/>
      </c>
    </row>
    <row r="424" spans="1:16" x14ac:dyDescent="0.25">
      <c r="A424" s="14">
        <v>17</v>
      </c>
      <c r="B424" s="14" t="str">
        <f>IFERROR(IF(SUMIFS(tblDaily[Admissions],tblDaily[EntryDate],DATE(2026,11,17),tblDaily[WardCode],"MAE")=0,"",SUMIFS(tblDaily[Admissions],tblDaily[EntryDate],DATE(2026,11,17),tblDaily[WardCode],"MAE")),"")</f>
        <v/>
      </c>
      <c r="C424" s="14" t="str">
        <f>IFERROR(IF(SUMIFS(tblDaily[Discharges],tblDaily[EntryDate],DATE(2026,11,17),tblDaily[WardCode],"MAE")=0,"",SUMIFS(tblDaily[Discharges],tblDaily[EntryDate],DATE(2026,11,17),tblDaily[WardCode],"MAE")),"")</f>
        <v/>
      </c>
      <c r="D424" s="14" t="str">
        <f>IFERROR(IF(SUMIFS(tblDaily[Deaths],tblDaily[EntryDate],DATE(2026,11,17),tblDaily[WardCode],"MAE")=0,"",SUMIFS(tblDaily[Deaths],tblDaily[EntryDate],DATE(2026,11,17),tblDaily[WardCode],"MAE")),"")</f>
        <v/>
      </c>
      <c r="E424" s="1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14" t="str">
        <f>IFERROR(IF(SUMIFS(tblDaily[TransfersIn],tblDaily[EntryDate],DATE(2026,11,17),tblDaily[WardCode],"MAE")=0,"",SUMIFS(tblDaily[TransfersIn],tblDaily[EntryDate],DATE(2026,11,17),tblDaily[WardCode],"MAE")),"")</f>
        <v/>
      </c>
      <c r="G424" s="14" t="str">
        <f>IFERROR(IF(SUMIFS(tblDaily[TransfersOut],tblDaily[EntryDate],DATE(2026,11,17),tblDaily[WardCode],"MAE")=0,"",SUMIFS(tblDaily[TransfersOut],tblDaily[EntryDate],DATE(2026,11,17),tblDaily[WardCode],"MAE")),"")</f>
        <v/>
      </c>
      <c r="H424" s="14" t="str">
        <f>IFERROR(IF(SUMIFS(tblDaily[Remaining],tblDaily[EntryDate],DATE(2026,11,17),tblDaily[WardCode],"MAE")=0,"",SUMIFS(tblDaily[Remaining],tblDaily[EntryDate],DATE(2026,11,17),tblDaily[WardCode],"MAE")),"")</f>
        <v/>
      </c>
      <c r="I424" s="14" t="str">
        <f>IFERROR(IF(SUMIFS(tblDaily[Admissions],tblDaily[EntryDate],DATE(2026,11,17),tblDaily[WardCode],"FAE")=0,"",SUMIFS(tblDaily[Admissions],tblDaily[EntryDate],DATE(2026,11,17),tblDaily[WardCode],"FAE")),"")</f>
        <v/>
      </c>
      <c r="J424" s="14" t="str">
        <f>IFERROR(IF(SUMIFS(tblDaily[Discharges],tblDaily[EntryDate],DATE(2026,11,17),tblDaily[WardCode],"FAE")=0,"",SUMIFS(tblDaily[Discharges],tblDaily[EntryDate],DATE(2026,11,17),tblDaily[WardCode],"FAE")),"")</f>
        <v/>
      </c>
      <c r="K424" s="14" t="str">
        <f>IFERROR(IF(SUMIFS(tblDaily[Deaths],tblDaily[EntryDate],DATE(2026,11,17),tblDaily[WardCode],"FAE")=0,"",SUMIFS(tblDaily[Deaths],tblDaily[EntryDate],DATE(2026,11,17),tblDaily[WardCode],"FAE")),"")</f>
        <v/>
      </c>
      <c r="L424" s="14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14" t="str">
        <f>IFERROR(IF(SUMIFS(tblDaily[TransfersIn],tblDaily[EntryDate],DATE(2026,11,17),tblDaily[WardCode],"FAE")=0,"",SUMIFS(tblDaily[TransfersIn],tblDaily[EntryDate],DATE(2026,11,17),tblDaily[WardCode],"FAE")),"")</f>
        <v/>
      </c>
      <c r="N424" s="14" t="str">
        <f>IFERROR(IF(SUMIFS(tblDaily[TransfersOut],tblDaily[EntryDate],DATE(2026,11,17),tblDaily[WardCode],"FAE")=0,"",SUMIFS(tblDaily[TransfersOut],tblDaily[EntryDate],DATE(2026,11,17),tblDaily[WardCode],"FAE")),"")</f>
        <v/>
      </c>
      <c r="O424" s="14" t="str">
        <f>IFERROR(IF(SUMIFS(tblDaily[Remaining],tblDaily[EntryDate],DATE(2026,11,17),tblDaily[WardCode],"FAE")=0,"",SUMIFS(tblDaily[Remaining],tblDaily[EntryDate],DATE(2026,11,17),tblDaily[WardCode],"FAE")),"")</f>
        <v/>
      </c>
      <c r="P424" s="15" t="str">
        <f t="shared" si="10"/>
        <v/>
      </c>
    </row>
    <row r="425" spans="1:16" x14ac:dyDescent="0.25">
      <c r="A425" s="14">
        <v>18</v>
      </c>
      <c r="B425" s="14" t="str">
        <f>IFERROR(IF(SUMIFS(tblDaily[Admissions],tblDaily[EntryDate],DATE(2026,11,18),tblDaily[WardCode],"MAE")=0,"",SUMIFS(tblDaily[Admissions],tblDaily[EntryDate],DATE(2026,11,18),tblDaily[WardCode],"MAE")),"")</f>
        <v/>
      </c>
      <c r="C425" s="14" t="str">
        <f>IFERROR(IF(SUMIFS(tblDaily[Discharges],tblDaily[EntryDate],DATE(2026,11,18),tblDaily[WardCode],"MAE")=0,"",SUMIFS(tblDaily[Discharges],tblDaily[EntryDate],DATE(2026,11,18),tblDaily[WardCode],"MAE")),"")</f>
        <v/>
      </c>
      <c r="D425" s="14" t="str">
        <f>IFERROR(IF(SUMIFS(tblDaily[Deaths],tblDaily[EntryDate],DATE(2026,11,18),tblDaily[WardCode],"MAE")=0,"",SUMIFS(tblDaily[Deaths],tblDaily[EntryDate],DATE(2026,11,18),tblDaily[WardCode],"MAE")),"")</f>
        <v/>
      </c>
      <c r="E425" s="1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14" t="str">
        <f>IFERROR(IF(SUMIFS(tblDaily[TransfersIn],tblDaily[EntryDate],DATE(2026,11,18),tblDaily[WardCode],"MAE")=0,"",SUMIFS(tblDaily[TransfersIn],tblDaily[EntryDate],DATE(2026,11,18),tblDaily[WardCode],"MAE")),"")</f>
        <v/>
      </c>
      <c r="G425" s="14" t="str">
        <f>IFERROR(IF(SUMIFS(tblDaily[TransfersOut],tblDaily[EntryDate],DATE(2026,11,18),tblDaily[WardCode],"MAE")=0,"",SUMIFS(tblDaily[TransfersOut],tblDaily[EntryDate],DATE(2026,11,18),tblDaily[WardCode],"MAE")),"")</f>
        <v/>
      </c>
      <c r="H425" s="14" t="str">
        <f>IFERROR(IF(SUMIFS(tblDaily[Remaining],tblDaily[EntryDate],DATE(2026,11,18),tblDaily[WardCode],"MAE")=0,"",SUMIFS(tblDaily[Remaining],tblDaily[EntryDate],DATE(2026,11,18),tblDaily[WardCode],"MAE")),"")</f>
        <v/>
      </c>
      <c r="I425" s="14" t="str">
        <f>IFERROR(IF(SUMIFS(tblDaily[Admissions],tblDaily[EntryDate],DATE(2026,11,18),tblDaily[WardCode],"FAE")=0,"",SUMIFS(tblDaily[Admissions],tblDaily[EntryDate],DATE(2026,11,18),tblDaily[WardCode],"FAE")),"")</f>
        <v/>
      </c>
      <c r="J425" s="14" t="str">
        <f>IFERROR(IF(SUMIFS(tblDaily[Discharges],tblDaily[EntryDate],DATE(2026,11,18),tblDaily[WardCode],"FAE")=0,"",SUMIFS(tblDaily[Discharges],tblDaily[EntryDate],DATE(2026,11,18),tblDaily[WardCode],"FAE")),"")</f>
        <v/>
      </c>
      <c r="K425" s="14" t="str">
        <f>IFERROR(IF(SUMIFS(tblDaily[Deaths],tblDaily[EntryDate],DATE(2026,11,18),tblDaily[WardCode],"FAE")=0,"",SUMIFS(tblDaily[Deaths],tblDaily[EntryDate],DATE(2026,11,18),tblDaily[WardCode],"FAE")),"")</f>
        <v/>
      </c>
      <c r="L425" s="14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14" t="str">
        <f>IFERROR(IF(SUMIFS(tblDaily[TransfersIn],tblDaily[EntryDate],DATE(2026,11,18),tblDaily[WardCode],"FAE")=0,"",SUMIFS(tblDaily[TransfersIn],tblDaily[EntryDate],DATE(2026,11,18),tblDaily[WardCode],"FAE")),"")</f>
        <v/>
      </c>
      <c r="N425" s="14" t="str">
        <f>IFERROR(IF(SUMIFS(tblDaily[TransfersOut],tblDaily[EntryDate],DATE(2026,11,18),tblDaily[WardCode],"FAE")=0,"",SUMIFS(tblDaily[TransfersOut],tblDaily[EntryDate],DATE(2026,11,18),tblDaily[WardCode],"FAE")),"")</f>
        <v/>
      </c>
      <c r="O425" s="14" t="str">
        <f>IFERROR(IF(SUMIFS(tblDaily[Remaining],tblDaily[EntryDate],DATE(2026,11,18),tblDaily[WardCode],"FAE")=0,"",SUMIFS(tblDaily[Remaining],tblDaily[EntryDate],DATE(2026,11,18),tblDaily[WardCode],"FAE")),"")</f>
        <v/>
      </c>
      <c r="P425" s="15" t="str">
        <f t="shared" si="10"/>
        <v/>
      </c>
    </row>
    <row r="426" spans="1:16" x14ac:dyDescent="0.25">
      <c r="A426" s="14">
        <v>19</v>
      </c>
      <c r="B426" s="14" t="str">
        <f>IFERROR(IF(SUMIFS(tblDaily[Admissions],tblDaily[EntryDate],DATE(2026,11,19),tblDaily[WardCode],"MAE")=0,"",SUMIFS(tblDaily[Admissions],tblDaily[EntryDate],DATE(2026,11,19),tblDaily[WardCode],"MAE")),"")</f>
        <v/>
      </c>
      <c r="C426" s="14" t="str">
        <f>IFERROR(IF(SUMIFS(tblDaily[Discharges],tblDaily[EntryDate],DATE(2026,11,19),tblDaily[WardCode],"MAE")=0,"",SUMIFS(tblDaily[Discharges],tblDaily[EntryDate],DATE(2026,11,19),tblDaily[WardCode],"MAE")),"")</f>
        <v/>
      </c>
      <c r="D426" s="14" t="str">
        <f>IFERROR(IF(SUMIFS(tblDaily[Deaths],tblDaily[EntryDate],DATE(2026,11,19),tblDaily[WardCode],"MAE")=0,"",SUMIFS(tblDaily[Deaths],tblDaily[EntryDate],DATE(2026,11,19),tblDaily[WardCode],"MAE")),"")</f>
        <v/>
      </c>
      <c r="E426" s="1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14" t="str">
        <f>IFERROR(IF(SUMIFS(tblDaily[TransfersIn],tblDaily[EntryDate],DATE(2026,11,19),tblDaily[WardCode],"MAE")=0,"",SUMIFS(tblDaily[TransfersIn],tblDaily[EntryDate],DATE(2026,11,19),tblDaily[WardCode],"MAE")),"")</f>
        <v/>
      </c>
      <c r="G426" s="14" t="str">
        <f>IFERROR(IF(SUMIFS(tblDaily[TransfersOut],tblDaily[EntryDate],DATE(2026,11,19),tblDaily[WardCode],"MAE")=0,"",SUMIFS(tblDaily[TransfersOut],tblDaily[EntryDate],DATE(2026,11,19),tblDaily[WardCode],"MAE")),"")</f>
        <v/>
      </c>
      <c r="H426" s="14" t="str">
        <f>IFERROR(IF(SUMIFS(tblDaily[Remaining],tblDaily[EntryDate],DATE(2026,11,19),tblDaily[WardCode],"MAE")=0,"",SUMIFS(tblDaily[Remaining],tblDaily[EntryDate],DATE(2026,11,19),tblDaily[WardCode],"MAE")),"")</f>
        <v/>
      </c>
      <c r="I426" s="14" t="str">
        <f>IFERROR(IF(SUMIFS(tblDaily[Admissions],tblDaily[EntryDate],DATE(2026,11,19),tblDaily[WardCode],"FAE")=0,"",SUMIFS(tblDaily[Admissions],tblDaily[EntryDate],DATE(2026,11,19),tblDaily[WardCode],"FAE")),"")</f>
        <v/>
      </c>
      <c r="J426" s="14" t="str">
        <f>IFERROR(IF(SUMIFS(tblDaily[Discharges],tblDaily[EntryDate],DATE(2026,11,19),tblDaily[WardCode],"FAE")=0,"",SUMIFS(tblDaily[Discharges],tblDaily[EntryDate],DATE(2026,11,19),tblDaily[WardCode],"FAE")),"")</f>
        <v/>
      </c>
      <c r="K426" s="14" t="str">
        <f>IFERROR(IF(SUMIFS(tblDaily[Deaths],tblDaily[EntryDate],DATE(2026,11,19),tblDaily[WardCode],"FAE")=0,"",SUMIFS(tblDaily[Deaths],tblDaily[EntryDate],DATE(2026,11,19),tblDaily[WardCode],"FAE")),"")</f>
        <v/>
      </c>
      <c r="L426" s="14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14" t="str">
        <f>IFERROR(IF(SUMIFS(tblDaily[TransfersIn],tblDaily[EntryDate],DATE(2026,11,19),tblDaily[WardCode],"FAE")=0,"",SUMIFS(tblDaily[TransfersIn],tblDaily[EntryDate],DATE(2026,11,19),tblDaily[WardCode],"FAE")),"")</f>
        <v/>
      </c>
      <c r="N426" s="14" t="str">
        <f>IFERROR(IF(SUMIFS(tblDaily[TransfersOut],tblDaily[EntryDate],DATE(2026,11,19),tblDaily[WardCode],"FAE")=0,"",SUMIFS(tblDaily[TransfersOut],tblDaily[EntryDate],DATE(2026,11,19),tblDaily[WardCode],"FAE")),"")</f>
        <v/>
      </c>
      <c r="O426" s="14" t="str">
        <f>IFERROR(IF(SUMIFS(tblDaily[Remaining],tblDaily[EntryDate],DATE(2026,11,19),tblDaily[WardCode],"FAE")=0,"",SUMIFS(tblDaily[Remaining],tblDaily[EntryDate],DATE(2026,11,19),tblDaily[WardCode],"FAE")),"")</f>
        <v/>
      </c>
      <c r="P426" s="15" t="str">
        <f t="shared" si="10"/>
        <v/>
      </c>
    </row>
    <row r="427" spans="1:16" x14ac:dyDescent="0.25">
      <c r="A427" s="14">
        <v>20</v>
      </c>
      <c r="B427" s="14" t="str">
        <f>IFERROR(IF(SUMIFS(tblDaily[Admissions],tblDaily[EntryDate],DATE(2026,11,20),tblDaily[WardCode],"MAE")=0,"",SUMIFS(tblDaily[Admissions],tblDaily[EntryDate],DATE(2026,11,20),tblDaily[WardCode],"MAE")),"")</f>
        <v/>
      </c>
      <c r="C427" s="14" t="str">
        <f>IFERROR(IF(SUMIFS(tblDaily[Discharges],tblDaily[EntryDate],DATE(2026,11,20),tblDaily[WardCode],"MAE")=0,"",SUMIFS(tblDaily[Discharges],tblDaily[EntryDate],DATE(2026,11,20),tblDaily[WardCode],"MAE")),"")</f>
        <v/>
      </c>
      <c r="D427" s="14" t="str">
        <f>IFERROR(IF(SUMIFS(tblDaily[Deaths],tblDaily[EntryDate],DATE(2026,11,20),tblDaily[WardCode],"MAE")=0,"",SUMIFS(tblDaily[Deaths],tblDaily[EntryDate],DATE(2026,11,20),tblDaily[WardCode],"MAE")),"")</f>
        <v/>
      </c>
      <c r="E427" s="1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14" t="str">
        <f>IFERROR(IF(SUMIFS(tblDaily[TransfersIn],tblDaily[EntryDate],DATE(2026,11,20),tblDaily[WardCode],"MAE")=0,"",SUMIFS(tblDaily[TransfersIn],tblDaily[EntryDate],DATE(2026,11,20),tblDaily[WardCode],"MAE")),"")</f>
        <v/>
      </c>
      <c r="G427" s="14" t="str">
        <f>IFERROR(IF(SUMIFS(tblDaily[TransfersOut],tblDaily[EntryDate],DATE(2026,11,20),tblDaily[WardCode],"MAE")=0,"",SUMIFS(tblDaily[TransfersOut],tblDaily[EntryDate],DATE(2026,11,20),tblDaily[WardCode],"MAE")),"")</f>
        <v/>
      </c>
      <c r="H427" s="14" t="str">
        <f>IFERROR(IF(SUMIFS(tblDaily[Remaining],tblDaily[EntryDate],DATE(2026,11,20),tblDaily[WardCode],"MAE")=0,"",SUMIFS(tblDaily[Remaining],tblDaily[EntryDate],DATE(2026,11,20),tblDaily[WardCode],"MAE")),"")</f>
        <v/>
      </c>
      <c r="I427" s="14" t="str">
        <f>IFERROR(IF(SUMIFS(tblDaily[Admissions],tblDaily[EntryDate],DATE(2026,11,20),tblDaily[WardCode],"FAE")=0,"",SUMIFS(tblDaily[Admissions],tblDaily[EntryDate],DATE(2026,11,20),tblDaily[WardCode],"FAE")),"")</f>
        <v/>
      </c>
      <c r="J427" s="14" t="str">
        <f>IFERROR(IF(SUMIFS(tblDaily[Discharges],tblDaily[EntryDate],DATE(2026,11,20),tblDaily[WardCode],"FAE")=0,"",SUMIFS(tblDaily[Discharges],tblDaily[EntryDate],DATE(2026,11,20),tblDaily[WardCode],"FAE")),"")</f>
        <v/>
      </c>
      <c r="K427" s="14" t="str">
        <f>IFERROR(IF(SUMIFS(tblDaily[Deaths],tblDaily[EntryDate],DATE(2026,11,20),tblDaily[WardCode],"FAE")=0,"",SUMIFS(tblDaily[Deaths],tblDaily[EntryDate],DATE(2026,11,20),tblDaily[WardCode],"FAE")),"")</f>
        <v/>
      </c>
      <c r="L427" s="14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14" t="str">
        <f>IFERROR(IF(SUMIFS(tblDaily[TransfersIn],tblDaily[EntryDate],DATE(2026,11,20),tblDaily[WardCode],"FAE")=0,"",SUMIFS(tblDaily[TransfersIn],tblDaily[EntryDate],DATE(2026,11,20),tblDaily[WardCode],"FAE")),"")</f>
        <v/>
      </c>
      <c r="N427" s="14" t="str">
        <f>IFERROR(IF(SUMIFS(tblDaily[TransfersOut],tblDaily[EntryDate],DATE(2026,11,20),tblDaily[WardCode],"FAE")=0,"",SUMIFS(tblDaily[TransfersOut],tblDaily[EntryDate],DATE(2026,11,20),tblDaily[WardCode],"FAE")),"")</f>
        <v/>
      </c>
      <c r="O427" s="14" t="str">
        <f>IFERROR(IF(SUMIFS(tblDaily[Remaining],tblDaily[EntryDate],DATE(2026,11,20),tblDaily[WardCode],"FAE")=0,"",SUMIFS(tblDaily[Remaining],tblDaily[EntryDate],DATE(2026,11,20),tblDaily[WardCode],"FAE")),"")</f>
        <v/>
      </c>
      <c r="P427" s="15" t="str">
        <f t="shared" si="10"/>
        <v/>
      </c>
    </row>
    <row r="428" spans="1:16" x14ac:dyDescent="0.25">
      <c r="A428" s="14">
        <v>21</v>
      </c>
      <c r="B428" s="14" t="str">
        <f>IFERROR(IF(SUMIFS(tblDaily[Admissions],tblDaily[EntryDate],DATE(2026,11,21),tblDaily[WardCode],"MAE")=0,"",SUMIFS(tblDaily[Admissions],tblDaily[EntryDate],DATE(2026,11,21),tblDaily[WardCode],"MAE")),"")</f>
        <v/>
      </c>
      <c r="C428" s="14" t="str">
        <f>IFERROR(IF(SUMIFS(tblDaily[Discharges],tblDaily[EntryDate],DATE(2026,11,21),tblDaily[WardCode],"MAE")=0,"",SUMIFS(tblDaily[Discharges],tblDaily[EntryDate],DATE(2026,11,21),tblDaily[WardCode],"MAE")),"")</f>
        <v/>
      </c>
      <c r="D428" s="14" t="str">
        <f>IFERROR(IF(SUMIFS(tblDaily[Deaths],tblDaily[EntryDate],DATE(2026,11,21),tblDaily[WardCode],"MAE")=0,"",SUMIFS(tblDaily[Deaths],tblDaily[EntryDate],DATE(2026,11,21),tblDaily[WardCode],"MAE")),"")</f>
        <v/>
      </c>
      <c r="E428" s="1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14" t="str">
        <f>IFERROR(IF(SUMIFS(tblDaily[TransfersIn],tblDaily[EntryDate],DATE(2026,11,21),tblDaily[WardCode],"MAE")=0,"",SUMIFS(tblDaily[TransfersIn],tblDaily[EntryDate],DATE(2026,11,21),tblDaily[WardCode],"MAE")),"")</f>
        <v/>
      </c>
      <c r="G428" s="14" t="str">
        <f>IFERROR(IF(SUMIFS(tblDaily[TransfersOut],tblDaily[EntryDate],DATE(2026,11,21),tblDaily[WardCode],"MAE")=0,"",SUMIFS(tblDaily[TransfersOut],tblDaily[EntryDate],DATE(2026,11,21),tblDaily[WardCode],"MAE")),"")</f>
        <v/>
      </c>
      <c r="H428" s="14" t="str">
        <f>IFERROR(IF(SUMIFS(tblDaily[Remaining],tblDaily[EntryDate],DATE(2026,11,21),tblDaily[WardCode],"MAE")=0,"",SUMIFS(tblDaily[Remaining],tblDaily[EntryDate],DATE(2026,11,21),tblDaily[WardCode],"MAE")),"")</f>
        <v/>
      </c>
      <c r="I428" s="14" t="str">
        <f>IFERROR(IF(SUMIFS(tblDaily[Admissions],tblDaily[EntryDate],DATE(2026,11,21),tblDaily[WardCode],"FAE")=0,"",SUMIFS(tblDaily[Admissions],tblDaily[EntryDate],DATE(2026,11,21),tblDaily[WardCode],"FAE")),"")</f>
        <v/>
      </c>
      <c r="J428" s="14" t="str">
        <f>IFERROR(IF(SUMIFS(tblDaily[Discharges],tblDaily[EntryDate],DATE(2026,11,21),tblDaily[WardCode],"FAE")=0,"",SUMIFS(tblDaily[Discharges],tblDaily[EntryDate],DATE(2026,11,21),tblDaily[WardCode],"FAE")),"")</f>
        <v/>
      </c>
      <c r="K428" s="14" t="str">
        <f>IFERROR(IF(SUMIFS(tblDaily[Deaths],tblDaily[EntryDate],DATE(2026,11,21),tblDaily[WardCode],"FAE")=0,"",SUMIFS(tblDaily[Deaths],tblDaily[EntryDate],DATE(2026,11,21),tblDaily[WardCode],"FAE")),"")</f>
        <v/>
      </c>
      <c r="L428" s="14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14" t="str">
        <f>IFERROR(IF(SUMIFS(tblDaily[TransfersIn],tblDaily[EntryDate],DATE(2026,11,21),tblDaily[WardCode],"FAE")=0,"",SUMIFS(tblDaily[TransfersIn],tblDaily[EntryDate],DATE(2026,11,21),tblDaily[WardCode],"FAE")),"")</f>
        <v/>
      </c>
      <c r="N428" s="14" t="str">
        <f>IFERROR(IF(SUMIFS(tblDaily[TransfersOut],tblDaily[EntryDate],DATE(2026,11,21),tblDaily[WardCode],"FAE")=0,"",SUMIFS(tblDaily[TransfersOut],tblDaily[EntryDate],DATE(2026,11,21),tblDaily[WardCode],"FAE")),"")</f>
        <v/>
      </c>
      <c r="O428" s="14" t="str">
        <f>IFERROR(IF(SUMIFS(tblDaily[Remaining],tblDaily[EntryDate],DATE(2026,11,21),tblDaily[WardCode],"FAE")=0,"",SUMIFS(tblDaily[Remaining],tblDaily[EntryDate],DATE(2026,11,21),tblDaily[WardCode],"FAE")),"")</f>
        <v/>
      </c>
      <c r="P428" s="15" t="str">
        <f t="shared" si="10"/>
        <v/>
      </c>
    </row>
    <row r="429" spans="1:16" x14ac:dyDescent="0.25">
      <c r="A429" s="14">
        <v>22</v>
      </c>
      <c r="B429" s="14" t="str">
        <f>IFERROR(IF(SUMIFS(tblDaily[Admissions],tblDaily[EntryDate],DATE(2026,11,22),tblDaily[WardCode],"MAE")=0,"",SUMIFS(tblDaily[Admissions],tblDaily[EntryDate],DATE(2026,11,22),tblDaily[WardCode],"MAE")),"")</f>
        <v/>
      </c>
      <c r="C429" s="14" t="str">
        <f>IFERROR(IF(SUMIFS(tblDaily[Discharges],tblDaily[EntryDate],DATE(2026,11,22),tblDaily[WardCode],"MAE")=0,"",SUMIFS(tblDaily[Discharges],tblDaily[EntryDate],DATE(2026,11,22),tblDaily[WardCode],"MAE")),"")</f>
        <v/>
      </c>
      <c r="D429" s="14" t="str">
        <f>IFERROR(IF(SUMIFS(tblDaily[Deaths],tblDaily[EntryDate],DATE(2026,11,22),tblDaily[WardCode],"MAE")=0,"",SUMIFS(tblDaily[Deaths],tblDaily[EntryDate],DATE(2026,11,22),tblDaily[WardCode],"MAE")),"")</f>
        <v/>
      </c>
      <c r="E429" s="1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14" t="str">
        <f>IFERROR(IF(SUMIFS(tblDaily[TransfersIn],tblDaily[EntryDate],DATE(2026,11,22),tblDaily[WardCode],"MAE")=0,"",SUMIFS(tblDaily[TransfersIn],tblDaily[EntryDate],DATE(2026,11,22),tblDaily[WardCode],"MAE")),"")</f>
        <v/>
      </c>
      <c r="G429" s="14" t="str">
        <f>IFERROR(IF(SUMIFS(tblDaily[TransfersOut],tblDaily[EntryDate],DATE(2026,11,22),tblDaily[WardCode],"MAE")=0,"",SUMIFS(tblDaily[TransfersOut],tblDaily[EntryDate],DATE(2026,11,22),tblDaily[WardCode],"MAE")),"")</f>
        <v/>
      </c>
      <c r="H429" s="14" t="str">
        <f>IFERROR(IF(SUMIFS(tblDaily[Remaining],tblDaily[EntryDate],DATE(2026,11,22),tblDaily[WardCode],"MAE")=0,"",SUMIFS(tblDaily[Remaining],tblDaily[EntryDate],DATE(2026,11,22),tblDaily[WardCode],"MAE")),"")</f>
        <v/>
      </c>
      <c r="I429" s="14" t="str">
        <f>IFERROR(IF(SUMIFS(tblDaily[Admissions],tblDaily[EntryDate],DATE(2026,11,22),tblDaily[WardCode],"FAE")=0,"",SUMIFS(tblDaily[Admissions],tblDaily[EntryDate],DATE(2026,11,22),tblDaily[WardCode],"FAE")),"")</f>
        <v/>
      </c>
      <c r="J429" s="14" t="str">
        <f>IFERROR(IF(SUMIFS(tblDaily[Discharges],tblDaily[EntryDate],DATE(2026,11,22),tblDaily[WardCode],"FAE")=0,"",SUMIFS(tblDaily[Discharges],tblDaily[EntryDate],DATE(2026,11,22),tblDaily[WardCode],"FAE")),"")</f>
        <v/>
      </c>
      <c r="K429" s="14" t="str">
        <f>IFERROR(IF(SUMIFS(tblDaily[Deaths],tblDaily[EntryDate],DATE(2026,11,22),tblDaily[WardCode],"FAE")=0,"",SUMIFS(tblDaily[Deaths],tblDaily[EntryDate],DATE(2026,11,22),tblDaily[WardCode],"FAE")),"")</f>
        <v/>
      </c>
      <c r="L429" s="14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14" t="str">
        <f>IFERROR(IF(SUMIFS(tblDaily[TransfersIn],tblDaily[EntryDate],DATE(2026,11,22),tblDaily[WardCode],"FAE")=0,"",SUMIFS(tblDaily[TransfersIn],tblDaily[EntryDate],DATE(2026,11,22),tblDaily[WardCode],"FAE")),"")</f>
        <v/>
      </c>
      <c r="N429" s="14" t="str">
        <f>IFERROR(IF(SUMIFS(tblDaily[TransfersOut],tblDaily[EntryDate],DATE(2026,11,22),tblDaily[WardCode],"FAE")=0,"",SUMIFS(tblDaily[TransfersOut],tblDaily[EntryDate],DATE(2026,11,22),tblDaily[WardCode],"FAE")),"")</f>
        <v/>
      </c>
      <c r="O429" s="14" t="str">
        <f>IFERROR(IF(SUMIFS(tblDaily[Remaining],tblDaily[EntryDate],DATE(2026,11,22),tblDaily[WardCode],"FAE")=0,"",SUMIFS(tblDaily[Remaining],tblDaily[EntryDate],DATE(2026,11,22),tblDaily[WardCode],"FAE")),"")</f>
        <v/>
      </c>
      <c r="P429" s="15" t="str">
        <f t="shared" si="10"/>
        <v/>
      </c>
    </row>
    <row r="430" spans="1:16" x14ac:dyDescent="0.25">
      <c r="A430" s="14">
        <v>23</v>
      </c>
      <c r="B430" s="14" t="str">
        <f>IFERROR(IF(SUMIFS(tblDaily[Admissions],tblDaily[EntryDate],DATE(2026,11,23),tblDaily[WardCode],"MAE")=0,"",SUMIFS(tblDaily[Admissions],tblDaily[EntryDate],DATE(2026,11,23),tblDaily[WardCode],"MAE")),"")</f>
        <v/>
      </c>
      <c r="C430" s="14" t="str">
        <f>IFERROR(IF(SUMIFS(tblDaily[Discharges],tblDaily[EntryDate],DATE(2026,11,23),tblDaily[WardCode],"MAE")=0,"",SUMIFS(tblDaily[Discharges],tblDaily[EntryDate],DATE(2026,11,23),tblDaily[WardCode],"MAE")),"")</f>
        <v/>
      </c>
      <c r="D430" s="14" t="str">
        <f>IFERROR(IF(SUMIFS(tblDaily[Deaths],tblDaily[EntryDate],DATE(2026,11,23),tblDaily[WardCode],"MAE")=0,"",SUMIFS(tblDaily[Deaths],tblDaily[EntryDate],DATE(2026,11,23),tblDaily[WardCode],"MAE")),"")</f>
        <v/>
      </c>
      <c r="E430" s="1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14" t="str">
        <f>IFERROR(IF(SUMIFS(tblDaily[TransfersIn],tblDaily[EntryDate],DATE(2026,11,23),tblDaily[WardCode],"MAE")=0,"",SUMIFS(tblDaily[TransfersIn],tblDaily[EntryDate],DATE(2026,11,23),tblDaily[WardCode],"MAE")),"")</f>
        <v/>
      </c>
      <c r="G430" s="14" t="str">
        <f>IFERROR(IF(SUMIFS(tblDaily[TransfersOut],tblDaily[EntryDate],DATE(2026,11,23),tblDaily[WardCode],"MAE")=0,"",SUMIFS(tblDaily[TransfersOut],tblDaily[EntryDate],DATE(2026,11,23),tblDaily[WardCode],"MAE")),"")</f>
        <v/>
      </c>
      <c r="H430" s="14" t="str">
        <f>IFERROR(IF(SUMIFS(tblDaily[Remaining],tblDaily[EntryDate],DATE(2026,11,23),tblDaily[WardCode],"MAE")=0,"",SUMIFS(tblDaily[Remaining],tblDaily[EntryDate],DATE(2026,11,23),tblDaily[WardCode],"MAE")),"")</f>
        <v/>
      </c>
      <c r="I430" s="14" t="str">
        <f>IFERROR(IF(SUMIFS(tblDaily[Admissions],tblDaily[EntryDate],DATE(2026,11,23),tblDaily[WardCode],"FAE")=0,"",SUMIFS(tblDaily[Admissions],tblDaily[EntryDate],DATE(2026,11,23),tblDaily[WardCode],"FAE")),"")</f>
        <v/>
      </c>
      <c r="J430" s="14" t="str">
        <f>IFERROR(IF(SUMIFS(tblDaily[Discharges],tblDaily[EntryDate],DATE(2026,11,23),tblDaily[WardCode],"FAE")=0,"",SUMIFS(tblDaily[Discharges],tblDaily[EntryDate],DATE(2026,11,23),tblDaily[WardCode],"FAE")),"")</f>
        <v/>
      </c>
      <c r="K430" s="14" t="str">
        <f>IFERROR(IF(SUMIFS(tblDaily[Deaths],tblDaily[EntryDate],DATE(2026,11,23),tblDaily[WardCode],"FAE")=0,"",SUMIFS(tblDaily[Deaths],tblDaily[EntryDate],DATE(2026,11,23),tblDaily[WardCode],"FAE")),"")</f>
        <v/>
      </c>
      <c r="L430" s="14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14" t="str">
        <f>IFERROR(IF(SUMIFS(tblDaily[TransfersIn],tblDaily[EntryDate],DATE(2026,11,23),tblDaily[WardCode],"FAE")=0,"",SUMIFS(tblDaily[TransfersIn],tblDaily[EntryDate],DATE(2026,11,23),tblDaily[WardCode],"FAE")),"")</f>
        <v/>
      </c>
      <c r="N430" s="14" t="str">
        <f>IFERROR(IF(SUMIFS(tblDaily[TransfersOut],tblDaily[EntryDate],DATE(2026,11,23),tblDaily[WardCode],"FAE")=0,"",SUMIFS(tblDaily[TransfersOut],tblDaily[EntryDate],DATE(2026,11,23),tblDaily[WardCode],"FAE")),"")</f>
        <v/>
      </c>
      <c r="O430" s="14" t="str">
        <f>IFERROR(IF(SUMIFS(tblDaily[Remaining],tblDaily[EntryDate],DATE(2026,11,23),tblDaily[WardCode],"FAE")=0,"",SUMIFS(tblDaily[Remaining],tblDaily[EntryDate],DATE(2026,11,23),tblDaily[WardCode],"FAE")),"")</f>
        <v/>
      </c>
      <c r="P430" s="15" t="str">
        <f t="shared" si="10"/>
        <v/>
      </c>
    </row>
    <row r="431" spans="1:16" x14ac:dyDescent="0.25">
      <c r="A431" s="14">
        <v>24</v>
      </c>
      <c r="B431" s="14" t="str">
        <f>IFERROR(IF(SUMIFS(tblDaily[Admissions],tblDaily[EntryDate],DATE(2026,11,24),tblDaily[WardCode],"MAE")=0,"",SUMIFS(tblDaily[Admissions],tblDaily[EntryDate],DATE(2026,11,24),tblDaily[WardCode],"MAE")),"")</f>
        <v/>
      </c>
      <c r="C431" s="14" t="str">
        <f>IFERROR(IF(SUMIFS(tblDaily[Discharges],tblDaily[EntryDate],DATE(2026,11,24),tblDaily[WardCode],"MAE")=0,"",SUMIFS(tblDaily[Discharges],tblDaily[EntryDate],DATE(2026,11,24),tblDaily[WardCode],"MAE")),"")</f>
        <v/>
      </c>
      <c r="D431" s="14" t="str">
        <f>IFERROR(IF(SUMIFS(tblDaily[Deaths],tblDaily[EntryDate],DATE(2026,11,24),tblDaily[WardCode],"MAE")=0,"",SUMIFS(tblDaily[Deaths],tblDaily[EntryDate],DATE(2026,11,24),tblDaily[WardCode],"MAE")),"")</f>
        <v/>
      </c>
      <c r="E431" s="1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14" t="str">
        <f>IFERROR(IF(SUMIFS(tblDaily[TransfersIn],tblDaily[EntryDate],DATE(2026,11,24),tblDaily[WardCode],"MAE")=0,"",SUMIFS(tblDaily[TransfersIn],tblDaily[EntryDate],DATE(2026,11,24),tblDaily[WardCode],"MAE")),"")</f>
        <v/>
      </c>
      <c r="G431" s="14" t="str">
        <f>IFERROR(IF(SUMIFS(tblDaily[TransfersOut],tblDaily[EntryDate],DATE(2026,11,24),tblDaily[WardCode],"MAE")=0,"",SUMIFS(tblDaily[TransfersOut],tblDaily[EntryDate],DATE(2026,11,24),tblDaily[WardCode],"MAE")),"")</f>
        <v/>
      </c>
      <c r="H431" s="14" t="str">
        <f>IFERROR(IF(SUMIFS(tblDaily[Remaining],tblDaily[EntryDate],DATE(2026,11,24),tblDaily[WardCode],"MAE")=0,"",SUMIFS(tblDaily[Remaining],tblDaily[EntryDate],DATE(2026,11,24),tblDaily[WardCode],"MAE")),"")</f>
        <v/>
      </c>
      <c r="I431" s="14" t="str">
        <f>IFERROR(IF(SUMIFS(tblDaily[Admissions],tblDaily[EntryDate],DATE(2026,11,24),tblDaily[WardCode],"FAE")=0,"",SUMIFS(tblDaily[Admissions],tblDaily[EntryDate],DATE(2026,11,24),tblDaily[WardCode],"FAE")),"")</f>
        <v/>
      </c>
      <c r="J431" s="14" t="str">
        <f>IFERROR(IF(SUMIFS(tblDaily[Discharges],tblDaily[EntryDate],DATE(2026,11,24),tblDaily[WardCode],"FAE")=0,"",SUMIFS(tblDaily[Discharges],tblDaily[EntryDate],DATE(2026,11,24),tblDaily[WardCode],"FAE")),"")</f>
        <v/>
      </c>
      <c r="K431" s="14" t="str">
        <f>IFERROR(IF(SUMIFS(tblDaily[Deaths],tblDaily[EntryDate],DATE(2026,11,24),tblDaily[WardCode],"FAE")=0,"",SUMIFS(tblDaily[Deaths],tblDaily[EntryDate],DATE(2026,11,24),tblDaily[WardCode],"FAE")),"")</f>
        <v/>
      </c>
      <c r="L431" s="14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14" t="str">
        <f>IFERROR(IF(SUMIFS(tblDaily[TransfersIn],tblDaily[EntryDate],DATE(2026,11,24),tblDaily[WardCode],"FAE")=0,"",SUMIFS(tblDaily[TransfersIn],tblDaily[EntryDate],DATE(2026,11,24),tblDaily[WardCode],"FAE")),"")</f>
        <v/>
      </c>
      <c r="N431" s="14" t="str">
        <f>IFERROR(IF(SUMIFS(tblDaily[TransfersOut],tblDaily[EntryDate],DATE(2026,11,24),tblDaily[WardCode],"FAE")=0,"",SUMIFS(tblDaily[TransfersOut],tblDaily[EntryDate],DATE(2026,11,24),tblDaily[WardCode],"FAE")),"")</f>
        <v/>
      </c>
      <c r="O431" s="14" t="str">
        <f>IFERROR(IF(SUMIFS(tblDaily[Remaining],tblDaily[EntryDate],DATE(2026,11,24),tblDaily[WardCode],"FAE")=0,"",SUMIFS(tblDaily[Remaining],tblDaily[EntryDate],DATE(2026,11,24),tblDaily[WardCode],"FAE")),"")</f>
        <v/>
      </c>
      <c r="P431" s="15" t="str">
        <f t="shared" si="10"/>
        <v/>
      </c>
    </row>
    <row r="432" spans="1:16" x14ac:dyDescent="0.25">
      <c r="A432" s="14">
        <v>25</v>
      </c>
      <c r="B432" s="14" t="str">
        <f>IFERROR(IF(SUMIFS(tblDaily[Admissions],tblDaily[EntryDate],DATE(2026,11,25),tblDaily[WardCode],"MAE")=0,"",SUMIFS(tblDaily[Admissions],tblDaily[EntryDate],DATE(2026,11,25),tblDaily[WardCode],"MAE")),"")</f>
        <v/>
      </c>
      <c r="C432" s="14" t="str">
        <f>IFERROR(IF(SUMIFS(tblDaily[Discharges],tblDaily[EntryDate],DATE(2026,11,25),tblDaily[WardCode],"MAE")=0,"",SUMIFS(tblDaily[Discharges],tblDaily[EntryDate],DATE(2026,11,25),tblDaily[WardCode],"MAE")),"")</f>
        <v/>
      </c>
      <c r="D432" s="14" t="str">
        <f>IFERROR(IF(SUMIFS(tblDaily[Deaths],tblDaily[EntryDate],DATE(2026,11,25),tblDaily[WardCode],"MAE")=0,"",SUMIFS(tblDaily[Deaths],tblDaily[EntryDate],DATE(2026,11,25),tblDaily[WardCode],"MAE")),"")</f>
        <v/>
      </c>
      <c r="E432" s="1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14" t="str">
        <f>IFERROR(IF(SUMIFS(tblDaily[TransfersIn],tblDaily[EntryDate],DATE(2026,11,25),tblDaily[WardCode],"MAE")=0,"",SUMIFS(tblDaily[TransfersIn],tblDaily[EntryDate],DATE(2026,11,25),tblDaily[WardCode],"MAE")),"")</f>
        <v/>
      </c>
      <c r="G432" s="14" t="str">
        <f>IFERROR(IF(SUMIFS(tblDaily[TransfersOut],tblDaily[EntryDate],DATE(2026,11,25),tblDaily[WardCode],"MAE")=0,"",SUMIFS(tblDaily[TransfersOut],tblDaily[EntryDate],DATE(2026,11,25),tblDaily[WardCode],"MAE")),"")</f>
        <v/>
      </c>
      <c r="H432" s="14" t="str">
        <f>IFERROR(IF(SUMIFS(tblDaily[Remaining],tblDaily[EntryDate],DATE(2026,11,25),tblDaily[WardCode],"MAE")=0,"",SUMIFS(tblDaily[Remaining],tblDaily[EntryDate],DATE(2026,11,25),tblDaily[WardCode],"MAE")),"")</f>
        <v/>
      </c>
      <c r="I432" s="14" t="str">
        <f>IFERROR(IF(SUMIFS(tblDaily[Admissions],tblDaily[EntryDate],DATE(2026,11,25),tblDaily[WardCode],"FAE")=0,"",SUMIFS(tblDaily[Admissions],tblDaily[EntryDate],DATE(2026,11,25),tblDaily[WardCode],"FAE")),"")</f>
        <v/>
      </c>
      <c r="J432" s="14" t="str">
        <f>IFERROR(IF(SUMIFS(tblDaily[Discharges],tblDaily[EntryDate],DATE(2026,11,25),tblDaily[WardCode],"FAE")=0,"",SUMIFS(tblDaily[Discharges],tblDaily[EntryDate],DATE(2026,11,25),tblDaily[WardCode],"FAE")),"")</f>
        <v/>
      </c>
      <c r="K432" s="14" t="str">
        <f>IFERROR(IF(SUMIFS(tblDaily[Deaths],tblDaily[EntryDate],DATE(2026,11,25),tblDaily[WardCode],"FAE")=0,"",SUMIFS(tblDaily[Deaths],tblDaily[EntryDate],DATE(2026,11,25),tblDaily[WardCode],"FAE")),"")</f>
        <v/>
      </c>
      <c r="L432" s="14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14" t="str">
        <f>IFERROR(IF(SUMIFS(tblDaily[TransfersIn],tblDaily[EntryDate],DATE(2026,11,25),tblDaily[WardCode],"FAE")=0,"",SUMIFS(tblDaily[TransfersIn],tblDaily[EntryDate],DATE(2026,11,25),tblDaily[WardCode],"FAE")),"")</f>
        <v/>
      </c>
      <c r="N432" s="14" t="str">
        <f>IFERROR(IF(SUMIFS(tblDaily[TransfersOut],tblDaily[EntryDate],DATE(2026,11,25),tblDaily[WardCode],"FAE")=0,"",SUMIFS(tblDaily[TransfersOut],tblDaily[EntryDate],DATE(2026,11,25),tblDaily[WardCode],"FAE")),"")</f>
        <v/>
      </c>
      <c r="O432" s="14" t="str">
        <f>IFERROR(IF(SUMIFS(tblDaily[Remaining],tblDaily[EntryDate],DATE(2026,11,25),tblDaily[WardCode],"FAE")=0,"",SUMIFS(tblDaily[Remaining],tblDaily[EntryDate],DATE(2026,11,25),tblDaily[WardCode],"FAE")),"")</f>
        <v/>
      </c>
      <c r="P432" s="15" t="str">
        <f t="shared" si="10"/>
        <v/>
      </c>
    </row>
    <row r="433" spans="1:16" x14ac:dyDescent="0.25">
      <c r="A433" s="14">
        <v>26</v>
      </c>
      <c r="B433" s="14" t="str">
        <f>IFERROR(IF(SUMIFS(tblDaily[Admissions],tblDaily[EntryDate],DATE(2026,11,26),tblDaily[WardCode],"MAE")=0,"",SUMIFS(tblDaily[Admissions],tblDaily[EntryDate],DATE(2026,11,26),tblDaily[WardCode],"MAE")),"")</f>
        <v/>
      </c>
      <c r="C433" s="14" t="str">
        <f>IFERROR(IF(SUMIFS(tblDaily[Discharges],tblDaily[EntryDate],DATE(2026,11,26),tblDaily[WardCode],"MAE")=0,"",SUMIFS(tblDaily[Discharges],tblDaily[EntryDate],DATE(2026,11,26),tblDaily[WardCode],"MAE")),"")</f>
        <v/>
      </c>
      <c r="D433" s="14" t="str">
        <f>IFERROR(IF(SUMIFS(tblDaily[Deaths],tblDaily[EntryDate],DATE(2026,11,26),tblDaily[WardCode],"MAE")=0,"",SUMIFS(tblDaily[Deaths],tblDaily[EntryDate],DATE(2026,11,26),tblDaily[WardCode],"MAE")),"")</f>
        <v/>
      </c>
      <c r="E433" s="1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14" t="str">
        <f>IFERROR(IF(SUMIFS(tblDaily[TransfersIn],tblDaily[EntryDate],DATE(2026,11,26),tblDaily[WardCode],"MAE")=0,"",SUMIFS(tblDaily[TransfersIn],tblDaily[EntryDate],DATE(2026,11,26),tblDaily[WardCode],"MAE")),"")</f>
        <v/>
      </c>
      <c r="G433" s="14" t="str">
        <f>IFERROR(IF(SUMIFS(tblDaily[TransfersOut],tblDaily[EntryDate],DATE(2026,11,26),tblDaily[WardCode],"MAE")=0,"",SUMIFS(tblDaily[TransfersOut],tblDaily[EntryDate],DATE(2026,11,26),tblDaily[WardCode],"MAE")),"")</f>
        <v/>
      </c>
      <c r="H433" s="14" t="str">
        <f>IFERROR(IF(SUMIFS(tblDaily[Remaining],tblDaily[EntryDate],DATE(2026,11,26),tblDaily[WardCode],"MAE")=0,"",SUMIFS(tblDaily[Remaining],tblDaily[EntryDate],DATE(2026,11,26),tblDaily[WardCode],"MAE")),"")</f>
        <v/>
      </c>
      <c r="I433" s="14" t="str">
        <f>IFERROR(IF(SUMIFS(tblDaily[Admissions],tblDaily[EntryDate],DATE(2026,11,26),tblDaily[WardCode],"FAE")=0,"",SUMIFS(tblDaily[Admissions],tblDaily[EntryDate],DATE(2026,11,26),tblDaily[WardCode],"FAE")),"")</f>
        <v/>
      </c>
      <c r="J433" s="14" t="str">
        <f>IFERROR(IF(SUMIFS(tblDaily[Discharges],tblDaily[EntryDate],DATE(2026,11,26),tblDaily[WardCode],"FAE")=0,"",SUMIFS(tblDaily[Discharges],tblDaily[EntryDate],DATE(2026,11,26),tblDaily[WardCode],"FAE")),"")</f>
        <v/>
      </c>
      <c r="K433" s="14" t="str">
        <f>IFERROR(IF(SUMIFS(tblDaily[Deaths],tblDaily[EntryDate],DATE(2026,11,26),tblDaily[WardCode],"FAE")=0,"",SUMIFS(tblDaily[Deaths],tblDaily[EntryDate],DATE(2026,11,26),tblDaily[WardCode],"FAE")),"")</f>
        <v/>
      </c>
      <c r="L433" s="14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14" t="str">
        <f>IFERROR(IF(SUMIFS(tblDaily[TransfersIn],tblDaily[EntryDate],DATE(2026,11,26),tblDaily[WardCode],"FAE")=0,"",SUMIFS(tblDaily[TransfersIn],tblDaily[EntryDate],DATE(2026,11,26),tblDaily[WardCode],"FAE")),"")</f>
        <v/>
      </c>
      <c r="N433" s="14" t="str">
        <f>IFERROR(IF(SUMIFS(tblDaily[TransfersOut],tblDaily[EntryDate],DATE(2026,11,26),tblDaily[WardCode],"FAE")=0,"",SUMIFS(tblDaily[TransfersOut],tblDaily[EntryDate],DATE(2026,11,26),tblDaily[WardCode],"FAE")),"")</f>
        <v/>
      </c>
      <c r="O433" s="14" t="str">
        <f>IFERROR(IF(SUMIFS(tblDaily[Remaining],tblDaily[EntryDate],DATE(2026,11,26),tblDaily[WardCode],"FAE")=0,"",SUMIFS(tblDaily[Remaining],tblDaily[EntryDate],DATE(2026,11,26),tblDaily[WardCode],"FAE")),"")</f>
        <v/>
      </c>
      <c r="P433" s="15" t="str">
        <f t="shared" si="10"/>
        <v/>
      </c>
    </row>
    <row r="434" spans="1:16" x14ac:dyDescent="0.25">
      <c r="A434" s="14">
        <v>27</v>
      </c>
      <c r="B434" s="14" t="str">
        <f>IFERROR(IF(SUMIFS(tblDaily[Admissions],tblDaily[EntryDate],DATE(2026,11,27),tblDaily[WardCode],"MAE")=0,"",SUMIFS(tblDaily[Admissions],tblDaily[EntryDate],DATE(2026,11,27),tblDaily[WardCode],"MAE")),"")</f>
        <v/>
      </c>
      <c r="C434" s="14" t="str">
        <f>IFERROR(IF(SUMIFS(tblDaily[Discharges],tblDaily[EntryDate],DATE(2026,11,27),tblDaily[WardCode],"MAE")=0,"",SUMIFS(tblDaily[Discharges],tblDaily[EntryDate],DATE(2026,11,27),tblDaily[WardCode],"MAE")),"")</f>
        <v/>
      </c>
      <c r="D434" s="14" t="str">
        <f>IFERROR(IF(SUMIFS(tblDaily[Deaths],tblDaily[EntryDate],DATE(2026,11,27),tblDaily[WardCode],"MAE")=0,"",SUMIFS(tblDaily[Deaths],tblDaily[EntryDate],DATE(2026,11,27),tblDaily[WardCode],"MAE")),"")</f>
        <v/>
      </c>
      <c r="E434" s="1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14" t="str">
        <f>IFERROR(IF(SUMIFS(tblDaily[TransfersIn],tblDaily[EntryDate],DATE(2026,11,27),tblDaily[WardCode],"MAE")=0,"",SUMIFS(tblDaily[TransfersIn],tblDaily[EntryDate],DATE(2026,11,27),tblDaily[WardCode],"MAE")),"")</f>
        <v/>
      </c>
      <c r="G434" s="14" t="str">
        <f>IFERROR(IF(SUMIFS(tblDaily[TransfersOut],tblDaily[EntryDate],DATE(2026,11,27),tblDaily[WardCode],"MAE")=0,"",SUMIFS(tblDaily[TransfersOut],tblDaily[EntryDate],DATE(2026,11,27),tblDaily[WardCode],"MAE")),"")</f>
        <v/>
      </c>
      <c r="H434" s="14" t="str">
        <f>IFERROR(IF(SUMIFS(tblDaily[Remaining],tblDaily[EntryDate],DATE(2026,11,27),tblDaily[WardCode],"MAE")=0,"",SUMIFS(tblDaily[Remaining],tblDaily[EntryDate],DATE(2026,11,27),tblDaily[WardCode],"MAE")),"")</f>
        <v/>
      </c>
      <c r="I434" s="14" t="str">
        <f>IFERROR(IF(SUMIFS(tblDaily[Admissions],tblDaily[EntryDate],DATE(2026,11,27),tblDaily[WardCode],"FAE")=0,"",SUMIFS(tblDaily[Admissions],tblDaily[EntryDate],DATE(2026,11,27),tblDaily[WardCode],"FAE")),"")</f>
        <v/>
      </c>
      <c r="J434" s="14" t="str">
        <f>IFERROR(IF(SUMIFS(tblDaily[Discharges],tblDaily[EntryDate],DATE(2026,11,27),tblDaily[WardCode],"FAE")=0,"",SUMIFS(tblDaily[Discharges],tblDaily[EntryDate],DATE(2026,11,27),tblDaily[WardCode],"FAE")),"")</f>
        <v/>
      </c>
      <c r="K434" s="14" t="str">
        <f>IFERROR(IF(SUMIFS(tblDaily[Deaths],tblDaily[EntryDate],DATE(2026,11,27),tblDaily[WardCode],"FAE")=0,"",SUMIFS(tblDaily[Deaths],tblDaily[EntryDate],DATE(2026,11,27),tblDaily[WardCode],"FAE")),"")</f>
        <v/>
      </c>
      <c r="L434" s="14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14" t="str">
        <f>IFERROR(IF(SUMIFS(tblDaily[TransfersIn],tblDaily[EntryDate],DATE(2026,11,27),tblDaily[WardCode],"FAE")=0,"",SUMIFS(tblDaily[TransfersIn],tblDaily[EntryDate],DATE(2026,11,27),tblDaily[WardCode],"FAE")),"")</f>
        <v/>
      </c>
      <c r="N434" s="14" t="str">
        <f>IFERROR(IF(SUMIFS(tblDaily[TransfersOut],tblDaily[EntryDate],DATE(2026,11,27),tblDaily[WardCode],"FAE")=0,"",SUMIFS(tblDaily[TransfersOut],tblDaily[EntryDate],DATE(2026,11,27),tblDaily[WardCode],"FAE")),"")</f>
        <v/>
      </c>
      <c r="O434" s="14" t="str">
        <f>IFERROR(IF(SUMIFS(tblDaily[Remaining],tblDaily[EntryDate],DATE(2026,11,27),tblDaily[WardCode],"FAE")=0,"",SUMIFS(tblDaily[Remaining],tblDaily[EntryDate],DATE(2026,11,27),tblDaily[WardCode],"FAE")),"")</f>
        <v/>
      </c>
      <c r="P434" s="15" t="str">
        <f t="shared" si="10"/>
        <v/>
      </c>
    </row>
    <row r="435" spans="1:16" x14ac:dyDescent="0.25">
      <c r="A435" s="14">
        <v>28</v>
      </c>
      <c r="B435" s="14" t="str">
        <f>IFERROR(IF(SUMIFS(tblDaily[Admissions],tblDaily[EntryDate],DATE(2026,11,28),tblDaily[WardCode],"MAE")=0,"",SUMIFS(tblDaily[Admissions],tblDaily[EntryDate],DATE(2026,11,28),tblDaily[WardCode],"MAE")),"")</f>
        <v/>
      </c>
      <c r="C435" s="14" t="str">
        <f>IFERROR(IF(SUMIFS(tblDaily[Discharges],tblDaily[EntryDate],DATE(2026,11,28),tblDaily[WardCode],"MAE")=0,"",SUMIFS(tblDaily[Discharges],tblDaily[EntryDate],DATE(2026,11,28),tblDaily[WardCode],"MAE")),"")</f>
        <v/>
      </c>
      <c r="D435" s="14" t="str">
        <f>IFERROR(IF(SUMIFS(tblDaily[Deaths],tblDaily[EntryDate],DATE(2026,11,28),tblDaily[WardCode],"MAE")=0,"",SUMIFS(tblDaily[Deaths],tblDaily[EntryDate],DATE(2026,11,28),tblDaily[WardCode],"MAE")),"")</f>
        <v/>
      </c>
      <c r="E435" s="1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14" t="str">
        <f>IFERROR(IF(SUMIFS(tblDaily[TransfersIn],tblDaily[EntryDate],DATE(2026,11,28),tblDaily[WardCode],"MAE")=0,"",SUMIFS(tblDaily[TransfersIn],tblDaily[EntryDate],DATE(2026,11,28),tblDaily[WardCode],"MAE")),"")</f>
        <v/>
      </c>
      <c r="G435" s="14" t="str">
        <f>IFERROR(IF(SUMIFS(tblDaily[TransfersOut],tblDaily[EntryDate],DATE(2026,11,28),tblDaily[WardCode],"MAE")=0,"",SUMIFS(tblDaily[TransfersOut],tblDaily[EntryDate],DATE(2026,11,28),tblDaily[WardCode],"MAE")),"")</f>
        <v/>
      </c>
      <c r="H435" s="14" t="str">
        <f>IFERROR(IF(SUMIFS(tblDaily[Remaining],tblDaily[EntryDate],DATE(2026,11,28),tblDaily[WardCode],"MAE")=0,"",SUMIFS(tblDaily[Remaining],tblDaily[EntryDate],DATE(2026,11,28),tblDaily[WardCode],"MAE")),"")</f>
        <v/>
      </c>
      <c r="I435" s="14" t="str">
        <f>IFERROR(IF(SUMIFS(tblDaily[Admissions],tblDaily[EntryDate],DATE(2026,11,28),tblDaily[WardCode],"FAE")=0,"",SUMIFS(tblDaily[Admissions],tblDaily[EntryDate],DATE(2026,11,28),tblDaily[WardCode],"FAE")),"")</f>
        <v/>
      </c>
      <c r="J435" s="14" t="str">
        <f>IFERROR(IF(SUMIFS(tblDaily[Discharges],tblDaily[EntryDate],DATE(2026,11,28),tblDaily[WardCode],"FAE")=0,"",SUMIFS(tblDaily[Discharges],tblDaily[EntryDate],DATE(2026,11,28),tblDaily[WardCode],"FAE")),"")</f>
        <v/>
      </c>
      <c r="K435" s="14" t="str">
        <f>IFERROR(IF(SUMIFS(tblDaily[Deaths],tblDaily[EntryDate],DATE(2026,11,28),tblDaily[WardCode],"FAE")=0,"",SUMIFS(tblDaily[Deaths],tblDaily[EntryDate],DATE(2026,11,28),tblDaily[WardCode],"FAE")),"")</f>
        <v/>
      </c>
      <c r="L435" s="14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14" t="str">
        <f>IFERROR(IF(SUMIFS(tblDaily[TransfersIn],tblDaily[EntryDate],DATE(2026,11,28),tblDaily[WardCode],"FAE")=0,"",SUMIFS(tblDaily[TransfersIn],tblDaily[EntryDate],DATE(2026,11,28),tblDaily[WardCode],"FAE")),"")</f>
        <v/>
      </c>
      <c r="N435" s="14" t="str">
        <f>IFERROR(IF(SUMIFS(tblDaily[TransfersOut],tblDaily[EntryDate],DATE(2026,11,28),tblDaily[WardCode],"FAE")=0,"",SUMIFS(tblDaily[TransfersOut],tblDaily[EntryDate],DATE(2026,11,28),tblDaily[WardCode],"FAE")),"")</f>
        <v/>
      </c>
      <c r="O435" s="14" t="str">
        <f>IFERROR(IF(SUMIFS(tblDaily[Remaining],tblDaily[EntryDate],DATE(2026,11,28),tblDaily[WardCode],"FAE")=0,"",SUMIFS(tblDaily[Remaining],tblDaily[EntryDate],DATE(2026,11,28),tblDaily[WardCode],"FAE")),"")</f>
        <v/>
      </c>
      <c r="P435" s="15" t="str">
        <f t="shared" si="10"/>
        <v/>
      </c>
    </row>
    <row r="436" spans="1:16" x14ac:dyDescent="0.25">
      <c r="A436" s="14">
        <v>29</v>
      </c>
      <c r="B436" s="14" t="str">
        <f>IFERROR(IF(SUMIFS(tblDaily[Admissions],tblDaily[EntryDate],DATE(2026,11,29),tblDaily[WardCode],"MAE")=0,"",SUMIFS(tblDaily[Admissions],tblDaily[EntryDate],DATE(2026,11,29),tblDaily[WardCode],"MAE")),"")</f>
        <v/>
      </c>
      <c r="C436" s="14" t="str">
        <f>IFERROR(IF(SUMIFS(tblDaily[Discharges],tblDaily[EntryDate],DATE(2026,11,29),tblDaily[WardCode],"MAE")=0,"",SUMIFS(tblDaily[Discharges],tblDaily[EntryDate],DATE(2026,11,29),tblDaily[WardCode],"MAE")),"")</f>
        <v/>
      </c>
      <c r="D436" s="14" t="str">
        <f>IFERROR(IF(SUMIFS(tblDaily[Deaths],tblDaily[EntryDate],DATE(2026,11,29),tblDaily[WardCode],"MAE")=0,"",SUMIFS(tblDaily[Deaths],tblDaily[EntryDate],DATE(2026,11,29),tblDaily[WardCode],"MAE")),"")</f>
        <v/>
      </c>
      <c r="E436" s="1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14" t="str">
        <f>IFERROR(IF(SUMIFS(tblDaily[TransfersIn],tblDaily[EntryDate],DATE(2026,11,29),tblDaily[WardCode],"MAE")=0,"",SUMIFS(tblDaily[TransfersIn],tblDaily[EntryDate],DATE(2026,11,29),tblDaily[WardCode],"MAE")),"")</f>
        <v/>
      </c>
      <c r="G436" s="14" t="str">
        <f>IFERROR(IF(SUMIFS(tblDaily[TransfersOut],tblDaily[EntryDate],DATE(2026,11,29),tblDaily[WardCode],"MAE")=0,"",SUMIFS(tblDaily[TransfersOut],tblDaily[EntryDate],DATE(2026,11,29),tblDaily[WardCode],"MAE")),"")</f>
        <v/>
      </c>
      <c r="H436" s="14" t="str">
        <f>IFERROR(IF(SUMIFS(tblDaily[Remaining],tblDaily[EntryDate],DATE(2026,11,29),tblDaily[WardCode],"MAE")=0,"",SUMIFS(tblDaily[Remaining],tblDaily[EntryDate],DATE(2026,11,29),tblDaily[WardCode],"MAE")),"")</f>
        <v/>
      </c>
      <c r="I436" s="14" t="str">
        <f>IFERROR(IF(SUMIFS(tblDaily[Admissions],tblDaily[EntryDate],DATE(2026,11,29),tblDaily[WardCode],"FAE")=0,"",SUMIFS(tblDaily[Admissions],tblDaily[EntryDate],DATE(2026,11,29),tblDaily[WardCode],"FAE")),"")</f>
        <v/>
      </c>
      <c r="J436" s="14" t="str">
        <f>IFERROR(IF(SUMIFS(tblDaily[Discharges],tblDaily[EntryDate],DATE(2026,11,29),tblDaily[WardCode],"FAE")=0,"",SUMIFS(tblDaily[Discharges],tblDaily[EntryDate],DATE(2026,11,29),tblDaily[WardCode],"FAE")),"")</f>
        <v/>
      </c>
      <c r="K436" s="14" t="str">
        <f>IFERROR(IF(SUMIFS(tblDaily[Deaths],tblDaily[EntryDate],DATE(2026,11,29),tblDaily[WardCode],"FAE")=0,"",SUMIFS(tblDaily[Deaths],tblDaily[EntryDate],DATE(2026,11,29),tblDaily[WardCode],"FAE")),"")</f>
        <v/>
      </c>
      <c r="L436" s="14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14" t="str">
        <f>IFERROR(IF(SUMIFS(tblDaily[TransfersIn],tblDaily[EntryDate],DATE(2026,11,29),tblDaily[WardCode],"FAE")=0,"",SUMIFS(tblDaily[TransfersIn],tblDaily[EntryDate],DATE(2026,11,29),tblDaily[WardCode],"FAE")),"")</f>
        <v/>
      </c>
      <c r="N436" s="14" t="str">
        <f>IFERROR(IF(SUMIFS(tblDaily[TransfersOut],tblDaily[EntryDate],DATE(2026,11,29),tblDaily[WardCode],"FAE")=0,"",SUMIFS(tblDaily[TransfersOut],tblDaily[EntryDate],DATE(2026,11,29),tblDaily[WardCode],"FAE")),"")</f>
        <v/>
      </c>
      <c r="O436" s="14" t="str">
        <f>IFERROR(IF(SUMIFS(tblDaily[Remaining],tblDaily[EntryDate],DATE(2026,11,29),tblDaily[WardCode],"FAE")=0,"",SUMIFS(tblDaily[Remaining],tblDaily[EntryDate],DATE(2026,11,29),tblDaily[WardCode],"FAE")),"")</f>
        <v/>
      </c>
      <c r="P436" s="15" t="str">
        <f t="shared" si="10"/>
        <v/>
      </c>
    </row>
    <row r="437" spans="1:16" x14ac:dyDescent="0.25">
      <c r="A437" s="14">
        <v>30</v>
      </c>
      <c r="B437" s="14" t="str">
        <f>IFERROR(IF(SUMIFS(tblDaily[Admissions],tblDaily[EntryDate],DATE(2026,11,30),tblDaily[WardCode],"MAE")=0,"",SUMIFS(tblDaily[Admissions],tblDaily[EntryDate],DATE(2026,11,30),tblDaily[WardCode],"MAE")),"")</f>
        <v/>
      </c>
      <c r="C437" s="14" t="str">
        <f>IFERROR(IF(SUMIFS(tblDaily[Discharges],tblDaily[EntryDate],DATE(2026,11,30),tblDaily[WardCode],"MAE")=0,"",SUMIFS(tblDaily[Discharges],tblDaily[EntryDate],DATE(2026,11,30),tblDaily[WardCode],"MAE")),"")</f>
        <v/>
      </c>
      <c r="D437" s="14" t="str">
        <f>IFERROR(IF(SUMIFS(tblDaily[Deaths],tblDaily[EntryDate],DATE(2026,11,30),tblDaily[WardCode],"MAE")=0,"",SUMIFS(tblDaily[Deaths],tblDaily[EntryDate],DATE(2026,11,30),tblDaily[WardCode],"MAE")),"")</f>
        <v/>
      </c>
      <c r="E437" s="1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14" t="str">
        <f>IFERROR(IF(SUMIFS(tblDaily[TransfersIn],tblDaily[EntryDate],DATE(2026,11,30),tblDaily[WardCode],"MAE")=0,"",SUMIFS(tblDaily[TransfersIn],tblDaily[EntryDate],DATE(2026,11,30),tblDaily[WardCode],"MAE")),"")</f>
        <v/>
      </c>
      <c r="G437" s="14" t="str">
        <f>IFERROR(IF(SUMIFS(tblDaily[TransfersOut],tblDaily[EntryDate],DATE(2026,11,30),tblDaily[WardCode],"MAE")=0,"",SUMIFS(tblDaily[TransfersOut],tblDaily[EntryDate],DATE(2026,11,30),tblDaily[WardCode],"MAE")),"")</f>
        <v/>
      </c>
      <c r="H437" s="14" t="str">
        <f>IFERROR(IF(SUMIFS(tblDaily[Remaining],tblDaily[EntryDate],DATE(2026,11,30),tblDaily[WardCode],"MAE")=0,"",SUMIFS(tblDaily[Remaining],tblDaily[EntryDate],DATE(2026,11,30),tblDaily[WardCode],"MAE")),"")</f>
        <v/>
      </c>
      <c r="I437" s="14" t="str">
        <f>IFERROR(IF(SUMIFS(tblDaily[Admissions],tblDaily[EntryDate],DATE(2026,11,30),tblDaily[WardCode],"FAE")=0,"",SUMIFS(tblDaily[Admissions],tblDaily[EntryDate],DATE(2026,11,30),tblDaily[WardCode],"FAE")),"")</f>
        <v/>
      </c>
      <c r="J437" s="14" t="str">
        <f>IFERROR(IF(SUMIFS(tblDaily[Discharges],tblDaily[EntryDate],DATE(2026,11,30),tblDaily[WardCode],"FAE")=0,"",SUMIFS(tblDaily[Discharges],tblDaily[EntryDate],DATE(2026,11,30),tblDaily[WardCode],"FAE")),"")</f>
        <v/>
      </c>
      <c r="K437" s="14" t="str">
        <f>IFERROR(IF(SUMIFS(tblDaily[Deaths],tblDaily[EntryDate],DATE(2026,11,30),tblDaily[WardCode],"FAE")=0,"",SUMIFS(tblDaily[Deaths],tblDaily[EntryDate],DATE(2026,11,30),tblDaily[WardCode],"FAE")),"")</f>
        <v/>
      </c>
      <c r="L437" s="14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14" t="str">
        <f>IFERROR(IF(SUMIFS(tblDaily[TransfersIn],tblDaily[EntryDate],DATE(2026,11,30),tblDaily[WardCode],"FAE")=0,"",SUMIFS(tblDaily[TransfersIn],tblDaily[EntryDate],DATE(2026,11,30),tblDaily[WardCode],"FAE")),"")</f>
        <v/>
      </c>
      <c r="N437" s="14" t="str">
        <f>IFERROR(IF(SUMIFS(tblDaily[TransfersOut],tblDaily[EntryDate],DATE(2026,11,30),tblDaily[WardCode],"FAE")=0,"",SUMIFS(tblDaily[TransfersOut],tblDaily[EntryDate],DATE(2026,11,30),tblDaily[WardCode],"FAE")),"")</f>
        <v/>
      </c>
      <c r="O437" s="14" t="str">
        <f>IFERROR(IF(SUMIFS(tblDaily[Remaining],tblDaily[EntryDate],DATE(2026,11,30),tblDaily[WardCode],"FAE")=0,"",SUMIFS(tblDaily[Remaining],tblDaily[EntryDate],DATE(2026,11,30),tblDaily[WardCode],"FAE")),"")</f>
        <v/>
      </c>
      <c r="P437" s="15" t="str">
        <f t="shared" si="10"/>
        <v/>
      </c>
    </row>
    <row r="438" spans="1:16" x14ac:dyDescent="0.25">
      <c r="A438" s="14">
        <v>31</v>
      </c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</row>
    <row r="439" spans="1:16" x14ac:dyDescent="0.25">
      <c r="A439" s="9" t="s">
        <v>112</v>
      </c>
      <c r="B439" s="9">
        <f>SUMIFS(tblDaily[Admissions],tblDaily[Month],11,tblDaily[WardCode],"MAE") - SUMIFS(tblDaily[DeathsUnder24Hrs],tblDaily[Month],11,tblDaily[WardCode],"MAE")</f>
        <v>0</v>
      </c>
      <c r="C439" s="9">
        <f>SUMIFS(tblDaily[Discharges],tblDaily[Month],11,tblDaily[WardCode],"MAE")</f>
        <v>0</v>
      </c>
      <c r="D439" s="9">
        <f>SUMIFS(tblDaily[Deaths],tblDaily[Month],11,tblDaily[WardCode],"MAE")</f>
        <v>0</v>
      </c>
      <c r="E439" s="9">
        <f>SUMIFS(tblDaily[DeathsUnder24Hrs],tblDaily[Month],11,tblDaily[WardCode],"MAE")</f>
        <v>0</v>
      </c>
      <c r="F439" s="9">
        <f>SUMIFS(tblDaily[TransfersIn],tblDaily[Month],11,tblDaily[WardCode],"MAE")</f>
        <v>0</v>
      </c>
      <c r="G439" s="9">
        <f>SUMIFS(tblDaily[TransfersOut],tblDaily[Month],11,tblDaily[WardCode],"MAE")</f>
        <v>0</v>
      </c>
      <c r="H439" s="9">
        <f>SUMIFS(tblDaily[Remaining],tblDaily[Month],11,tblDaily[WardCode],"MAE")</f>
        <v>0</v>
      </c>
      <c r="I439" s="9">
        <f>SUMIFS(tblDaily[Admissions],tblDaily[Month],11,tblDaily[WardCode],"FAE") - SUMIFS(tblDaily[DeathsUnder24Hrs],tblDaily[Month],11,tblDaily[WardCode],"FAE")</f>
        <v>0</v>
      </c>
      <c r="J439" s="9">
        <f>SUMIFS(tblDaily[Discharges],tblDaily[Month],11,tblDaily[WardCode],"FAE")</f>
        <v>0</v>
      </c>
      <c r="K439" s="9">
        <f>SUMIFS(tblDaily[Deaths],tblDaily[Month],11,tblDaily[WardCode],"FAE")</f>
        <v>0</v>
      </c>
      <c r="L439" s="9">
        <f>SUMIFS(tblDaily[DeathsUnder24Hrs],tblDaily[Month],11,tblDaily[WardCode],"FAE")</f>
        <v>0</v>
      </c>
      <c r="M439" s="9">
        <f>SUMIFS(tblDaily[TransfersIn],tblDaily[Month],11,tblDaily[WardCode],"FAE")</f>
        <v>0</v>
      </c>
      <c r="N439" s="9">
        <f>SUMIFS(tblDaily[TransfersOut],tblDaily[Month],11,tblDaily[WardCode],"FAE")</f>
        <v>0</v>
      </c>
      <c r="O439" s="9">
        <f>SUMIFS(tblDaily[Remaining],tblDaily[Month],11,tblDaily[WardCode],"FAE")</f>
        <v>0</v>
      </c>
      <c r="P439" s="9">
        <f>H439 + O439</f>
        <v>0</v>
      </c>
    </row>
    <row r="441" spans="1:16" ht="18.75" x14ac:dyDescent="0.25">
      <c r="A441" s="39" t="s">
        <v>0</v>
      </c>
      <c r="B441" s="29"/>
      <c r="C441" s="29"/>
      <c r="D441" s="29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</row>
    <row r="442" spans="1:16" ht="15.75" x14ac:dyDescent="0.25">
      <c r="A442" s="35" t="s">
        <v>101</v>
      </c>
      <c r="B442" s="29"/>
      <c r="C442" s="29"/>
      <c r="D442" s="29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</row>
    <row r="443" spans="1:16" x14ac:dyDescent="0.25">
      <c r="A443" s="1" t="s">
        <v>4</v>
      </c>
      <c r="B443" s="2" t="s">
        <v>2</v>
      </c>
      <c r="E443" s="1" t="s">
        <v>102</v>
      </c>
      <c r="F443" s="1" t="s">
        <v>121</v>
      </c>
      <c r="M443" s="1" t="s">
        <v>104</v>
      </c>
      <c r="N443" s="1" t="s">
        <v>71</v>
      </c>
    </row>
    <row r="444" spans="1:16" x14ac:dyDescent="0.25">
      <c r="A444" s="1" t="s">
        <v>105</v>
      </c>
      <c r="B444" s="11">
        <f>IFERROR(SUMIFS(tblDaily[Remaining],tblDaily[EntryDate],DATE(2026,11,30),tblDaily[WardCode],"MAE"),0)</f>
        <v>0</v>
      </c>
      <c r="I444" s="11">
        <f>IFERROR(SUMIFS(tblDaily[Remaining],tblDaily[EntryDate],DATE(2026,11,30),tblDaily[WardCode],"FAE"),0)</f>
        <v>0</v>
      </c>
    </row>
    <row r="445" spans="1:16" x14ac:dyDescent="0.25">
      <c r="A445" s="1" t="s">
        <v>106</v>
      </c>
      <c r="B445" s="11">
        <f>IFERROR(INDEX(tblWardConfig[BedComplement],MATCH("MAE",tblWardConfig[WardCode],0)),0)</f>
        <v>10</v>
      </c>
      <c r="I445" s="11">
        <f>IFERROR(INDEX(tblWardConfig[BedComplement],MATCH("FAE",tblWardConfig[WardCode],0)),0)</f>
        <v>10</v>
      </c>
      <c r="O445" s="12">
        <f>B445+I445</f>
        <v>20</v>
      </c>
    </row>
    <row r="446" spans="1:16" x14ac:dyDescent="0.25">
      <c r="A446" s="3" t="s">
        <v>122</v>
      </c>
      <c r="B446" s="38" t="s">
        <v>119</v>
      </c>
      <c r="C446" s="29"/>
      <c r="D446" s="29"/>
      <c r="E446" s="29"/>
      <c r="F446" s="29"/>
      <c r="G446" s="29"/>
      <c r="H446" s="29"/>
      <c r="I446" s="40" t="s">
        <v>120</v>
      </c>
      <c r="J446" s="29"/>
      <c r="K446" s="29"/>
      <c r="L446" s="29"/>
      <c r="M446" s="29"/>
      <c r="N446" s="29"/>
      <c r="O446" s="29"/>
      <c r="P446" s="13" t="s">
        <v>112</v>
      </c>
    </row>
    <row r="447" spans="1:16" x14ac:dyDescent="0.25">
      <c r="A447" s="3" t="s">
        <v>122</v>
      </c>
      <c r="B447" s="3" t="s">
        <v>123</v>
      </c>
      <c r="C447" s="3" t="s">
        <v>124</v>
      </c>
      <c r="D447" s="3" t="s">
        <v>125</v>
      </c>
      <c r="E447" s="3" t="s">
        <v>126</v>
      </c>
      <c r="F447" s="3" t="s">
        <v>127</v>
      </c>
      <c r="G447" s="3" t="s">
        <v>128</v>
      </c>
      <c r="H447" s="3" t="s">
        <v>129</v>
      </c>
      <c r="I447" s="3" t="s">
        <v>123</v>
      </c>
      <c r="J447" s="3" t="s">
        <v>124</v>
      </c>
      <c r="K447" s="3" t="s">
        <v>125</v>
      </c>
      <c r="L447" s="3" t="s">
        <v>126</v>
      </c>
      <c r="M447" s="3" t="s">
        <v>127</v>
      </c>
      <c r="N447" s="3" t="s">
        <v>128</v>
      </c>
      <c r="O447" s="3" t="s">
        <v>129</v>
      </c>
      <c r="P447" s="3" t="s">
        <v>130</v>
      </c>
    </row>
    <row r="448" spans="1:16" x14ac:dyDescent="0.25">
      <c r="A448" s="14">
        <v>1</v>
      </c>
      <c r="B448" s="14" t="str">
        <f>IFERROR(IF(SUMIFS(tblDaily[Admissions],tblDaily[EntryDate],DATE(2026,12,1),tblDaily[WardCode],"MAE")=0,"",SUMIFS(tblDaily[Admissions],tblDaily[EntryDate],DATE(2026,12,1),tblDaily[WardCode],"MAE")),"")</f>
        <v/>
      </c>
      <c r="C448" s="14" t="str">
        <f>IFERROR(IF(SUMIFS(tblDaily[Discharges],tblDaily[EntryDate],DATE(2026,12,1),tblDaily[WardCode],"MAE")=0,"",SUMIFS(tblDaily[Discharges],tblDaily[EntryDate],DATE(2026,12,1),tblDaily[WardCode],"MAE")),"")</f>
        <v/>
      </c>
      <c r="D448" s="14" t="str">
        <f>IFERROR(IF(SUMIFS(tblDaily[Deaths],tblDaily[EntryDate],DATE(2026,12,1),tblDaily[WardCode],"MAE")=0,"",SUMIFS(tblDaily[Deaths],tblDaily[EntryDate],DATE(2026,12,1),tblDaily[WardCode],"MAE")),"")</f>
        <v/>
      </c>
      <c r="E448" s="14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14" t="str">
        <f>IFERROR(IF(SUMIFS(tblDaily[TransfersIn],tblDaily[EntryDate],DATE(2026,12,1),tblDaily[WardCode],"MAE")=0,"",SUMIFS(tblDaily[TransfersIn],tblDaily[EntryDate],DATE(2026,12,1),tblDaily[WardCode],"MAE")),"")</f>
        <v/>
      </c>
      <c r="G448" s="14" t="str">
        <f>IFERROR(IF(SUMIFS(tblDaily[TransfersOut],tblDaily[EntryDate],DATE(2026,12,1),tblDaily[WardCode],"MAE")=0,"",SUMIFS(tblDaily[TransfersOut],tblDaily[EntryDate],DATE(2026,12,1),tblDaily[WardCode],"MAE")),"")</f>
        <v/>
      </c>
      <c r="H448" s="14" t="str">
        <f>IFERROR(IF(SUMIFS(tblDaily[Remaining],tblDaily[EntryDate],DATE(2026,12,1),tblDaily[WardCode],"MAE")=0,"",SUMIFS(tblDaily[Remaining],tblDaily[EntryDate],DATE(2026,12,1),tblDaily[WardCode],"MAE")),"")</f>
        <v/>
      </c>
      <c r="I448" s="14" t="str">
        <f>IFERROR(IF(SUMIFS(tblDaily[Admissions],tblDaily[EntryDate],DATE(2026,12,1),tblDaily[WardCode],"FAE")=0,"",SUMIFS(tblDaily[Admissions],tblDaily[EntryDate],DATE(2026,12,1),tblDaily[WardCode],"FAE")),"")</f>
        <v/>
      </c>
      <c r="J448" s="14" t="str">
        <f>IFERROR(IF(SUMIFS(tblDaily[Discharges],tblDaily[EntryDate],DATE(2026,12,1),tblDaily[WardCode],"FAE")=0,"",SUMIFS(tblDaily[Discharges],tblDaily[EntryDate],DATE(2026,12,1),tblDaily[WardCode],"FAE")),"")</f>
        <v/>
      </c>
      <c r="K448" s="14" t="str">
        <f>IFERROR(IF(SUMIFS(tblDaily[Deaths],tblDaily[EntryDate],DATE(2026,12,1),tblDaily[WardCode],"FAE")=0,"",SUMIFS(tblDaily[Deaths],tblDaily[EntryDate],DATE(2026,12,1),tblDaily[WardCode],"FAE")),"")</f>
        <v/>
      </c>
      <c r="L448" s="14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14" t="str">
        <f>IFERROR(IF(SUMIFS(tblDaily[TransfersIn],tblDaily[EntryDate],DATE(2026,12,1),tblDaily[WardCode],"FAE")=0,"",SUMIFS(tblDaily[TransfersIn],tblDaily[EntryDate],DATE(2026,12,1),tblDaily[WardCode],"FAE")),"")</f>
        <v/>
      </c>
      <c r="N448" s="14" t="str">
        <f>IFERROR(IF(SUMIFS(tblDaily[TransfersOut],tblDaily[EntryDate],DATE(2026,12,1),tblDaily[WardCode],"FAE")=0,"",SUMIFS(tblDaily[TransfersOut],tblDaily[EntryDate],DATE(2026,12,1),tblDaily[WardCode],"FAE")),"")</f>
        <v/>
      </c>
      <c r="O448" s="14" t="str">
        <f>IFERROR(IF(SUMIFS(tblDaily[Remaining],tblDaily[EntryDate],DATE(2026,12,1),tblDaily[WardCode],"FAE")=0,"",SUMIFS(tblDaily[Remaining],tblDaily[EntryDate],DATE(2026,12,1),tblDaily[WardCode],"FAE")),"")</f>
        <v/>
      </c>
      <c r="P448" s="15" t="str">
        <f t="shared" ref="P448:P478" si="11">IF(AND(H448="", O448=""), "", N(H448) + N(O448))</f>
        <v/>
      </c>
    </row>
    <row r="449" spans="1:16" x14ac:dyDescent="0.25">
      <c r="A449" s="14">
        <v>2</v>
      </c>
      <c r="B449" s="14" t="str">
        <f>IFERROR(IF(SUMIFS(tblDaily[Admissions],tblDaily[EntryDate],DATE(2026,12,2),tblDaily[WardCode],"MAE")=0,"",SUMIFS(tblDaily[Admissions],tblDaily[EntryDate],DATE(2026,12,2),tblDaily[WardCode],"MAE")),"")</f>
        <v/>
      </c>
      <c r="C449" s="14" t="str">
        <f>IFERROR(IF(SUMIFS(tblDaily[Discharges],tblDaily[EntryDate],DATE(2026,12,2),tblDaily[WardCode],"MAE")=0,"",SUMIFS(tblDaily[Discharges],tblDaily[EntryDate],DATE(2026,12,2),tblDaily[WardCode],"MAE")),"")</f>
        <v/>
      </c>
      <c r="D449" s="14" t="str">
        <f>IFERROR(IF(SUMIFS(tblDaily[Deaths],tblDaily[EntryDate],DATE(2026,12,2),tblDaily[WardCode],"MAE")=0,"",SUMIFS(tblDaily[Deaths],tblDaily[EntryDate],DATE(2026,12,2),tblDaily[WardCode],"MAE")),"")</f>
        <v/>
      </c>
      <c r="E449" s="14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14" t="str">
        <f>IFERROR(IF(SUMIFS(tblDaily[TransfersIn],tblDaily[EntryDate],DATE(2026,12,2),tblDaily[WardCode],"MAE")=0,"",SUMIFS(tblDaily[TransfersIn],tblDaily[EntryDate],DATE(2026,12,2),tblDaily[WardCode],"MAE")),"")</f>
        <v/>
      </c>
      <c r="G449" s="14" t="str">
        <f>IFERROR(IF(SUMIFS(tblDaily[TransfersOut],tblDaily[EntryDate],DATE(2026,12,2),tblDaily[WardCode],"MAE")=0,"",SUMIFS(tblDaily[TransfersOut],tblDaily[EntryDate],DATE(2026,12,2),tblDaily[WardCode],"MAE")),"")</f>
        <v/>
      </c>
      <c r="H449" s="14" t="str">
        <f>IFERROR(IF(SUMIFS(tblDaily[Remaining],tblDaily[EntryDate],DATE(2026,12,2),tblDaily[WardCode],"MAE")=0,"",SUMIFS(tblDaily[Remaining],tblDaily[EntryDate],DATE(2026,12,2),tblDaily[WardCode],"MAE")),"")</f>
        <v/>
      </c>
      <c r="I449" s="14" t="str">
        <f>IFERROR(IF(SUMIFS(tblDaily[Admissions],tblDaily[EntryDate],DATE(2026,12,2),tblDaily[WardCode],"FAE")=0,"",SUMIFS(tblDaily[Admissions],tblDaily[EntryDate],DATE(2026,12,2),tblDaily[WardCode],"FAE")),"")</f>
        <v/>
      </c>
      <c r="J449" s="14" t="str">
        <f>IFERROR(IF(SUMIFS(tblDaily[Discharges],tblDaily[EntryDate],DATE(2026,12,2),tblDaily[WardCode],"FAE")=0,"",SUMIFS(tblDaily[Discharges],tblDaily[EntryDate],DATE(2026,12,2),tblDaily[WardCode],"FAE")),"")</f>
        <v/>
      </c>
      <c r="K449" s="14" t="str">
        <f>IFERROR(IF(SUMIFS(tblDaily[Deaths],tblDaily[EntryDate],DATE(2026,12,2),tblDaily[WardCode],"FAE")=0,"",SUMIFS(tblDaily[Deaths],tblDaily[EntryDate],DATE(2026,12,2),tblDaily[WardCode],"FAE")),"")</f>
        <v/>
      </c>
      <c r="L449" s="14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14" t="str">
        <f>IFERROR(IF(SUMIFS(tblDaily[TransfersIn],tblDaily[EntryDate],DATE(2026,12,2),tblDaily[WardCode],"FAE")=0,"",SUMIFS(tblDaily[TransfersIn],tblDaily[EntryDate],DATE(2026,12,2),tblDaily[WardCode],"FAE")),"")</f>
        <v/>
      </c>
      <c r="N449" s="14" t="str">
        <f>IFERROR(IF(SUMIFS(tblDaily[TransfersOut],tblDaily[EntryDate],DATE(2026,12,2),tblDaily[WardCode],"FAE")=0,"",SUMIFS(tblDaily[TransfersOut],tblDaily[EntryDate],DATE(2026,12,2),tblDaily[WardCode],"FAE")),"")</f>
        <v/>
      </c>
      <c r="O449" s="14" t="str">
        <f>IFERROR(IF(SUMIFS(tblDaily[Remaining],tblDaily[EntryDate],DATE(2026,12,2),tblDaily[WardCode],"FAE")=0,"",SUMIFS(tblDaily[Remaining],tblDaily[EntryDate],DATE(2026,12,2),tblDaily[WardCode],"FAE")),"")</f>
        <v/>
      </c>
      <c r="P449" s="15" t="str">
        <f t="shared" si="11"/>
        <v/>
      </c>
    </row>
    <row r="450" spans="1:16" x14ac:dyDescent="0.25">
      <c r="A450" s="14">
        <v>3</v>
      </c>
      <c r="B450" s="14" t="str">
        <f>IFERROR(IF(SUMIFS(tblDaily[Admissions],tblDaily[EntryDate],DATE(2026,12,3),tblDaily[WardCode],"MAE")=0,"",SUMIFS(tblDaily[Admissions],tblDaily[EntryDate],DATE(2026,12,3),tblDaily[WardCode],"MAE")),"")</f>
        <v/>
      </c>
      <c r="C450" s="14" t="str">
        <f>IFERROR(IF(SUMIFS(tblDaily[Discharges],tblDaily[EntryDate],DATE(2026,12,3),tblDaily[WardCode],"MAE")=0,"",SUMIFS(tblDaily[Discharges],tblDaily[EntryDate],DATE(2026,12,3),tblDaily[WardCode],"MAE")),"")</f>
        <v/>
      </c>
      <c r="D450" s="14" t="str">
        <f>IFERROR(IF(SUMIFS(tblDaily[Deaths],tblDaily[EntryDate],DATE(2026,12,3),tblDaily[WardCode],"MAE")=0,"",SUMIFS(tblDaily[Deaths],tblDaily[EntryDate],DATE(2026,12,3),tblDaily[WardCode],"MAE")),"")</f>
        <v/>
      </c>
      <c r="E450" s="14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14" t="str">
        <f>IFERROR(IF(SUMIFS(tblDaily[TransfersIn],tblDaily[EntryDate],DATE(2026,12,3),tblDaily[WardCode],"MAE")=0,"",SUMIFS(tblDaily[TransfersIn],tblDaily[EntryDate],DATE(2026,12,3),tblDaily[WardCode],"MAE")),"")</f>
        <v/>
      </c>
      <c r="G450" s="14" t="str">
        <f>IFERROR(IF(SUMIFS(tblDaily[TransfersOut],tblDaily[EntryDate],DATE(2026,12,3),tblDaily[WardCode],"MAE")=0,"",SUMIFS(tblDaily[TransfersOut],tblDaily[EntryDate],DATE(2026,12,3),tblDaily[WardCode],"MAE")),"")</f>
        <v/>
      </c>
      <c r="H450" s="14" t="str">
        <f>IFERROR(IF(SUMIFS(tblDaily[Remaining],tblDaily[EntryDate],DATE(2026,12,3),tblDaily[WardCode],"MAE")=0,"",SUMIFS(tblDaily[Remaining],tblDaily[EntryDate],DATE(2026,12,3),tblDaily[WardCode],"MAE")),"")</f>
        <v/>
      </c>
      <c r="I450" s="14" t="str">
        <f>IFERROR(IF(SUMIFS(tblDaily[Admissions],tblDaily[EntryDate],DATE(2026,12,3),tblDaily[WardCode],"FAE")=0,"",SUMIFS(tblDaily[Admissions],tblDaily[EntryDate],DATE(2026,12,3),tblDaily[WardCode],"FAE")),"")</f>
        <v/>
      </c>
      <c r="J450" s="14" t="str">
        <f>IFERROR(IF(SUMIFS(tblDaily[Discharges],tblDaily[EntryDate],DATE(2026,12,3),tblDaily[WardCode],"FAE")=0,"",SUMIFS(tblDaily[Discharges],tblDaily[EntryDate],DATE(2026,12,3),tblDaily[WardCode],"FAE")),"")</f>
        <v/>
      </c>
      <c r="K450" s="14" t="str">
        <f>IFERROR(IF(SUMIFS(tblDaily[Deaths],tblDaily[EntryDate],DATE(2026,12,3),tblDaily[WardCode],"FAE")=0,"",SUMIFS(tblDaily[Deaths],tblDaily[EntryDate],DATE(2026,12,3),tblDaily[WardCode],"FAE")),"")</f>
        <v/>
      </c>
      <c r="L450" s="14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14" t="str">
        <f>IFERROR(IF(SUMIFS(tblDaily[TransfersIn],tblDaily[EntryDate],DATE(2026,12,3),tblDaily[WardCode],"FAE")=0,"",SUMIFS(tblDaily[TransfersIn],tblDaily[EntryDate],DATE(2026,12,3),tblDaily[WardCode],"FAE")),"")</f>
        <v/>
      </c>
      <c r="N450" s="14" t="str">
        <f>IFERROR(IF(SUMIFS(tblDaily[TransfersOut],tblDaily[EntryDate],DATE(2026,12,3),tblDaily[WardCode],"FAE")=0,"",SUMIFS(tblDaily[TransfersOut],tblDaily[EntryDate],DATE(2026,12,3),tblDaily[WardCode],"FAE")),"")</f>
        <v/>
      </c>
      <c r="O450" s="14" t="str">
        <f>IFERROR(IF(SUMIFS(tblDaily[Remaining],tblDaily[EntryDate],DATE(2026,12,3),tblDaily[WardCode],"FAE")=0,"",SUMIFS(tblDaily[Remaining],tblDaily[EntryDate],DATE(2026,12,3),tblDaily[WardCode],"FAE")),"")</f>
        <v/>
      </c>
      <c r="P450" s="15" t="str">
        <f t="shared" si="11"/>
        <v/>
      </c>
    </row>
    <row r="451" spans="1:16" x14ac:dyDescent="0.25">
      <c r="A451" s="14">
        <v>4</v>
      </c>
      <c r="B451" s="14" t="str">
        <f>IFERROR(IF(SUMIFS(tblDaily[Admissions],tblDaily[EntryDate],DATE(2026,12,4),tblDaily[WardCode],"MAE")=0,"",SUMIFS(tblDaily[Admissions],tblDaily[EntryDate],DATE(2026,12,4),tblDaily[WardCode],"MAE")),"")</f>
        <v/>
      </c>
      <c r="C451" s="14" t="str">
        <f>IFERROR(IF(SUMIFS(tblDaily[Discharges],tblDaily[EntryDate],DATE(2026,12,4),tblDaily[WardCode],"MAE")=0,"",SUMIFS(tblDaily[Discharges],tblDaily[EntryDate],DATE(2026,12,4),tblDaily[WardCode],"MAE")),"")</f>
        <v/>
      </c>
      <c r="D451" s="14" t="str">
        <f>IFERROR(IF(SUMIFS(tblDaily[Deaths],tblDaily[EntryDate],DATE(2026,12,4),tblDaily[WardCode],"MAE")=0,"",SUMIFS(tblDaily[Deaths],tblDaily[EntryDate],DATE(2026,12,4),tblDaily[WardCode],"MAE")),"")</f>
        <v/>
      </c>
      <c r="E451" s="14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14" t="str">
        <f>IFERROR(IF(SUMIFS(tblDaily[TransfersIn],tblDaily[EntryDate],DATE(2026,12,4),tblDaily[WardCode],"MAE")=0,"",SUMIFS(tblDaily[TransfersIn],tblDaily[EntryDate],DATE(2026,12,4),tblDaily[WardCode],"MAE")),"")</f>
        <v/>
      </c>
      <c r="G451" s="14" t="str">
        <f>IFERROR(IF(SUMIFS(tblDaily[TransfersOut],tblDaily[EntryDate],DATE(2026,12,4),tblDaily[WardCode],"MAE")=0,"",SUMIFS(tblDaily[TransfersOut],tblDaily[EntryDate],DATE(2026,12,4),tblDaily[WardCode],"MAE")),"")</f>
        <v/>
      </c>
      <c r="H451" s="14" t="str">
        <f>IFERROR(IF(SUMIFS(tblDaily[Remaining],tblDaily[EntryDate],DATE(2026,12,4),tblDaily[WardCode],"MAE")=0,"",SUMIFS(tblDaily[Remaining],tblDaily[EntryDate],DATE(2026,12,4),tblDaily[WardCode],"MAE")),"")</f>
        <v/>
      </c>
      <c r="I451" s="14" t="str">
        <f>IFERROR(IF(SUMIFS(tblDaily[Admissions],tblDaily[EntryDate],DATE(2026,12,4),tblDaily[WardCode],"FAE")=0,"",SUMIFS(tblDaily[Admissions],tblDaily[EntryDate],DATE(2026,12,4),tblDaily[WardCode],"FAE")),"")</f>
        <v/>
      </c>
      <c r="J451" s="14" t="str">
        <f>IFERROR(IF(SUMIFS(tblDaily[Discharges],tblDaily[EntryDate],DATE(2026,12,4),tblDaily[WardCode],"FAE")=0,"",SUMIFS(tblDaily[Discharges],tblDaily[EntryDate],DATE(2026,12,4),tblDaily[WardCode],"FAE")),"")</f>
        <v/>
      </c>
      <c r="K451" s="14" t="str">
        <f>IFERROR(IF(SUMIFS(tblDaily[Deaths],tblDaily[EntryDate],DATE(2026,12,4),tblDaily[WardCode],"FAE")=0,"",SUMIFS(tblDaily[Deaths],tblDaily[EntryDate],DATE(2026,12,4),tblDaily[WardCode],"FAE")),"")</f>
        <v/>
      </c>
      <c r="L451" s="14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14" t="str">
        <f>IFERROR(IF(SUMIFS(tblDaily[TransfersIn],tblDaily[EntryDate],DATE(2026,12,4),tblDaily[WardCode],"FAE")=0,"",SUMIFS(tblDaily[TransfersIn],tblDaily[EntryDate],DATE(2026,12,4),tblDaily[WardCode],"FAE")),"")</f>
        <v/>
      </c>
      <c r="N451" s="14" t="str">
        <f>IFERROR(IF(SUMIFS(tblDaily[TransfersOut],tblDaily[EntryDate],DATE(2026,12,4),tblDaily[WardCode],"FAE")=0,"",SUMIFS(tblDaily[TransfersOut],tblDaily[EntryDate],DATE(2026,12,4),tblDaily[WardCode],"FAE")),"")</f>
        <v/>
      </c>
      <c r="O451" s="14" t="str">
        <f>IFERROR(IF(SUMIFS(tblDaily[Remaining],tblDaily[EntryDate],DATE(2026,12,4),tblDaily[WardCode],"FAE")=0,"",SUMIFS(tblDaily[Remaining],tblDaily[EntryDate],DATE(2026,12,4),tblDaily[WardCode],"FAE")),"")</f>
        <v/>
      </c>
      <c r="P451" s="15" t="str">
        <f t="shared" si="11"/>
        <v/>
      </c>
    </row>
    <row r="452" spans="1:16" x14ac:dyDescent="0.25">
      <c r="A452" s="14">
        <v>5</v>
      </c>
      <c r="B452" s="14" t="str">
        <f>IFERROR(IF(SUMIFS(tblDaily[Admissions],tblDaily[EntryDate],DATE(2026,12,5),tblDaily[WardCode],"MAE")=0,"",SUMIFS(tblDaily[Admissions],tblDaily[EntryDate],DATE(2026,12,5),tblDaily[WardCode],"MAE")),"")</f>
        <v/>
      </c>
      <c r="C452" s="14" t="str">
        <f>IFERROR(IF(SUMIFS(tblDaily[Discharges],tblDaily[EntryDate],DATE(2026,12,5),tblDaily[WardCode],"MAE")=0,"",SUMIFS(tblDaily[Discharges],tblDaily[EntryDate],DATE(2026,12,5),tblDaily[WardCode],"MAE")),"")</f>
        <v/>
      </c>
      <c r="D452" s="14" t="str">
        <f>IFERROR(IF(SUMIFS(tblDaily[Deaths],tblDaily[EntryDate],DATE(2026,12,5),tblDaily[WardCode],"MAE")=0,"",SUMIFS(tblDaily[Deaths],tblDaily[EntryDate],DATE(2026,12,5),tblDaily[WardCode],"MAE")),"")</f>
        <v/>
      </c>
      <c r="E452" s="14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14" t="str">
        <f>IFERROR(IF(SUMIFS(tblDaily[TransfersIn],tblDaily[EntryDate],DATE(2026,12,5),tblDaily[WardCode],"MAE")=0,"",SUMIFS(tblDaily[TransfersIn],tblDaily[EntryDate],DATE(2026,12,5),tblDaily[WardCode],"MAE")),"")</f>
        <v/>
      </c>
      <c r="G452" s="14" t="str">
        <f>IFERROR(IF(SUMIFS(tblDaily[TransfersOut],tblDaily[EntryDate],DATE(2026,12,5),tblDaily[WardCode],"MAE")=0,"",SUMIFS(tblDaily[TransfersOut],tblDaily[EntryDate],DATE(2026,12,5),tblDaily[WardCode],"MAE")),"")</f>
        <v/>
      </c>
      <c r="H452" s="14" t="str">
        <f>IFERROR(IF(SUMIFS(tblDaily[Remaining],tblDaily[EntryDate],DATE(2026,12,5),tblDaily[WardCode],"MAE")=0,"",SUMIFS(tblDaily[Remaining],tblDaily[EntryDate],DATE(2026,12,5),tblDaily[WardCode],"MAE")),"")</f>
        <v/>
      </c>
      <c r="I452" s="14" t="str">
        <f>IFERROR(IF(SUMIFS(tblDaily[Admissions],tblDaily[EntryDate],DATE(2026,12,5),tblDaily[WardCode],"FAE")=0,"",SUMIFS(tblDaily[Admissions],tblDaily[EntryDate],DATE(2026,12,5),tblDaily[WardCode],"FAE")),"")</f>
        <v/>
      </c>
      <c r="J452" s="14" t="str">
        <f>IFERROR(IF(SUMIFS(tblDaily[Discharges],tblDaily[EntryDate],DATE(2026,12,5),tblDaily[WardCode],"FAE")=0,"",SUMIFS(tblDaily[Discharges],tblDaily[EntryDate],DATE(2026,12,5),tblDaily[WardCode],"FAE")),"")</f>
        <v/>
      </c>
      <c r="K452" s="14" t="str">
        <f>IFERROR(IF(SUMIFS(tblDaily[Deaths],tblDaily[EntryDate],DATE(2026,12,5),tblDaily[WardCode],"FAE")=0,"",SUMIFS(tblDaily[Deaths],tblDaily[EntryDate],DATE(2026,12,5),tblDaily[WardCode],"FAE")),"")</f>
        <v/>
      </c>
      <c r="L452" s="14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14" t="str">
        <f>IFERROR(IF(SUMIFS(tblDaily[TransfersIn],tblDaily[EntryDate],DATE(2026,12,5),tblDaily[WardCode],"FAE")=0,"",SUMIFS(tblDaily[TransfersIn],tblDaily[EntryDate],DATE(2026,12,5),tblDaily[WardCode],"FAE")),"")</f>
        <v/>
      </c>
      <c r="N452" s="14" t="str">
        <f>IFERROR(IF(SUMIFS(tblDaily[TransfersOut],tblDaily[EntryDate],DATE(2026,12,5),tblDaily[WardCode],"FAE")=0,"",SUMIFS(tblDaily[TransfersOut],tblDaily[EntryDate],DATE(2026,12,5),tblDaily[WardCode],"FAE")),"")</f>
        <v/>
      </c>
      <c r="O452" s="14" t="str">
        <f>IFERROR(IF(SUMIFS(tblDaily[Remaining],tblDaily[EntryDate],DATE(2026,12,5),tblDaily[WardCode],"FAE")=0,"",SUMIFS(tblDaily[Remaining],tblDaily[EntryDate],DATE(2026,12,5),tblDaily[WardCode],"FAE")),"")</f>
        <v/>
      </c>
      <c r="P452" s="15" t="str">
        <f t="shared" si="11"/>
        <v/>
      </c>
    </row>
    <row r="453" spans="1:16" x14ac:dyDescent="0.25">
      <c r="A453" s="14">
        <v>6</v>
      </c>
      <c r="B453" s="14" t="str">
        <f>IFERROR(IF(SUMIFS(tblDaily[Admissions],tblDaily[EntryDate],DATE(2026,12,6),tblDaily[WardCode],"MAE")=0,"",SUMIFS(tblDaily[Admissions],tblDaily[EntryDate],DATE(2026,12,6),tblDaily[WardCode],"MAE")),"")</f>
        <v/>
      </c>
      <c r="C453" s="14" t="str">
        <f>IFERROR(IF(SUMIFS(tblDaily[Discharges],tblDaily[EntryDate],DATE(2026,12,6),tblDaily[WardCode],"MAE")=0,"",SUMIFS(tblDaily[Discharges],tblDaily[EntryDate],DATE(2026,12,6),tblDaily[WardCode],"MAE")),"")</f>
        <v/>
      </c>
      <c r="D453" s="14" t="str">
        <f>IFERROR(IF(SUMIFS(tblDaily[Deaths],tblDaily[EntryDate],DATE(2026,12,6),tblDaily[WardCode],"MAE")=0,"",SUMIFS(tblDaily[Deaths],tblDaily[EntryDate],DATE(2026,12,6),tblDaily[WardCode],"MAE")),"")</f>
        <v/>
      </c>
      <c r="E453" s="14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14" t="str">
        <f>IFERROR(IF(SUMIFS(tblDaily[TransfersIn],tblDaily[EntryDate],DATE(2026,12,6),tblDaily[WardCode],"MAE")=0,"",SUMIFS(tblDaily[TransfersIn],tblDaily[EntryDate],DATE(2026,12,6),tblDaily[WardCode],"MAE")),"")</f>
        <v/>
      </c>
      <c r="G453" s="14" t="str">
        <f>IFERROR(IF(SUMIFS(tblDaily[TransfersOut],tblDaily[EntryDate],DATE(2026,12,6),tblDaily[WardCode],"MAE")=0,"",SUMIFS(tblDaily[TransfersOut],tblDaily[EntryDate],DATE(2026,12,6),tblDaily[WardCode],"MAE")),"")</f>
        <v/>
      </c>
      <c r="H453" s="14" t="str">
        <f>IFERROR(IF(SUMIFS(tblDaily[Remaining],tblDaily[EntryDate],DATE(2026,12,6),tblDaily[WardCode],"MAE")=0,"",SUMIFS(tblDaily[Remaining],tblDaily[EntryDate],DATE(2026,12,6),tblDaily[WardCode],"MAE")),"")</f>
        <v/>
      </c>
      <c r="I453" s="14" t="str">
        <f>IFERROR(IF(SUMIFS(tblDaily[Admissions],tblDaily[EntryDate],DATE(2026,12,6),tblDaily[WardCode],"FAE")=0,"",SUMIFS(tblDaily[Admissions],tblDaily[EntryDate],DATE(2026,12,6),tblDaily[WardCode],"FAE")),"")</f>
        <v/>
      </c>
      <c r="J453" s="14" t="str">
        <f>IFERROR(IF(SUMIFS(tblDaily[Discharges],tblDaily[EntryDate],DATE(2026,12,6),tblDaily[WardCode],"FAE")=0,"",SUMIFS(tblDaily[Discharges],tblDaily[EntryDate],DATE(2026,12,6),tblDaily[WardCode],"FAE")),"")</f>
        <v/>
      </c>
      <c r="K453" s="14" t="str">
        <f>IFERROR(IF(SUMIFS(tblDaily[Deaths],tblDaily[EntryDate],DATE(2026,12,6),tblDaily[WardCode],"FAE")=0,"",SUMIFS(tblDaily[Deaths],tblDaily[EntryDate],DATE(2026,12,6),tblDaily[WardCode],"FAE")),"")</f>
        <v/>
      </c>
      <c r="L453" s="14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14" t="str">
        <f>IFERROR(IF(SUMIFS(tblDaily[TransfersIn],tblDaily[EntryDate],DATE(2026,12,6),tblDaily[WardCode],"FAE")=0,"",SUMIFS(tblDaily[TransfersIn],tblDaily[EntryDate],DATE(2026,12,6),tblDaily[WardCode],"FAE")),"")</f>
        <v/>
      </c>
      <c r="N453" s="14" t="str">
        <f>IFERROR(IF(SUMIFS(tblDaily[TransfersOut],tblDaily[EntryDate],DATE(2026,12,6),tblDaily[WardCode],"FAE")=0,"",SUMIFS(tblDaily[TransfersOut],tblDaily[EntryDate],DATE(2026,12,6),tblDaily[WardCode],"FAE")),"")</f>
        <v/>
      </c>
      <c r="O453" s="14" t="str">
        <f>IFERROR(IF(SUMIFS(tblDaily[Remaining],tblDaily[EntryDate],DATE(2026,12,6),tblDaily[WardCode],"FAE")=0,"",SUMIFS(tblDaily[Remaining],tblDaily[EntryDate],DATE(2026,12,6),tblDaily[WardCode],"FAE")),"")</f>
        <v/>
      </c>
      <c r="P453" s="15" t="str">
        <f t="shared" si="11"/>
        <v/>
      </c>
    </row>
    <row r="454" spans="1:16" x14ac:dyDescent="0.25">
      <c r="A454" s="14">
        <v>7</v>
      </c>
      <c r="B454" s="14" t="str">
        <f>IFERROR(IF(SUMIFS(tblDaily[Admissions],tblDaily[EntryDate],DATE(2026,12,7),tblDaily[WardCode],"MAE")=0,"",SUMIFS(tblDaily[Admissions],tblDaily[EntryDate],DATE(2026,12,7),tblDaily[WardCode],"MAE")),"")</f>
        <v/>
      </c>
      <c r="C454" s="14" t="str">
        <f>IFERROR(IF(SUMIFS(tblDaily[Discharges],tblDaily[EntryDate],DATE(2026,12,7),tblDaily[WardCode],"MAE")=0,"",SUMIFS(tblDaily[Discharges],tblDaily[EntryDate],DATE(2026,12,7),tblDaily[WardCode],"MAE")),"")</f>
        <v/>
      </c>
      <c r="D454" s="14" t="str">
        <f>IFERROR(IF(SUMIFS(tblDaily[Deaths],tblDaily[EntryDate],DATE(2026,12,7),tblDaily[WardCode],"MAE")=0,"",SUMIFS(tblDaily[Deaths],tblDaily[EntryDate],DATE(2026,12,7),tblDaily[WardCode],"MAE")),"")</f>
        <v/>
      </c>
      <c r="E454" s="14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14" t="str">
        <f>IFERROR(IF(SUMIFS(tblDaily[TransfersIn],tblDaily[EntryDate],DATE(2026,12,7),tblDaily[WardCode],"MAE")=0,"",SUMIFS(tblDaily[TransfersIn],tblDaily[EntryDate],DATE(2026,12,7),tblDaily[WardCode],"MAE")),"")</f>
        <v/>
      </c>
      <c r="G454" s="14" t="str">
        <f>IFERROR(IF(SUMIFS(tblDaily[TransfersOut],tblDaily[EntryDate],DATE(2026,12,7),tblDaily[WardCode],"MAE")=0,"",SUMIFS(tblDaily[TransfersOut],tblDaily[EntryDate],DATE(2026,12,7),tblDaily[WardCode],"MAE")),"")</f>
        <v/>
      </c>
      <c r="H454" s="14" t="str">
        <f>IFERROR(IF(SUMIFS(tblDaily[Remaining],tblDaily[EntryDate],DATE(2026,12,7),tblDaily[WardCode],"MAE")=0,"",SUMIFS(tblDaily[Remaining],tblDaily[EntryDate],DATE(2026,12,7),tblDaily[WardCode],"MAE")),"")</f>
        <v/>
      </c>
      <c r="I454" s="14" t="str">
        <f>IFERROR(IF(SUMIFS(tblDaily[Admissions],tblDaily[EntryDate],DATE(2026,12,7),tblDaily[WardCode],"FAE")=0,"",SUMIFS(tblDaily[Admissions],tblDaily[EntryDate],DATE(2026,12,7),tblDaily[WardCode],"FAE")),"")</f>
        <v/>
      </c>
      <c r="J454" s="14" t="str">
        <f>IFERROR(IF(SUMIFS(tblDaily[Discharges],tblDaily[EntryDate],DATE(2026,12,7),tblDaily[WardCode],"FAE")=0,"",SUMIFS(tblDaily[Discharges],tblDaily[EntryDate],DATE(2026,12,7),tblDaily[WardCode],"FAE")),"")</f>
        <v/>
      </c>
      <c r="K454" s="14" t="str">
        <f>IFERROR(IF(SUMIFS(tblDaily[Deaths],tblDaily[EntryDate],DATE(2026,12,7),tblDaily[WardCode],"FAE")=0,"",SUMIFS(tblDaily[Deaths],tblDaily[EntryDate],DATE(2026,12,7),tblDaily[WardCode],"FAE")),"")</f>
        <v/>
      </c>
      <c r="L454" s="14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14" t="str">
        <f>IFERROR(IF(SUMIFS(tblDaily[TransfersIn],tblDaily[EntryDate],DATE(2026,12,7),tblDaily[WardCode],"FAE")=0,"",SUMIFS(tblDaily[TransfersIn],tblDaily[EntryDate],DATE(2026,12,7),tblDaily[WardCode],"FAE")),"")</f>
        <v/>
      </c>
      <c r="N454" s="14" t="str">
        <f>IFERROR(IF(SUMIFS(tblDaily[TransfersOut],tblDaily[EntryDate],DATE(2026,12,7),tblDaily[WardCode],"FAE")=0,"",SUMIFS(tblDaily[TransfersOut],tblDaily[EntryDate],DATE(2026,12,7),tblDaily[WardCode],"FAE")),"")</f>
        <v/>
      </c>
      <c r="O454" s="14" t="str">
        <f>IFERROR(IF(SUMIFS(tblDaily[Remaining],tblDaily[EntryDate],DATE(2026,12,7),tblDaily[WardCode],"FAE")=0,"",SUMIFS(tblDaily[Remaining],tblDaily[EntryDate],DATE(2026,12,7),tblDaily[WardCode],"FAE")),"")</f>
        <v/>
      </c>
      <c r="P454" s="15" t="str">
        <f t="shared" si="11"/>
        <v/>
      </c>
    </row>
    <row r="455" spans="1:16" x14ac:dyDescent="0.25">
      <c r="A455" s="14">
        <v>8</v>
      </c>
      <c r="B455" s="14" t="str">
        <f>IFERROR(IF(SUMIFS(tblDaily[Admissions],tblDaily[EntryDate],DATE(2026,12,8),tblDaily[WardCode],"MAE")=0,"",SUMIFS(tblDaily[Admissions],tblDaily[EntryDate],DATE(2026,12,8),tblDaily[WardCode],"MAE")),"")</f>
        <v/>
      </c>
      <c r="C455" s="14" t="str">
        <f>IFERROR(IF(SUMIFS(tblDaily[Discharges],tblDaily[EntryDate],DATE(2026,12,8),tblDaily[WardCode],"MAE")=0,"",SUMIFS(tblDaily[Discharges],tblDaily[EntryDate],DATE(2026,12,8),tblDaily[WardCode],"MAE")),"")</f>
        <v/>
      </c>
      <c r="D455" s="14" t="str">
        <f>IFERROR(IF(SUMIFS(tblDaily[Deaths],tblDaily[EntryDate],DATE(2026,12,8),tblDaily[WardCode],"MAE")=0,"",SUMIFS(tblDaily[Deaths],tblDaily[EntryDate],DATE(2026,12,8),tblDaily[WardCode],"MAE")),"")</f>
        <v/>
      </c>
      <c r="E455" s="14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14" t="str">
        <f>IFERROR(IF(SUMIFS(tblDaily[TransfersIn],tblDaily[EntryDate],DATE(2026,12,8),tblDaily[WardCode],"MAE")=0,"",SUMIFS(tblDaily[TransfersIn],tblDaily[EntryDate],DATE(2026,12,8),tblDaily[WardCode],"MAE")),"")</f>
        <v/>
      </c>
      <c r="G455" s="14" t="str">
        <f>IFERROR(IF(SUMIFS(tblDaily[TransfersOut],tblDaily[EntryDate],DATE(2026,12,8),tblDaily[WardCode],"MAE")=0,"",SUMIFS(tblDaily[TransfersOut],tblDaily[EntryDate],DATE(2026,12,8),tblDaily[WardCode],"MAE")),"")</f>
        <v/>
      </c>
      <c r="H455" s="14" t="str">
        <f>IFERROR(IF(SUMIFS(tblDaily[Remaining],tblDaily[EntryDate],DATE(2026,12,8),tblDaily[WardCode],"MAE")=0,"",SUMIFS(tblDaily[Remaining],tblDaily[EntryDate],DATE(2026,12,8),tblDaily[WardCode],"MAE")),"")</f>
        <v/>
      </c>
      <c r="I455" s="14" t="str">
        <f>IFERROR(IF(SUMIFS(tblDaily[Admissions],tblDaily[EntryDate],DATE(2026,12,8),tblDaily[WardCode],"FAE")=0,"",SUMIFS(tblDaily[Admissions],tblDaily[EntryDate],DATE(2026,12,8),tblDaily[WardCode],"FAE")),"")</f>
        <v/>
      </c>
      <c r="J455" s="14" t="str">
        <f>IFERROR(IF(SUMIFS(tblDaily[Discharges],tblDaily[EntryDate],DATE(2026,12,8),tblDaily[WardCode],"FAE")=0,"",SUMIFS(tblDaily[Discharges],tblDaily[EntryDate],DATE(2026,12,8),tblDaily[WardCode],"FAE")),"")</f>
        <v/>
      </c>
      <c r="K455" s="14" t="str">
        <f>IFERROR(IF(SUMIFS(tblDaily[Deaths],tblDaily[EntryDate],DATE(2026,12,8),tblDaily[WardCode],"FAE")=0,"",SUMIFS(tblDaily[Deaths],tblDaily[EntryDate],DATE(2026,12,8),tblDaily[WardCode],"FAE")),"")</f>
        <v/>
      </c>
      <c r="L455" s="14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14" t="str">
        <f>IFERROR(IF(SUMIFS(tblDaily[TransfersIn],tblDaily[EntryDate],DATE(2026,12,8),tblDaily[WardCode],"FAE")=0,"",SUMIFS(tblDaily[TransfersIn],tblDaily[EntryDate],DATE(2026,12,8),tblDaily[WardCode],"FAE")),"")</f>
        <v/>
      </c>
      <c r="N455" s="14" t="str">
        <f>IFERROR(IF(SUMIFS(tblDaily[TransfersOut],tblDaily[EntryDate],DATE(2026,12,8),tblDaily[WardCode],"FAE")=0,"",SUMIFS(tblDaily[TransfersOut],tblDaily[EntryDate],DATE(2026,12,8),tblDaily[WardCode],"FAE")),"")</f>
        <v/>
      </c>
      <c r="O455" s="14" t="str">
        <f>IFERROR(IF(SUMIFS(tblDaily[Remaining],tblDaily[EntryDate],DATE(2026,12,8),tblDaily[WardCode],"FAE")=0,"",SUMIFS(tblDaily[Remaining],tblDaily[EntryDate],DATE(2026,12,8),tblDaily[WardCode],"FAE")),"")</f>
        <v/>
      </c>
      <c r="P455" s="15" t="str">
        <f t="shared" si="11"/>
        <v/>
      </c>
    </row>
    <row r="456" spans="1:16" x14ac:dyDescent="0.25">
      <c r="A456" s="14">
        <v>9</v>
      </c>
      <c r="B456" s="14" t="str">
        <f>IFERROR(IF(SUMIFS(tblDaily[Admissions],tblDaily[EntryDate],DATE(2026,12,9),tblDaily[WardCode],"MAE")=0,"",SUMIFS(tblDaily[Admissions],tblDaily[EntryDate],DATE(2026,12,9),tblDaily[WardCode],"MAE")),"")</f>
        <v/>
      </c>
      <c r="C456" s="14" t="str">
        <f>IFERROR(IF(SUMIFS(tblDaily[Discharges],tblDaily[EntryDate],DATE(2026,12,9),tblDaily[WardCode],"MAE")=0,"",SUMIFS(tblDaily[Discharges],tblDaily[EntryDate],DATE(2026,12,9),tblDaily[WardCode],"MAE")),"")</f>
        <v/>
      </c>
      <c r="D456" s="14" t="str">
        <f>IFERROR(IF(SUMIFS(tblDaily[Deaths],tblDaily[EntryDate],DATE(2026,12,9),tblDaily[WardCode],"MAE")=0,"",SUMIFS(tblDaily[Deaths],tblDaily[EntryDate],DATE(2026,12,9),tblDaily[WardCode],"MAE")),"")</f>
        <v/>
      </c>
      <c r="E456" s="14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14" t="str">
        <f>IFERROR(IF(SUMIFS(tblDaily[TransfersIn],tblDaily[EntryDate],DATE(2026,12,9),tblDaily[WardCode],"MAE")=0,"",SUMIFS(tblDaily[TransfersIn],tblDaily[EntryDate],DATE(2026,12,9),tblDaily[WardCode],"MAE")),"")</f>
        <v/>
      </c>
      <c r="G456" s="14" t="str">
        <f>IFERROR(IF(SUMIFS(tblDaily[TransfersOut],tblDaily[EntryDate],DATE(2026,12,9),tblDaily[WardCode],"MAE")=0,"",SUMIFS(tblDaily[TransfersOut],tblDaily[EntryDate],DATE(2026,12,9),tblDaily[WardCode],"MAE")),"")</f>
        <v/>
      </c>
      <c r="H456" s="14" t="str">
        <f>IFERROR(IF(SUMIFS(tblDaily[Remaining],tblDaily[EntryDate],DATE(2026,12,9),tblDaily[WardCode],"MAE")=0,"",SUMIFS(tblDaily[Remaining],tblDaily[EntryDate],DATE(2026,12,9),tblDaily[WardCode],"MAE")),"")</f>
        <v/>
      </c>
      <c r="I456" s="14" t="str">
        <f>IFERROR(IF(SUMIFS(tblDaily[Admissions],tblDaily[EntryDate],DATE(2026,12,9),tblDaily[WardCode],"FAE")=0,"",SUMIFS(tblDaily[Admissions],tblDaily[EntryDate],DATE(2026,12,9),tblDaily[WardCode],"FAE")),"")</f>
        <v/>
      </c>
      <c r="J456" s="14" t="str">
        <f>IFERROR(IF(SUMIFS(tblDaily[Discharges],tblDaily[EntryDate],DATE(2026,12,9),tblDaily[WardCode],"FAE")=0,"",SUMIFS(tblDaily[Discharges],tblDaily[EntryDate],DATE(2026,12,9),tblDaily[WardCode],"FAE")),"")</f>
        <v/>
      </c>
      <c r="K456" s="14" t="str">
        <f>IFERROR(IF(SUMIFS(tblDaily[Deaths],tblDaily[EntryDate],DATE(2026,12,9),tblDaily[WardCode],"FAE")=0,"",SUMIFS(tblDaily[Deaths],tblDaily[EntryDate],DATE(2026,12,9),tblDaily[WardCode],"FAE")),"")</f>
        <v/>
      </c>
      <c r="L456" s="14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14" t="str">
        <f>IFERROR(IF(SUMIFS(tblDaily[TransfersIn],tblDaily[EntryDate],DATE(2026,12,9),tblDaily[WardCode],"FAE")=0,"",SUMIFS(tblDaily[TransfersIn],tblDaily[EntryDate],DATE(2026,12,9),tblDaily[WardCode],"FAE")),"")</f>
        <v/>
      </c>
      <c r="N456" s="14" t="str">
        <f>IFERROR(IF(SUMIFS(tblDaily[TransfersOut],tblDaily[EntryDate],DATE(2026,12,9),tblDaily[WardCode],"FAE")=0,"",SUMIFS(tblDaily[TransfersOut],tblDaily[EntryDate],DATE(2026,12,9),tblDaily[WardCode],"FAE")),"")</f>
        <v/>
      </c>
      <c r="O456" s="14" t="str">
        <f>IFERROR(IF(SUMIFS(tblDaily[Remaining],tblDaily[EntryDate],DATE(2026,12,9),tblDaily[WardCode],"FAE")=0,"",SUMIFS(tblDaily[Remaining],tblDaily[EntryDate],DATE(2026,12,9),tblDaily[WardCode],"FAE")),"")</f>
        <v/>
      </c>
      <c r="P456" s="15" t="str">
        <f t="shared" si="11"/>
        <v/>
      </c>
    </row>
    <row r="457" spans="1:16" x14ac:dyDescent="0.25">
      <c r="A457" s="14">
        <v>10</v>
      </c>
      <c r="B457" s="14" t="str">
        <f>IFERROR(IF(SUMIFS(tblDaily[Admissions],tblDaily[EntryDate],DATE(2026,12,10),tblDaily[WardCode],"MAE")=0,"",SUMIFS(tblDaily[Admissions],tblDaily[EntryDate],DATE(2026,12,10),tblDaily[WardCode],"MAE")),"")</f>
        <v/>
      </c>
      <c r="C457" s="14" t="str">
        <f>IFERROR(IF(SUMIFS(tblDaily[Discharges],tblDaily[EntryDate],DATE(2026,12,10),tblDaily[WardCode],"MAE")=0,"",SUMIFS(tblDaily[Discharges],tblDaily[EntryDate],DATE(2026,12,10),tblDaily[WardCode],"MAE")),"")</f>
        <v/>
      </c>
      <c r="D457" s="14" t="str">
        <f>IFERROR(IF(SUMIFS(tblDaily[Deaths],tblDaily[EntryDate],DATE(2026,12,10),tblDaily[WardCode],"MAE")=0,"",SUMIFS(tblDaily[Deaths],tblDaily[EntryDate],DATE(2026,12,10),tblDaily[WardCode],"MAE")),"")</f>
        <v/>
      </c>
      <c r="E457" s="1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14" t="str">
        <f>IFERROR(IF(SUMIFS(tblDaily[TransfersIn],tblDaily[EntryDate],DATE(2026,12,10),tblDaily[WardCode],"MAE")=0,"",SUMIFS(tblDaily[TransfersIn],tblDaily[EntryDate],DATE(2026,12,10),tblDaily[WardCode],"MAE")),"")</f>
        <v/>
      </c>
      <c r="G457" s="14" t="str">
        <f>IFERROR(IF(SUMIFS(tblDaily[TransfersOut],tblDaily[EntryDate],DATE(2026,12,10),tblDaily[WardCode],"MAE")=0,"",SUMIFS(tblDaily[TransfersOut],tblDaily[EntryDate],DATE(2026,12,10),tblDaily[WardCode],"MAE")),"")</f>
        <v/>
      </c>
      <c r="H457" s="14" t="str">
        <f>IFERROR(IF(SUMIFS(tblDaily[Remaining],tblDaily[EntryDate],DATE(2026,12,10),tblDaily[WardCode],"MAE")=0,"",SUMIFS(tblDaily[Remaining],tblDaily[EntryDate],DATE(2026,12,10),tblDaily[WardCode],"MAE")),"")</f>
        <v/>
      </c>
      <c r="I457" s="14" t="str">
        <f>IFERROR(IF(SUMIFS(tblDaily[Admissions],tblDaily[EntryDate],DATE(2026,12,10),tblDaily[WardCode],"FAE")=0,"",SUMIFS(tblDaily[Admissions],tblDaily[EntryDate],DATE(2026,12,10),tblDaily[WardCode],"FAE")),"")</f>
        <v/>
      </c>
      <c r="J457" s="14" t="str">
        <f>IFERROR(IF(SUMIFS(tblDaily[Discharges],tblDaily[EntryDate],DATE(2026,12,10),tblDaily[WardCode],"FAE")=0,"",SUMIFS(tblDaily[Discharges],tblDaily[EntryDate],DATE(2026,12,10),tblDaily[WardCode],"FAE")),"")</f>
        <v/>
      </c>
      <c r="K457" s="14" t="str">
        <f>IFERROR(IF(SUMIFS(tblDaily[Deaths],tblDaily[EntryDate],DATE(2026,12,10),tblDaily[WardCode],"FAE")=0,"",SUMIFS(tblDaily[Deaths],tblDaily[EntryDate],DATE(2026,12,10),tblDaily[WardCode],"FAE")),"")</f>
        <v/>
      </c>
      <c r="L457" s="14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14" t="str">
        <f>IFERROR(IF(SUMIFS(tblDaily[TransfersIn],tblDaily[EntryDate],DATE(2026,12,10),tblDaily[WardCode],"FAE")=0,"",SUMIFS(tblDaily[TransfersIn],tblDaily[EntryDate],DATE(2026,12,10),tblDaily[WardCode],"FAE")),"")</f>
        <v/>
      </c>
      <c r="N457" s="14" t="str">
        <f>IFERROR(IF(SUMIFS(tblDaily[TransfersOut],tblDaily[EntryDate],DATE(2026,12,10),tblDaily[WardCode],"FAE")=0,"",SUMIFS(tblDaily[TransfersOut],tblDaily[EntryDate],DATE(2026,12,10),tblDaily[WardCode],"FAE")),"")</f>
        <v/>
      </c>
      <c r="O457" s="14" t="str">
        <f>IFERROR(IF(SUMIFS(tblDaily[Remaining],tblDaily[EntryDate],DATE(2026,12,10),tblDaily[WardCode],"FAE")=0,"",SUMIFS(tblDaily[Remaining],tblDaily[EntryDate],DATE(2026,12,10),tblDaily[WardCode],"FAE")),"")</f>
        <v/>
      </c>
      <c r="P457" s="15" t="str">
        <f t="shared" si="11"/>
        <v/>
      </c>
    </row>
    <row r="458" spans="1:16" x14ac:dyDescent="0.25">
      <c r="A458" s="14">
        <v>11</v>
      </c>
      <c r="B458" s="14" t="str">
        <f>IFERROR(IF(SUMIFS(tblDaily[Admissions],tblDaily[EntryDate],DATE(2026,12,11),tblDaily[WardCode],"MAE")=0,"",SUMIFS(tblDaily[Admissions],tblDaily[EntryDate],DATE(2026,12,11),tblDaily[WardCode],"MAE")),"")</f>
        <v/>
      </c>
      <c r="C458" s="14" t="str">
        <f>IFERROR(IF(SUMIFS(tblDaily[Discharges],tblDaily[EntryDate],DATE(2026,12,11),tblDaily[WardCode],"MAE")=0,"",SUMIFS(tblDaily[Discharges],tblDaily[EntryDate],DATE(2026,12,11),tblDaily[WardCode],"MAE")),"")</f>
        <v/>
      </c>
      <c r="D458" s="14" t="str">
        <f>IFERROR(IF(SUMIFS(tblDaily[Deaths],tblDaily[EntryDate],DATE(2026,12,11),tblDaily[WardCode],"MAE")=0,"",SUMIFS(tblDaily[Deaths],tblDaily[EntryDate],DATE(2026,12,11),tblDaily[WardCode],"MAE")),"")</f>
        <v/>
      </c>
      <c r="E458" s="1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14" t="str">
        <f>IFERROR(IF(SUMIFS(tblDaily[TransfersIn],tblDaily[EntryDate],DATE(2026,12,11),tblDaily[WardCode],"MAE")=0,"",SUMIFS(tblDaily[TransfersIn],tblDaily[EntryDate],DATE(2026,12,11),tblDaily[WardCode],"MAE")),"")</f>
        <v/>
      </c>
      <c r="G458" s="14" t="str">
        <f>IFERROR(IF(SUMIFS(tblDaily[TransfersOut],tblDaily[EntryDate],DATE(2026,12,11),tblDaily[WardCode],"MAE")=0,"",SUMIFS(tblDaily[TransfersOut],tblDaily[EntryDate],DATE(2026,12,11),tblDaily[WardCode],"MAE")),"")</f>
        <v/>
      </c>
      <c r="H458" s="14" t="str">
        <f>IFERROR(IF(SUMIFS(tblDaily[Remaining],tblDaily[EntryDate],DATE(2026,12,11),tblDaily[WardCode],"MAE")=0,"",SUMIFS(tblDaily[Remaining],tblDaily[EntryDate],DATE(2026,12,11),tblDaily[WardCode],"MAE")),"")</f>
        <v/>
      </c>
      <c r="I458" s="14" t="str">
        <f>IFERROR(IF(SUMIFS(tblDaily[Admissions],tblDaily[EntryDate],DATE(2026,12,11),tblDaily[WardCode],"FAE")=0,"",SUMIFS(tblDaily[Admissions],tblDaily[EntryDate],DATE(2026,12,11),tblDaily[WardCode],"FAE")),"")</f>
        <v/>
      </c>
      <c r="J458" s="14" t="str">
        <f>IFERROR(IF(SUMIFS(tblDaily[Discharges],tblDaily[EntryDate],DATE(2026,12,11),tblDaily[WardCode],"FAE")=0,"",SUMIFS(tblDaily[Discharges],tblDaily[EntryDate],DATE(2026,12,11),tblDaily[WardCode],"FAE")),"")</f>
        <v/>
      </c>
      <c r="K458" s="14" t="str">
        <f>IFERROR(IF(SUMIFS(tblDaily[Deaths],tblDaily[EntryDate],DATE(2026,12,11),tblDaily[WardCode],"FAE")=0,"",SUMIFS(tblDaily[Deaths],tblDaily[EntryDate],DATE(2026,12,11),tblDaily[WardCode],"FAE")),"")</f>
        <v/>
      </c>
      <c r="L458" s="14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14" t="str">
        <f>IFERROR(IF(SUMIFS(tblDaily[TransfersIn],tblDaily[EntryDate],DATE(2026,12,11),tblDaily[WardCode],"FAE")=0,"",SUMIFS(tblDaily[TransfersIn],tblDaily[EntryDate],DATE(2026,12,11),tblDaily[WardCode],"FAE")),"")</f>
        <v/>
      </c>
      <c r="N458" s="14" t="str">
        <f>IFERROR(IF(SUMIFS(tblDaily[TransfersOut],tblDaily[EntryDate],DATE(2026,12,11),tblDaily[WardCode],"FAE")=0,"",SUMIFS(tblDaily[TransfersOut],tblDaily[EntryDate],DATE(2026,12,11),tblDaily[WardCode],"FAE")),"")</f>
        <v/>
      </c>
      <c r="O458" s="14" t="str">
        <f>IFERROR(IF(SUMIFS(tblDaily[Remaining],tblDaily[EntryDate],DATE(2026,12,11),tblDaily[WardCode],"FAE")=0,"",SUMIFS(tblDaily[Remaining],tblDaily[EntryDate],DATE(2026,12,11),tblDaily[WardCode],"FAE")),"")</f>
        <v/>
      </c>
      <c r="P458" s="15" t="str">
        <f t="shared" si="11"/>
        <v/>
      </c>
    </row>
    <row r="459" spans="1:16" x14ac:dyDescent="0.25">
      <c r="A459" s="14">
        <v>12</v>
      </c>
      <c r="B459" s="14" t="str">
        <f>IFERROR(IF(SUMIFS(tblDaily[Admissions],tblDaily[EntryDate],DATE(2026,12,12),tblDaily[WardCode],"MAE")=0,"",SUMIFS(tblDaily[Admissions],tblDaily[EntryDate],DATE(2026,12,12),tblDaily[WardCode],"MAE")),"")</f>
        <v/>
      </c>
      <c r="C459" s="14" t="str">
        <f>IFERROR(IF(SUMIFS(tblDaily[Discharges],tblDaily[EntryDate],DATE(2026,12,12),tblDaily[WardCode],"MAE")=0,"",SUMIFS(tblDaily[Discharges],tblDaily[EntryDate],DATE(2026,12,12),tblDaily[WardCode],"MAE")),"")</f>
        <v/>
      </c>
      <c r="D459" s="14" t="str">
        <f>IFERROR(IF(SUMIFS(tblDaily[Deaths],tblDaily[EntryDate],DATE(2026,12,12),tblDaily[WardCode],"MAE")=0,"",SUMIFS(tblDaily[Deaths],tblDaily[EntryDate],DATE(2026,12,12),tblDaily[WardCode],"MAE")),"")</f>
        <v/>
      </c>
      <c r="E459" s="1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14" t="str">
        <f>IFERROR(IF(SUMIFS(tblDaily[TransfersIn],tblDaily[EntryDate],DATE(2026,12,12),tblDaily[WardCode],"MAE")=0,"",SUMIFS(tblDaily[TransfersIn],tblDaily[EntryDate],DATE(2026,12,12),tblDaily[WardCode],"MAE")),"")</f>
        <v/>
      </c>
      <c r="G459" s="14" t="str">
        <f>IFERROR(IF(SUMIFS(tblDaily[TransfersOut],tblDaily[EntryDate],DATE(2026,12,12),tblDaily[WardCode],"MAE")=0,"",SUMIFS(tblDaily[TransfersOut],tblDaily[EntryDate],DATE(2026,12,12),tblDaily[WardCode],"MAE")),"")</f>
        <v/>
      </c>
      <c r="H459" s="14" t="str">
        <f>IFERROR(IF(SUMIFS(tblDaily[Remaining],tblDaily[EntryDate],DATE(2026,12,12),tblDaily[WardCode],"MAE")=0,"",SUMIFS(tblDaily[Remaining],tblDaily[EntryDate],DATE(2026,12,12),tblDaily[WardCode],"MAE")),"")</f>
        <v/>
      </c>
      <c r="I459" s="14" t="str">
        <f>IFERROR(IF(SUMIFS(tblDaily[Admissions],tblDaily[EntryDate],DATE(2026,12,12),tblDaily[WardCode],"FAE")=0,"",SUMIFS(tblDaily[Admissions],tblDaily[EntryDate],DATE(2026,12,12),tblDaily[WardCode],"FAE")),"")</f>
        <v/>
      </c>
      <c r="J459" s="14" t="str">
        <f>IFERROR(IF(SUMIFS(tblDaily[Discharges],tblDaily[EntryDate],DATE(2026,12,12),tblDaily[WardCode],"FAE")=0,"",SUMIFS(tblDaily[Discharges],tblDaily[EntryDate],DATE(2026,12,12),tblDaily[WardCode],"FAE")),"")</f>
        <v/>
      </c>
      <c r="K459" s="14" t="str">
        <f>IFERROR(IF(SUMIFS(tblDaily[Deaths],tblDaily[EntryDate],DATE(2026,12,12),tblDaily[WardCode],"FAE")=0,"",SUMIFS(tblDaily[Deaths],tblDaily[EntryDate],DATE(2026,12,12),tblDaily[WardCode],"FAE")),"")</f>
        <v/>
      </c>
      <c r="L459" s="14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14" t="str">
        <f>IFERROR(IF(SUMIFS(tblDaily[TransfersIn],tblDaily[EntryDate],DATE(2026,12,12),tblDaily[WardCode],"FAE")=0,"",SUMIFS(tblDaily[TransfersIn],tblDaily[EntryDate],DATE(2026,12,12),tblDaily[WardCode],"FAE")),"")</f>
        <v/>
      </c>
      <c r="N459" s="14" t="str">
        <f>IFERROR(IF(SUMIFS(tblDaily[TransfersOut],tblDaily[EntryDate],DATE(2026,12,12),tblDaily[WardCode],"FAE")=0,"",SUMIFS(tblDaily[TransfersOut],tblDaily[EntryDate],DATE(2026,12,12),tblDaily[WardCode],"FAE")),"")</f>
        <v/>
      </c>
      <c r="O459" s="14" t="str">
        <f>IFERROR(IF(SUMIFS(tblDaily[Remaining],tblDaily[EntryDate],DATE(2026,12,12),tblDaily[WardCode],"FAE")=0,"",SUMIFS(tblDaily[Remaining],tblDaily[EntryDate],DATE(2026,12,12),tblDaily[WardCode],"FAE")),"")</f>
        <v/>
      </c>
      <c r="P459" s="15" t="str">
        <f t="shared" si="11"/>
        <v/>
      </c>
    </row>
    <row r="460" spans="1:16" x14ac:dyDescent="0.25">
      <c r="A460" s="14">
        <v>13</v>
      </c>
      <c r="B460" s="14" t="str">
        <f>IFERROR(IF(SUMIFS(tblDaily[Admissions],tblDaily[EntryDate],DATE(2026,12,13),tblDaily[WardCode],"MAE")=0,"",SUMIFS(tblDaily[Admissions],tblDaily[EntryDate],DATE(2026,12,13),tblDaily[WardCode],"MAE")),"")</f>
        <v/>
      </c>
      <c r="C460" s="14" t="str">
        <f>IFERROR(IF(SUMIFS(tblDaily[Discharges],tblDaily[EntryDate],DATE(2026,12,13),tblDaily[WardCode],"MAE")=0,"",SUMIFS(tblDaily[Discharges],tblDaily[EntryDate],DATE(2026,12,13),tblDaily[WardCode],"MAE")),"")</f>
        <v/>
      </c>
      <c r="D460" s="14" t="str">
        <f>IFERROR(IF(SUMIFS(tblDaily[Deaths],tblDaily[EntryDate],DATE(2026,12,13),tblDaily[WardCode],"MAE")=0,"",SUMIFS(tblDaily[Deaths],tblDaily[EntryDate],DATE(2026,12,13),tblDaily[WardCode],"MAE")),"")</f>
        <v/>
      </c>
      <c r="E460" s="1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14" t="str">
        <f>IFERROR(IF(SUMIFS(tblDaily[TransfersIn],tblDaily[EntryDate],DATE(2026,12,13),tblDaily[WardCode],"MAE")=0,"",SUMIFS(tblDaily[TransfersIn],tblDaily[EntryDate],DATE(2026,12,13),tblDaily[WardCode],"MAE")),"")</f>
        <v/>
      </c>
      <c r="G460" s="14" t="str">
        <f>IFERROR(IF(SUMIFS(tblDaily[TransfersOut],tblDaily[EntryDate],DATE(2026,12,13),tblDaily[WardCode],"MAE")=0,"",SUMIFS(tblDaily[TransfersOut],tblDaily[EntryDate],DATE(2026,12,13),tblDaily[WardCode],"MAE")),"")</f>
        <v/>
      </c>
      <c r="H460" s="14" t="str">
        <f>IFERROR(IF(SUMIFS(tblDaily[Remaining],tblDaily[EntryDate],DATE(2026,12,13),tblDaily[WardCode],"MAE")=0,"",SUMIFS(tblDaily[Remaining],tblDaily[EntryDate],DATE(2026,12,13),tblDaily[WardCode],"MAE")),"")</f>
        <v/>
      </c>
      <c r="I460" s="14" t="str">
        <f>IFERROR(IF(SUMIFS(tblDaily[Admissions],tblDaily[EntryDate],DATE(2026,12,13),tblDaily[WardCode],"FAE")=0,"",SUMIFS(tblDaily[Admissions],tblDaily[EntryDate],DATE(2026,12,13),tblDaily[WardCode],"FAE")),"")</f>
        <v/>
      </c>
      <c r="J460" s="14" t="str">
        <f>IFERROR(IF(SUMIFS(tblDaily[Discharges],tblDaily[EntryDate],DATE(2026,12,13),tblDaily[WardCode],"FAE")=0,"",SUMIFS(tblDaily[Discharges],tblDaily[EntryDate],DATE(2026,12,13),tblDaily[WardCode],"FAE")),"")</f>
        <v/>
      </c>
      <c r="K460" s="14" t="str">
        <f>IFERROR(IF(SUMIFS(tblDaily[Deaths],tblDaily[EntryDate],DATE(2026,12,13),tblDaily[WardCode],"FAE")=0,"",SUMIFS(tblDaily[Deaths],tblDaily[EntryDate],DATE(2026,12,13),tblDaily[WardCode],"FAE")),"")</f>
        <v/>
      </c>
      <c r="L460" s="14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14" t="str">
        <f>IFERROR(IF(SUMIFS(tblDaily[TransfersIn],tblDaily[EntryDate],DATE(2026,12,13),tblDaily[WardCode],"FAE")=0,"",SUMIFS(tblDaily[TransfersIn],tblDaily[EntryDate],DATE(2026,12,13),tblDaily[WardCode],"FAE")),"")</f>
        <v/>
      </c>
      <c r="N460" s="14" t="str">
        <f>IFERROR(IF(SUMIFS(tblDaily[TransfersOut],tblDaily[EntryDate],DATE(2026,12,13),tblDaily[WardCode],"FAE")=0,"",SUMIFS(tblDaily[TransfersOut],tblDaily[EntryDate],DATE(2026,12,13),tblDaily[WardCode],"FAE")),"")</f>
        <v/>
      </c>
      <c r="O460" s="14" t="str">
        <f>IFERROR(IF(SUMIFS(tblDaily[Remaining],tblDaily[EntryDate],DATE(2026,12,13),tblDaily[WardCode],"FAE")=0,"",SUMIFS(tblDaily[Remaining],tblDaily[EntryDate],DATE(2026,12,13),tblDaily[WardCode],"FAE")),"")</f>
        <v/>
      </c>
      <c r="P460" s="15" t="str">
        <f t="shared" si="11"/>
        <v/>
      </c>
    </row>
    <row r="461" spans="1:16" x14ac:dyDescent="0.25">
      <c r="A461" s="14">
        <v>14</v>
      </c>
      <c r="B461" s="14" t="str">
        <f>IFERROR(IF(SUMIFS(tblDaily[Admissions],tblDaily[EntryDate],DATE(2026,12,14),tblDaily[WardCode],"MAE")=0,"",SUMIFS(tblDaily[Admissions],tblDaily[EntryDate],DATE(2026,12,14),tblDaily[WardCode],"MAE")),"")</f>
        <v/>
      </c>
      <c r="C461" s="14" t="str">
        <f>IFERROR(IF(SUMIFS(tblDaily[Discharges],tblDaily[EntryDate],DATE(2026,12,14),tblDaily[WardCode],"MAE")=0,"",SUMIFS(tblDaily[Discharges],tblDaily[EntryDate],DATE(2026,12,14),tblDaily[WardCode],"MAE")),"")</f>
        <v/>
      </c>
      <c r="D461" s="14" t="str">
        <f>IFERROR(IF(SUMIFS(tblDaily[Deaths],tblDaily[EntryDate],DATE(2026,12,14),tblDaily[WardCode],"MAE")=0,"",SUMIFS(tblDaily[Deaths],tblDaily[EntryDate],DATE(2026,12,14),tblDaily[WardCode],"MAE")),"")</f>
        <v/>
      </c>
      <c r="E461" s="1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14" t="str">
        <f>IFERROR(IF(SUMIFS(tblDaily[TransfersIn],tblDaily[EntryDate],DATE(2026,12,14),tblDaily[WardCode],"MAE")=0,"",SUMIFS(tblDaily[TransfersIn],tblDaily[EntryDate],DATE(2026,12,14),tblDaily[WardCode],"MAE")),"")</f>
        <v/>
      </c>
      <c r="G461" s="14" t="str">
        <f>IFERROR(IF(SUMIFS(tblDaily[TransfersOut],tblDaily[EntryDate],DATE(2026,12,14),tblDaily[WardCode],"MAE")=0,"",SUMIFS(tblDaily[TransfersOut],tblDaily[EntryDate],DATE(2026,12,14),tblDaily[WardCode],"MAE")),"")</f>
        <v/>
      </c>
      <c r="H461" s="14" t="str">
        <f>IFERROR(IF(SUMIFS(tblDaily[Remaining],tblDaily[EntryDate],DATE(2026,12,14),tblDaily[WardCode],"MAE")=0,"",SUMIFS(tblDaily[Remaining],tblDaily[EntryDate],DATE(2026,12,14),tblDaily[WardCode],"MAE")),"")</f>
        <v/>
      </c>
      <c r="I461" s="14" t="str">
        <f>IFERROR(IF(SUMIFS(tblDaily[Admissions],tblDaily[EntryDate],DATE(2026,12,14),tblDaily[WardCode],"FAE")=0,"",SUMIFS(tblDaily[Admissions],tblDaily[EntryDate],DATE(2026,12,14),tblDaily[WardCode],"FAE")),"")</f>
        <v/>
      </c>
      <c r="J461" s="14" t="str">
        <f>IFERROR(IF(SUMIFS(tblDaily[Discharges],tblDaily[EntryDate],DATE(2026,12,14),tblDaily[WardCode],"FAE")=0,"",SUMIFS(tblDaily[Discharges],tblDaily[EntryDate],DATE(2026,12,14),tblDaily[WardCode],"FAE")),"")</f>
        <v/>
      </c>
      <c r="K461" s="14" t="str">
        <f>IFERROR(IF(SUMIFS(tblDaily[Deaths],tblDaily[EntryDate],DATE(2026,12,14),tblDaily[WardCode],"FAE")=0,"",SUMIFS(tblDaily[Deaths],tblDaily[EntryDate],DATE(2026,12,14),tblDaily[WardCode],"FAE")),"")</f>
        <v/>
      </c>
      <c r="L461" s="14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14" t="str">
        <f>IFERROR(IF(SUMIFS(tblDaily[TransfersIn],tblDaily[EntryDate],DATE(2026,12,14),tblDaily[WardCode],"FAE")=0,"",SUMIFS(tblDaily[TransfersIn],tblDaily[EntryDate],DATE(2026,12,14),tblDaily[WardCode],"FAE")),"")</f>
        <v/>
      </c>
      <c r="N461" s="14" t="str">
        <f>IFERROR(IF(SUMIFS(tblDaily[TransfersOut],tblDaily[EntryDate],DATE(2026,12,14),tblDaily[WardCode],"FAE")=0,"",SUMIFS(tblDaily[TransfersOut],tblDaily[EntryDate],DATE(2026,12,14),tblDaily[WardCode],"FAE")),"")</f>
        <v/>
      </c>
      <c r="O461" s="14" t="str">
        <f>IFERROR(IF(SUMIFS(tblDaily[Remaining],tblDaily[EntryDate],DATE(2026,12,14),tblDaily[WardCode],"FAE")=0,"",SUMIFS(tblDaily[Remaining],tblDaily[EntryDate],DATE(2026,12,14),tblDaily[WardCode],"FAE")),"")</f>
        <v/>
      </c>
      <c r="P461" s="15" t="str">
        <f t="shared" si="11"/>
        <v/>
      </c>
    </row>
    <row r="462" spans="1:16" x14ac:dyDescent="0.25">
      <c r="A462" s="14">
        <v>15</v>
      </c>
      <c r="B462" s="14" t="str">
        <f>IFERROR(IF(SUMIFS(tblDaily[Admissions],tblDaily[EntryDate],DATE(2026,12,15),tblDaily[WardCode],"MAE")=0,"",SUMIFS(tblDaily[Admissions],tblDaily[EntryDate],DATE(2026,12,15),tblDaily[WardCode],"MAE")),"")</f>
        <v/>
      </c>
      <c r="C462" s="14" t="str">
        <f>IFERROR(IF(SUMIFS(tblDaily[Discharges],tblDaily[EntryDate],DATE(2026,12,15),tblDaily[WardCode],"MAE")=0,"",SUMIFS(tblDaily[Discharges],tblDaily[EntryDate],DATE(2026,12,15),tblDaily[WardCode],"MAE")),"")</f>
        <v/>
      </c>
      <c r="D462" s="14" t="str">
        <f>IFERROR(IF(SUMIFS(tblDaily[Deaths],tblDaily[EntryDate],DATE(2026,12,15),tblDaily[WardCode],"MAE")=0,"",SUMIFS(tblDaily[Deaths],tblDaily[EntryDate],DATE(2026,12,15),tblDaily[WardCode],"MAE")),"")</f>
        <v/>
      </c>
      <c r="E462" s="1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14" t="str">
        <f>IFERROR(IF(SUMIFS(tblDaily[TransfersIn],tblDaily[EntryDate],DATE(2026,12,15),tblDaily[WardCode],"MAE")=0,"",SUMIFS(tblDaily[TransfersIn],tblDaily[EntryDate],DATE(2026,12,15),tblDaily[WardCode],"MAE")),"")</f>
        <v/>
      </c>
      <c r="G462" s="14" t="str">
        <f>IFERROR(IF(SUMIFS(tblDaily[TransfersOut],tblDaily[EntryDate],DATE(2026,12,15),tblDaily[WardCode],"MAE")=0,"",SUMIFS(tblDaily[TransfersOut],tblDaily[EntryDate],DATE(2026,12,15),tblDaily[WardCode],"MAE")),"")</f>
        <v/>
      </c>
      <c r="H462" s="14" t="str">
        <f>IFERROR(IF(SUMIFS(tblDaily[Remaining],tblDaily[EntryDate],DATE(2026,12,15),tblDaily[WardCode],"MAE")=0,"",SUMIFS(tblDaily[Remaining],tblDaily[EntryDate],DATE(2026,12,15),tblDaily[WardCode],"MAE")),"")</f>
        <v/>
      </c>
      <c r="I462" s="14" t="str">
        <f>IFERROR(IF(SUMIFS(tblDaily[Admissions],tblDaily[EntryDate],DATE(2026,12,15),tblDaily[WardCode],"FAE")=0,"",SUMIFS(tblDaily[Admissions],tblDaily[EntryDate],DATE(2026,12,15),tblDaily[WardCode],"FAE")),"")</f>
        <v/>
      </c>
      <c r="J462" s="14" t="str">
        <f>IFERROR(IF(SUMIFS(tblDaily[Discharges],tblDaily[EntryDate],DATE(2026,12,15),tblDaily[WardCode],"FAE")=0,"",SUMIFS(tblDaily[Discharges],tblDaily[EntryDate],DATE(2026,12,15),tblDaily[WardCode],"FAE")),"")</f>
        <v/>
      </c>
      <c r="K462" s="14" t="str">
        <f>IFERROR(IF(SUMIFS(tblDaily[Deaths],tblDaily[EntryDate],DATE(2026,12,15),tblDaily[WardCode],"FAE")=0,"",SUMIFS(tblDaily[Deaths],tblDaily[EntryDate],DATE(2026,12,15),tblDaily[WardCode],"FAE")),"")</f>
        <v/>
      </c>
      <c r="L462" s="14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14" t="str">
        <f>IFERROR(IF(SUMIFS(tblDaily[TransfersIn],tblDaily[EntryDate],DATE(2026,12,15),tblDaily[WardCode],"FAE")=0,"",SUMIFS(tblDaily[TransfersIn],tblDaily[EntryDate],DATE(2026,12,15),tblDaily[WardCode],"FAE")),"")</f>
        <v/>
      </c>
      <c r="N462" s="14" t="str">
        <f>IFERROR(IF(SUMIFS(tblDaily[TransfersOut],tblDaily[EntryDate],DATE(2026,12,15),tblDaily[WardCode],"FAE")=0,"",SUMIFS(tblDaily[TransfersOut],tblDaily[EntryDate],DATE(2026,12,15),tblDaily[WardCode],"FAE")),"")</f>
        <v/>
      </c>
      <c r="O462" s="14" t="str">
        <f>IFERROR(IF(SUMIFS(tblDaily[Remaining],tblDaily[EntryDate],DATE(2026,12,15),tblDaily[WardCode],"FAE")=0,"",SUMIFS(tblDaily[Remaining],tblDaily[EntryDate],DATE(2026,12,15),tblDaily[WardCode],"FAE")),"")</f>
        <v/>
      </c>
      <c r="P462" s="15" t="str">
        <f t="shared" si="11"/>
        <v/>
      </c>
    </row>
    <row r="463" spans="1:16" x14ac:dyDescent="0.25">
      <c r="A463" s="14">
        <v>16</v>
      </c>
      <c r="B463" s="14" t="str">
        <f>IFERROR(IF(SUMIFS(tblDaily[Admissions],tblDaily[EntryDate],DATE(2026,12,16),tblDaily[WardCode],"MAE")=0,"",SUMIFS(tblDaily[Admissions],tblDaily[EntryDate],DATE(2026,12,16),tblDaily[WardCode],"MAE")),"")</f>
        <v/>
      </c>
      <c r="C463" s="14" t="str">
        <f>IFERROR(IF(SUMIFS(tblDaily[Discharges],tblDaily[EntryDate],DATE(2026,12,16),tblDaily[WardCode],"MAE")=0,"",SUMIFS(tblDaily[Discharges],tblDaily[EntryDate],DATE(2026,12,16),tblDaily[WardCode],"MAE")),"")</f>
        <v/>
      </c>
      <c r="D463" s="14" t="str">
        <f>IFERROR(IF(SUMIFS(tblDaily[Deaths],tblDaily[EntryDate],DATE(2026,12,16),tblDaily[WardCode],"MAE")=0,"",SUMIFS(tblDaily[Deaths],tblDaily[EntryDate],DATE(2026,12,16),tblDaily[WardCode],"MAE")),"")</f>
        <v/>
      </c>
      <c r="E463" s="1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14" t="str">
        <f>IFERROR(IF(SUMIFS(tblDaily[TransfersIn],tblDaily[EntryDate],DATE(2026,12,16),tblDaily[WardCode],"MAE")=0,"",SUMIFS(tblDaily[TransfersIn],tblDaily[EntryDate],DATE(2026,12,16),tblDaily[WardCode],"MAE")),"")</f>
        <v/>
      </c>
      <c r="G463" s="14" t="str">
        <f>IFERROR(IF(SUMIFS(tblDaily[TransfersOut],tblDaily[EntryDate],DATE(2026,12,16),tblDaily[WardCode],"MAE")=0,"",SUMIFS(tblDaily[TransfersOut],tblDaily[EntryDate],DATE(2026,12,16),tblDaily[WardCode],"MAE")),"")</f>
        <v/>
      </c>
      <c r="H463" s="14" t="str">
        <f>IFERROR(IF(SUMIFS(tblDaily[Remaining],tblDaily[EntryDate],DATE(2026,12,16),tblDaily[WardCode],"MAE")=0,"",SUMIFS(tblDaily[Remaining],tblDaily[EntryDate],DATE(2026,12,16),tblDaily[WardCode],"MAE")),"")</f>
        <v/>
      </c>
      <c r="I463" s="14" t="str">
        <f>IFERROR(IF(SUMIFS(tblDaily[Admissions],tblDaily[EntryDate],DATE(2026,12,16),tblDaily[WardCode],"FAE")=0,"",SUMIFS(tblDaily[Admissions],tblDaily[EntryDate],DATE(2026,12,16),tblDaily[WardCode],"FAE")),"")</f>
        <v/>
      </c>
      <c r="J463" s="14" t="str">
        <f>IFERROR(IF(SUMIFS(tblDaily[Discharges],tblDaily[EntryDate],DATE(2026,12,16),tblDaily[WardCode],"FAE")=0,"",SUMIFS(tblDaily[Discharges],tblDaily[EntryDate],DATE(2026,12,16),tblDaily[WardCode],"FAE")),"")</f>
        <v/>
      </c>
      <c r="K463" s="14" t="str">
        <f>IFERROR(IF(SUMIFS(tblDaily[Deaths],tblDaily[EntryDate],DATE(2026,12,16),tblDaily[WardCode],"FAE")=0,"",SUMIFS(tblDaily[Deaths],tblDaily[EntryDate],DATE(2026,12,16),tblDaily[WardCode],"FAE")),"")</f>
        <v/>
      </c>
      <c r="L463" s="14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14" t="str">
        <f>IFERROR(IF(SUMIFS(tblDaily[TransfersIn],tblDaily[EntryDate],DATE(2026,12,16),tblDaily[WardCode],"FAE")=0,"",SUMIFS(tblDaily[TransfersIn],tblDaily[EntryDate],DATE(2026,12,16),tblDaily[WardCode],"FAE")),"")</f>
        <v/>
      </c>
      <c r="N463" s="14" t="str">
        <f>IFERROR(IF(SUMIFS(tblDaily[TransfersOut],tblDaily[EntryDate],DATE(2026,12,16),tblDaily[WardCode],"FAE")=0,"",SUMIFS(tblDaily[TransfersOut],tblDaily[EntryDate],DATE(2026,12,16),tblDaily[WardCode],"FAE")),"")</f>
        <v/>
      </c>
      <c r="O463" s="14" t="str">
        <f>IFERROR(IF(SUMIFS(tblDaily[Remaining],tblDaily[EntryDate],DATE(2026,12,16),tblDaily[WardCode],"FAE")=0,"",SUMIFS(tblDaily[Remaining],tblDaily[EntryDate],DATE(2026,12,16),tblDaily[WardCode],"FAE")),"")</f>
        <v/>
      </c>
      <c r="P463" s="15" t="str">
        <f t="shared" si="11"/>
        <v/>
      </c>
    </row>
    <row r="464" spans="1:16" x14ac:dyDescent="0.25">
      <c r="A464" s="14">
        <v>17</v>
      </c>
      <c r="B464" s="14" t="str">
        <f>IFERROR(IF(SUMIFS(tblDaily[Admissions],tblDaily[EntryDate],DATE(2026,12,17),tblDaily[WardCode],"MAE")=0,"",SUMIFS(tblDaily[Admissions],tblDaily[EntryDate],DATE(2026,12,17),tblDaily[WardCode],"MAE")),"")</f>
        <v/>
      </c>
      <c r="C464" s="14" t="str">
        <f>IFERROR(IF(SUMIFS(tblDaily[Discharges],tblDaily[EntryDate],DATE(2026,12,17),tblDaily[WardCode],"MAE")=0,"",SUMIFS(tblDaily[Discharges],tblDaily[EntryDate],DATE(2026,12,17),tblDaily[WardCode],"MAE")),"")</f>
        <v/>
      </c>
      <c r="D464" s="14" t="str">
        <f>IFERROR(IF(SUMIFS(tblDaily[Deaths],tblDaily[EntryDate],DATE(2026,12,17),tblDaily[WardCode],"MAE")=0,"",SUMIFS(tblDaily[Deaths],tblDaily[EntryDate],DATE(2026,12,17),tblDaily[WardCode],"MAE")),"")</f>
        <v/>
      </c>
      <c r="E464" s="1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14" t="str">
        <f>IFERROR(IF(SUMIFS(tblDaily[TransfersIn],tblDaily[EntryDate],DATE(2026,12,17),tblDaily[WardCode],"MAE")=0,"",SUMIFS(tblDaily[TransfersIn],tblDaily[EntryDate],DATE(2026,12,17),tblDaily[WardCode],"MAE")),"")</f>
        <v/>
      </c>
      <c r="G464" s="14" t="str">
        <f>IFERROR(IF(SUMIFS(tblDaily[TransfersOut],tblDaily[EntryDate],DATE(2026,12,17),tblDaily[WardCode],"MAE")=0,"",SUMIFS(tblDaily[TransfersOut],tblDaily[EntryDate],DATE(2026,12,17),tblDaily[WardCode],"MAE")),"")</f>
        <v/>
      </c>
      <c r="H464" s="14" t="str">
        <f>IFERROR(IF(SUMIFS(tblDaily[Remaining],tblDaily[EntryDate],DATE(2026,12,17),tblDaily[WardCode],"MAE")=0,"",SUMIFS(tblDaily[Remaining],tblDaily[EntryDate],DATE(2026,12,17),tblDaily[WardCode],"MAE")),"")</f>
        <v/>
      </c>
      <c r="I464" s="14" t="str">
        <f>IFERROR(IF(SUMIFS(tblDaily[Admissions],tblDaily[EntryDate],DATE(2026,12,17),tblDaily[WardCode],"FAE")=0,"",SUMIFS(tblDaily[Admissions],tblDaily[EntryDate],DATE(2026,12,17),tblDaily[WardCode],"FAE")),"")</f>
        <v/>
      </c>
      <c r="J464" s="14" t="str">
        <f>IFERROR(IF(SUMIFS(tblDaily[Discharges],tblDaily[EntryDate],DATE(2026,12,17),tblDaily[WardCode],"FAE")=0,"",SUMIFS(tblDaily[Discharges],tblDaily[EntryDate],DATE(2026,12,17),tblDaily[WardCode],"FAE")),"")</f>
        <v/>
      </c>
      <c r="K464" s="14" t="str">
        <f>IFERROR(IF(SUMIFS(tblDaily[Deaths],tblDaily[EntryDate],DATE(2026,12,17),tblDaily[WardCode],"FAE")=0,"",SUMIFS(tblDaily[Deaths],tblDaily[EntryDate],DATE(2026,12,17),tblDaily[WardCode],"FAE")),"")</f>
        <v/>
      </c>
      <c r="L464" s="14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14" t="str">
        <f>IFERROR(IF(SUMIFS(tblDaily[TransfersIn],tblDaily[EntryDate],DATE(2026,12,17),tblDaily[WardCode],"FAE")=0,"",SUMIFS(tblDaily[TransfersIn],tblDaily[EntryDate],DATE(2026,12,17),tblDaily[WardCode],"FAE")),"")</f>
        <v/>
      </c>
      <c r="N464" s="14" t="str">
        <f>IFERROR(IF(SUMIFS(tblDaily[TransfersOut],tblDaily[EntryDate],DATE(2026,12,17),tblDaily[WardCode],"FAE")=0,"",SUMIFS(tblDaily[TransfersOut],tblDaily[EntryDate],DATE(2026,12,17),tblDaily[WardCode],"FAE")),"")</f>
        <v/>
      </c>
      <c r="O464" s="14" t="str">
        <f>IFERROR(IF(SUMIFS(tblDaily[Remaining],tblDaily[EntryDate],DATE(2026,12,17),tblDaily[WardCode],"FAE")=0,"",SUMIFS(tblDaily[Remaining],tblDaily[EntryDate],DATE(2026,12,17),tblDaily[WardCode],"FAE")),"")</f>
        <v/>
      </c>
      <c r="P464" s="15" t="str">
        <f t="shared" si="11"/>
        <v/>
      </c>
    </row>
    <row r="465" spans="1:16" x14ac:dyDescent="0.25">
      <c r="A465" s="14">
        <v>18</v>
      </c>
      <c r="B465" s="14" t="str">
        <f>IFERROR(IF(SUMIFS(tblDaily[Admissions],tblDaily[EntryDate],DATE(2026,12,18),tblDaily[WardCode],"MAE")=0,"",SUMIFS(tblDaily[Admissions],tblDaily[EntryDate],DATE(2026,12,18),tblDaily[WardCode],"MAE")),"")</f>
        <v/>
      </c>
      <c r="C465" s="14" t="str">
        <f>IFERROR(IF(SUMIFS(tblDaily[Discharges],tblDaily[EntryDate],DATE(2026,12,18),tblDaily[WardCode],"MAE")=0,"",SUMIFS(tblDaily[Discharges],tblDaily[EntryDate],DATE(2026,12,18),tblDaily[WardCode],"MAE")),"")</f>
        <v/>
      </c>
      <c r="D465" s="14" t="str">
        <f>IFERROR(IF(SUMIFS(tblDaily[Deaths],tblDaily[EntryDate],DATE(2026,12,18),tblDaily[WardCode],"MAE")=0,"",SUMIFS(tblDaily[Deaths],tblDaily[EntryDate],DATE(2026,12,18),tblDaily[WardCode],"MAE")),"")</f>
        <v/>
      </c>
      <c r="E465" s="1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14" t="str">
        <f>IFERROR(IF(SUMIFS(tblDaily[TransfersIn],tblDaily[EntryDate],DATE(2026,12,18),tblDaily[WardCode],"MAE")=0,"",SUMIFS(tblDaily[TransfersIn],tblDaily[EntryDate],DATE(2026,12,18),tblDaily[WardCode],"MAE")),"")</f>
        <v/>
      </c>
      <c r="G465" s="14" t="str">
        <f>IFERROR(IF(SUMIFS(tblDaily[TransfersOut],tblDaily[EntryDate],DATE(2026,12,18),tblDaily[WardCode],"MAE")=0,"",SUMIFS(tblDaily[TransfersOut],tblDaily[EntryDate],DATE(2026,12,18),tblDaily[WardCode],"MAE")),"")</f>
        <v/>
      </c>
      <c r="H465" s="14" t="str">
        <f>IFERROR(IF(SUMIFS(tblDaily[Remaining],tblDaily[EntryDate],DATE(2026,12,18),tblDaily[WardCode],"MAE")=0,"",SUMIFS(tblDaily[Remaining],tblDaily[EntryDate],DATE(2026,12,18),tblDaily[WardCode],"MAE")),"")</f>
        <v/>
      </c>
      <c r="I465" s="14" t="str">
        <f>IFERROR(IF(SUMIFS(tblDaily[Admissions],tblDaily[EntryDate],DATE(2026,12,18),tblDaily[WardCode],"FAE")=0,"",SUMIFS(tblDaily[Admissions],tblDaily[EntryDate],DATE(2026,12,18),tblDaily[WardCode],"FAE")),"")</f>
        <v/>
      </c>
      <c r="J465" s="14" t="str">
        <f>IFERROR(IF(SUMIFS(tblDaily[Discharges],tblDaily[EntryDate],DATE(2026,12,18),tblDaily[WardCode],"FAE")=0,"",SUMIFS(tblDaily[Discharges],tblDaily[EntryDate],DATE(2026,12,18),tblDaily[WardCode],"FAE")),"")</f>
        <v/>
      </c>
      <c r="K465" s="14" t="str">
        <f>IFERROR(IF(SUMIFS(tblDaily[Deaths],tblDaily[EntryDate],DATE(2026,12,18),tblDaily[WardCode],"FAE")=0,"",SUMIFS(tblDaily[Deaths],tblDaily[EntryDate],DATE(2026,12,18),tblDaily[WardCode],"FAE")),"")</f>
        <v/>
      </c>
      <c r="L465" s="14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14" t="str">
        <f>IFERROR(IF(SUMIFS(tblDaily[TransfersIn],tblDaily[EntryDate],DATE(2026,12,18),tblDaily[WardCode],"FAE")=0,"",SUMIFS(tblDaily[TransfersIn],tblDaily[EntryDate],DATE(2026,12,18),tblDaily[WardCode],"FAE")),"")</f>
        <v/>
      </c>
      <c r="N465" s="14" t="str">
        <f>IFERROR(IF(SUMIFS(tblDaily[TransfersOut],tblDaily[EntryDate],DATE(2026,12,18),tblDaily[WardCode],"FAE")=0,"",SUMIFS(tblDaily[TransfersOut],tblDaily[EntryDate],DATE(2026,12,18),tblDaily[WardCode],"FAE")),"")</f>
        <v/>
      </c>
      <c r="O465" s="14" t="str">
        <f>IFERROR(IF(SUMIFS(tblDaily[Remaining],tblDaily[EntryDate],DATE(2026,12,18),tblDaily[WardCode],"FAE")=0,"",SUMIFS(tblDaily[Remaining],tblDaily[EntryDate],DATE(2026,12,18),tblDaily[WardCode],"FAE")),"")</f>
        <v/>
      </c>
      <c r="P465" s="15" t="str">
        <f t="shared" si="11"/>
        <v/>
      </c>
    </row>
    <row r="466" spans="1:16" x14ac:dyDescent="0.25">
      <c r="A466" s="14">
        <v>19</v>
      </c>
      <c r="B466" s="14" t="str">
        <f>IFERROR(IF(SUMIFS(tblDaily[Admissions],tblDaily[EntryDate],DATE(2026,12,19),tblDaily[WardCode],"MAE")=0,"",SUMIFS(tblDaily[Admissions],tblDaily[EntryDate],DATE(2026,12,19),tblDaily[WardCode],"MAE")),"")</f>
        <v/>
      </c>
      <c r="C466" s="14" t="str">
        <f>IFERROR(IF(SUMIFS(tblDaily[Discharges],tblDaily[EntryDate],DATE(2026,12,19),tblDaily[WardCode],"MAE")=0,"",SUMIFS(tblDaily[Discharges],tblDaily[EntryDate],DATE(2026,12,19),tblDaily[WardCode],"MAE")),"")</f>
        <v/>
      </c>
      <c r="D466" s="14" t="str">
        <f>IFERROR(IF(SUMIFS(tblDaily[Deaths],tblDaily[EntryDate],DATE(2026,12,19),tblDaily[WardCode],"MAE")=0,"",SUMIFS(tblDaily[Deaths],tblDaily[EntryDate],DATE(2026,12,19),tblDaily[WardCode],"MAE")),"")</f>
        <v/>
      </c>
      <c r="E466" s="1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14" t="str">
        <f>IFERROR(IF(SUMIFS(tblDaily[TransfersIn],tblDaily[EntryDate],DATE(2026,12,19),tblDaily[WardCode],"MAE")=0,"",SUMIFS(tblDaily[TransfersIn],tblDaily[EntryDate],DATE(2026,12,19),tblDaily[WardCode],"MAE")),"")</f>
        <v/>
      </c>
      <c r="G466" s="14" t="str">
        <f>IFERROR(IF(SUMIFS(tblDaily[TransfersOut],tblDaily[EntryDate],DATE(2026,12,19),tblDaily[WardCode],"MAE")=0,"",SUMIFS(tblDaily[TransfersOut],tblDaily[EntryDate],DATE(2026,12,19),tblDaily[WardCode],"MAE")),"")</f>
        <v/>
      </c>
      <c r="H466" s="14" t="str">
        <f>IFERROR(IF(SUMIFS(tblDaily[Remaining],tblDaily[EntryDate],DATE(2026,12,19),tblDaily[WardCode],"MAE")=0,"",SUMIFS(tblDaily[Remaining],tblDaily[EntryDate],DATE(2026,12,19),tblDaily[WardCode],"MAE")),"")</f>
        <v/>
      </c>
      <c r="I466" s="14" t="str">
        <f>IFERROR(IF(SUMIFS(tblDaily[Admissions],tblDaily[EntryDate],DATE(2026,12,19),tblDaily[WardCode],"FAE")=0,"",SUMIFS(tblDaily[Admissions],tblDaily[EntryDate],DATE(2026,12,19),tblDaily[WardCode],"FAE")),"")</f>
        <v/>
      </c>
      <c r="J466" s="14" t="str">
        <f>IFERROR(IF(SUMIFS(tblDaily[Discharges],tblDaily[EntryDate],DATE(2026,12,19),tblDaily[WardCode],"FAE")=0,"",SUMIFS(tblDaily[Discharges],tblDaily[EntryDate],DATE(2026,12,19),tblDaily[WardCode],"FAE")),"")</f>
        <v/>
      </c>
      <c r="K466" s="14" t="str">
        <f>IFERROR(IF(SUMIFS(tblDaily[Deaths],tblDaily[EntryDate],DATE(2026,12,19),tblDaily[WardCode],"FAE")=0,"",SUMIFS(tblDaily[Deaths],tblDaily[EntryDate],DATE(2026,12,19),tblDaily[WardCode],"FAE")),"")</f>
        <v/>
      </c>
      <c r="L466" s="14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14" t="str">
        <f>IFERROR(IF(SUMIFS(tblDaily[TransfersIn],tblDaily[EntryDate],DATE(2026,12,19),tblDaily[WardCode],"FAE")=0,"",SUMIFS(tblDaily[TransfersIn],tblDaily[EntryDate],DATE(2026,12,19),tblDaily[WardCode],"FAE")),"")</f>
        <v/>
      </c>
      <c r="N466" s="14" t="str">
        <f>IFERROR(IF(SUMIFS(tblDaily[TransfersOut],tblDaily[EntryDate],DATE(2026,12,19),tblDaily[WardCode],"FAE")=0,"",SUMIFS(tblDaily[TransfersOut],tblDaily[EntryDate],DATE(2026,12,19),tblDaily[WardCode],"FAE")),"")</f>
        <v/>
      </c>
      <c r="O466" s="14" t="str">
        <f>IFERROR(IF(SUMIFS(tblDaily[Remaining],tblDaily[EntryDate],DATE(2026,12,19),tblDaily[WardCode],"FAE")=0,"",SUMIFS(tblDaily[Remaining],tblDaily[EntryDate],DATE(2026,12,19),tblDaily[WardCode],"FAE")),"")</f>
        <v/>
      </c>
      <c r="P466" s="15" t="str">
        <f t="shared" si="11"/>
        <v/>
      </c>
    </row>
    <row r="467" spans="1:16" x14ac:dyDescent="0.25">
      <c r="A467" s="14">
        <v>20</v>
      </c>
      <c r="B467" s="14" t="str">
        <f>IFERROR(IF(SUMIFS(tblDaily[Admissions],tblDaily[EntryDate],DATE(2026,12,20),tblDaily[WardCode],"MAE")=0,"",SUMIFS(tblDaily[Admissions],tblDaily[EntryDate],DATE(2026,12,20),tblDaily[WardCode],"MAE")),"")</f>
        <v/>
      </c>
      <c r="C467" s="14" t="str">
        <f>IFERROR(IF(SUMIFS(tblDaily[Discharges],tblDaily[EntryDate],DATE(2026,12,20),tblDaily[WardCode],"MAE")=0,"",SUMIFS(tblDaily[Discharges],tblDaily[EntryDate],DATE(2026,12,20),tblDaily[WardCode],"MAE")),"")</f>
        <v/>
      </c>
      <c r="D467" s="14" t="str">
        <f>IFERROR(IF(SUMIFS(tblDaily[Deaths],tblDaily[EntryDate],DATE(2026,12,20),tblDaily[WardCode],"MAE")=0,"",SUMIFS(tblDaily[Deaths],tblDaily[EntryDate],DATE(2026,12,20),tblDaily[WardCode],"MAE")),"")</f>
        <v/>
      </c>
      <c r="E467" s="1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14" t="str">
        <f>IFERROR(IF(SUMIFS(tblDaily[TransfersIn],tblDaily[EntryDate],DATE(2026,12,20),tblDaily[WardCode],"MAE")=0,"",SUMIFS(tblDaily[TransfersIn],tblDaily[EntryDate],DATE(2026,12,20),tblDaily[WardCode],"MAE")),"")</f>
        <v/>
      </c>
      <c r="G467" s="14" t="str">
        <f>IFERROR(IF(SUMIFS(tblDaily[TransfersOut],tblDaily[EntryDate],DATE(2026,12,20),tblDaily[WardCode],"MAE")=0,"",SUMIFS(tblDaily[TransfersOut],tblDaily[EntryDate],DATE(2026,12,20),tblDaily[WardCode],"MAE")),"")</f>
        <v/>
      </c>
      <c r="H467" s="14" t="str">
        <f>IFERROR(IF(SUMIFS(tblDaily[Remaining],tblDaily[EntryDate],DATE(2026,12,20),tblDaily[WardCode],"MAE")=0,"",SUMIFS(tblDaily[Remaining],tblDaily[EntryDate],DATE(2026,12,20),tblDaily[WardCode],"MAE")),"")</f>
        <v/>
      </c>
      <c r="I467" s="14" t="str">
        <f>IFERROR(IF(SUMIFS(tblDaily[Admissions],tblDaily[EntryDate],DATE(2026,12,20),tblDaily[WardCode],"FAE")=0,"",SUMIFS(tblDaily[Admissions],tblDaily[EntryDate],DATE(2026,12,20),tblDaily[WardCode],"FAE")),"")</f>
        <v/>
      </c>
      <c r="J467" s="14" t="str">
        <f>IFERROR(IF(SUMIFS(tblDaily[Discharges],tblDaily[EntryDate],DATE(2026,12,20),tblDaily[WardCode],"FAE")=0,"",SUMIFS(tblDaily[Discharges],tblDaily[EntryDate],DATE(2026,12,20),tblDaily[WardCode],"FAE")),"")</f>
        <v/>
      </c>
      <c r="K467" s="14" t="str">
        <f>IFERROR(IF(SUMIFS(tblDaily[Deaths],tblDaily[EntryDate],DATE(2026,12,20),tblDaily[WardCode],"FAE")=0,"",SUMIFS(tblDaily[Deaths],tblDaily[EntryDate],DATE(2026,12,20),tblDaily[WardCode],"FAE")),"")</f>
        <v/>
      </c>
      <c r="L467" s="14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14" t="str">
        <f>IFERROR(IF(SUMIFS(tblDaily[TransfersIn],tblDaily[EntryDate],DATE(2026,12,20),tblDaily[WardCode],"FAE")=0,"",SUMIFS(tblDaily[TransfersIn],tblDaily[EntryDate],DATE(2026,12,20),tblDaily[WardCode],"FAE")),"")</f>
        <v/>
      </c>
      <c r="N467" s="14" t="str">
        <f>IFERROR(IF(SUMIFS(tblDaily[TransfersOut],tblDaily[EntryDate],DATE(2026,12,20),tblDaily[WardCode],"FAE")=0,"",SUMIFS(tblDaily[TransfersOut],tblDaily[EntryDate],DATE(2026,12,20),tblDaily[WardCode],"FAE")),"")</f>
        <v/>
      </c>
      <c r="O467" s="14" t="str">
        <f>IFERROR(IF(SUMIFS(tblDaily[Remaining],tblDaily[EntryDate],DATE(2026,12,20),tblDaily[WardCode],"FAE")=0,"",SUMIFS(tblDaily[Remaining],tblDaily[EntryDate],DATE(2026,12,20),tblDaily[WardCode],"FAE")),"")</f>
        <v/>
      </c>
      <c r="P467" s="15" t="str">
        <f t="shared" si="11"/>
        <v/>
      </c>
    </row>
    <row r="468" spans="1:16" x14ac:dyDescent="0.25">
      <c r="A468" s="14">
        <v>21</v>
      </c>
      <c r="B468" s="14" t="str">
        <f>IFERROR(IF(SUMIFS(tblDaily[Admissions],tblDaily[EntryDate],DATE(2026,12,21),tblDaily[WardCode],"MAE")=0,"",SUMIFS(tblDaily[Admissions],tblDaily[EntryDate],DATE(2026,12,21),tblDaily[WardCode],"MAE")),"")</f>
        <v/>
      </c>
      <c r="C468" s="14" t="str">
        <f>IFERROR(IF(SUMIFS(tblDaily[Discharges],tblDaily[EntryDate],DATE(2026,12,21),tblDaily[WardCode],"MAE")=0,"",SUMIFS(tblDaily[Discharges],tblDaily[EntryDate],DATE(2026,12,21),tblDaily[WardCode],"MAE")),"")</f>
        <v/>
      </c>
      <c r="D468" s="14" t="str">
        <f>IFERROR(IF(SUMIFS(tblDaily[Deaths],tblDaily[EntryDate],DATE(2026,12,21),tblDaily[WardCode],"MAE")=0,"",SUMIFS(tblDaily[Deaths],tblDaily[EntryDate],DATE(2026,12,21),tblDaily[WardCode],"MAE")),"")</f>
        <v/>
      </c>
      <c r="E468" s="1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14" t="str">
        <f>IFERROR(IF(SUMIFS(tblDaily[TransfersIn],tblDaily[EntryDate],DATE(2026,12,21),tblDaily[WardCode],"MAE")=0,"",SUMIFS(tblDaily[TransfersIn],tblDaily[EntryDate],DATE(2026,12,21),tblDaily[WardCode],"MAE")),"")</f>
        <v/>
      </c>
      <c r="G468" s="14" t="str">
        <f>IFERROR(IF(SUMIFS(tblDaily[TransfersOut],tblDaily[EntryDate],DATE(2026,12,21),tblDaily[WardCode],"MAE")=0,"",SUMIFS(tblDaily[TransfersOut],tblDaily[EntryDate],DATE(2026,12,21),tblDaily[WardCode],"MAE")),"")</f>
        <v/>
      </c>
      <c r="H468" s="14" t="str">
        <f>IFERROR(IF(SUMIFS(tblDaily[Remaining],tblDaily[EntryDate],DATE(2026,12,21),tblDaily[WardCode],"MAE")=0,"",SUMIFS(tblDaily[Remaining],tblDaily[EntryDate],DATE(2026,12,21),tblDaily[WardCode],"MAE")),"")</f>
        <v/>
      </c>
      <c r="I468" s="14" t="str">
        <f>IFERROR(IF(SUMIFS(tblDaily[Admissions],tblDaily[EntryDate],DATE(2026,12,21),tblDaily[WardCode],"FAE")=0,"",SUMIFS(tblDaily[Admissions],tblDaily[EntryDate],DATE(2026,12,21),tblDaily[WardCode],"FAE")),"")</f>
        <v/>
      </c>
      <c r="J468" s="14" t="str">
        <f>IFERROR(IF(SUMIFS(tblDaily[Discharges],tblDaily[EntryDate],DATE(2026,12,21),tblDaily[WardCode],"FAE")=0,"",SUMIFS(tblDaily[Discharges],tblDaily[EntryDate],DATE(2026,12,21),tblDaily[WardCode],"FAE")),"")</f>
        <v/>
      </c>
      <c r="K468" s="14" t="str">
        <f>IFERROR(IF(SUMIFS(tblDaily[Deaths],tblDaily[EntryDate],DATE(2026,12,21),tblDaily[WardCode],"FAE")=0,"",SUMIFS(tblDaily[Deaths],tblDaily[EntryDate],DATE(2026,12,21),tblDaily[WardCode],"FAE")),"")</f>
        <v/>
      </c>
      <c r="L468" s="14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14" t="str">
        <f>IFERROR(IF(SUMIFS(tblDaily[TransfersIn],tblDaily[EntryDate],DATE(2026,12,21),tblDaily[WardCode],"FAE")=0,"",SUMIFS(tblDaily[TransfersIn],tblDaily[EntryDate],DATE(2026,12,21),tblDaily[WardCode],"FAE")),"")</f>
        <v/>
      </c>
      <c r="N468" s="14" t="str">
        <f>IFERROR(IF(SUMIFS(tblDaily[TransfersOut],tblDaily[EntryDate],DATE(2026,12,21),tblDaily[WardCode],"FAE")=0,"",SUMIFS(tblDaily[TransfersOut],tblDaily[EntryDate],DATE(2026,12,21),tblDaily[WardCode],"FAE")),"")</f>
        <v/>
      </c>
      <c r="O468" s="14" t="str">
        <f>IFERROR(IF(SUMIFS(tblDaily[Remaining],tblDaily[EntryDate],DATE(2026,12,21),tblDaily[WardCode],"FAE")=0,"",SUMIFS(tblDaily[Remaining],tblDaily[EntryDate],DATE(2026,12,21),tblDaily[WardCode],"FAE")),"")</f>
        <v/>
      </c>
      <c r="P468" s="15" t="str">
        <f t="shared" si="11"/>
        <v/>
      </c>
    </row>
    <row r="469" spans="1:16" x14ac:dyDescent="0.25">
      <c r="A469" s="14">
        <v>22</v>
      </c>
      <c r="B469" s="14" t="str">
        <f>IFERROR(IF(SUMIFS(tblDaily[Admissions],tblDaily[EntryDate],DATE(2026,12,22),tblDaily[WardCode],"MAE")=0,"",SUMIFS(tblDaily[Admissions],tblDaily[EntryDate],DATE(2026,12,22),tblDaily[WardCode],"MAE")),"")</f>
        <v/>
      </c>
      <c r="C469" s="14" t="str">
        <f>IFERROR(IF(SUMIFS(tblDaily[Discharges],tblDaily[EntryDate],DATE(2026,12,22),tblDaily[WardCode],"MAE")=0,"",SUMIFS(tblDaily[Discharges],tblDaily[EntryDate],DATE(2026,12,22),tblDaily[WardCode],"MAE")),"")</f>
        <v/>
      </c>
      <c r="D469" s="14" t="str">
        <f>IFERROR(IF(SUMIFS(tblDaily[Deaths],tblDaily[EntryDate],DATE(2026,12,22),tblDaily[WardCode],"MAE")=0,"",SUMIFS(tblDaily[Deaths],tblDaily[EntryDate],DATE(2026,12,22),tblDaily[WardCode],"MAE")),"")</f>
        <v/>
      </c>
      <c r="E469" s="1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14" t="str">
        <f>IFERROR(IF(SUMIFS(tblDaily[TransfersIn],tblDaily[EntryDate],DATE(2026,12,22),tblDaily[WardCode],"MAE")=0,"",SUMIFS(tblDaily[TransfersIn],tblDaily[EntryDate],DATE(2026,12,22),tblDaily[WardCode],"MAE")),"")</f>
        <v/>
      </c>
      <c r="G469" s="14" t="str">
        <f>IFERROR(IF(SUMIFS(tblDaily[TransfersOut],tblDaily[EntryDate],DATE(2026,12,22),tblDaily[WardCode],"MAE")=0,"",SUMIFS(tblDaily[TransfersOut],tblDaily[EntryDate],DATE(2026,12,22),tblDaily[WardCode],"MAE")),"")</f>
        <v/>
      </c>
      <c r="H469" s="14" t="str">
        <f>IFERROR(IF(SUMIFS(tblDaily[Remaining],tblDaily[EntryDate],DATE(2026,12,22),tblDaily[WardCode],"MAE")=0,"",SUMIFS(tblDaily[Remaining],tblDaily[EntryDate],DATE(2026,12,22),tblDaily[WardCode],"MAE")),"")</f>
        <v/>
      </c>
      <c r="I469" s="14" t="str">
        <f>IFERROR(IF(SUMIFS(tblDaily[Admissions],tblDaily[EntryDate],DATE(2026,12,22),tblDaily[WardCode],"FAE")=0,"",SUMIFS(tblDaily[Admissions],tblDaily[EntryDate],DATE(2026,12,22),tblDaily[WardCode],"FAE")),"")</f>
        <v/>
      </c>
      <c r="J469" s="14" t="str">
        <f>IFERROR(IF(SUMIFS(tblDaily[Discharges],tblDaily[EntryDate],DATE(2026,12,22),tblDaily[WardCode],"FAE")=0,"",SUMIFS(tblDaily[Discharges],tblDaily[EntryDate],DATE(2026,12,22),tblDaily[WardCode],"FAE")),"")</f>
        <v/>
      </c>
      <c r="K469" s="14" t="str">
        <f>IFERROR(IF(SUMIFS(tblDaily[Deaths],tblDaily[EntryDate],DATE(2026,12,22),tblDaily[WardCode],"FAE")=0,"",SUMIFS(tblDaily[Deaths],tblDaily[EntryDate],DATE(2026,12,22),tblDaily[WardCode],"FAE")),"")</f>
        <v/>
      </c>
      <c r="L469" s="14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14" t="str">
        <f>IFERROR(IF(SUMIFS(tblDaily[TransfersIn],tblDaily[EntryDate],DATE(2026,12,22),tblDaily[WardCode],"FAE")=0,"",SUMIFS(tblDaily[TransfersIn],tblDaily[EntryDate],DATE(2026,12,22),tblDaily[WardCode],"FAE")),"")</f>
        <v/>
      </c>
      <c r="N469" s="14" t="str">
        <f>IFERROR(IF(SUMIFS(tblDaily[TransfersOut],tblDaily[EntryDate],DATE(2026,12,22),tblDaily[WardCode],"FAE")=0,"",SUMIFS(tblDaily[TransfersOut],tblDaily[EntryDate],DATE(2026,12,22),tblDaily[WardCode],"FAE")),"")</f>
        <v/>
      </c>
      <c r="O469" s="14" t="str">
        <f>IFERROR(IF(SUMIFS(tblDaily[Remaining],tblDaily[EntryDate],DATE(2026,12,22),tblDaily[WardCode],"FAE")=0,"",SUMIFS(tblDaily[Remaining],tblDaily[EntryDate],DATE(2026,12,22),tblDaily[WardCode],"FAE")),"")</f>
        <v/>
      </c>
      <c r="P469" s="15" t="str">
        <f t="shared" si="11"/>
        <v/>
      </c>
    </row>
    <row r="470" spans="1:16" x14ac:dyDescent="0.25">
      <c r="A470" s="14">
        <v>23</v>
      </c>
      <c r="B470" s="14" t="str">
        <f>IFERROR(IF(SUMIFS(tblDaily[Admissions],tblDaily[EntryDate],DATE(2026,12,23),tblDaily[WardCode],"MAE")=0,"",SUMIFS(tblDaily[Admissions],tblDaily[EntryDate],DATE(2026,12,23),tblDaily[WardCode],"MAE")),"")</f>
        <v/>
      </c>
      <c r="C470" s="14" t="str">
        <f>IFERROR(IF(SUMIFS(tblDaily[Discharges],tblDaily[EntryDate],DATE(2026,12,23),tblDaily[WardCode],"MAE")=0,"",SUMIFS(tblDaily[Discharges],tblDaily[EntryDate],DATE(2026,12,23),tblDaily[WardCode],"MAE")),"")</f>
        <v/>
      </c>
      <c r="D470" s="14" t="str">
        <f>IFERROR(IF(SUMIFS(tblDaily[Deaths],tblDaily[EntryDate],DATE(2026,12,23),tblDaily[WardCode],"MAE")=0,"",SUMIFS(tblDaily[Deaths],tblDaily[EntryDate],DATE(2026,12,23),tblDaily[WardCode],"MAE")),"")</f>
        <v/>
      </c>
      <c r="E470" s="1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14" t="str">
        <f>IFERROR(IF(SUMIFS(tblDaily[TransfersIn],tblDaily[EntryDate],DATE(2026,12,23),tblDaily[WardCode],"MAE")=0,"",SUMIFS(tblDaily[TransfersIn],tblDaily[EntryDate],DATE(2026,12,23),tblDaily[WardCode],"MAE")),"")</f>
        <v/>
      </c>
      <c r="G470" s="14" t="str">
        <f>IFERROR(IF(SUMIFS(tblDaily[TransfersOut],tblDaily[EntryDate],DATE(2026,12,23),tblDaily[WardCode],"MAE")=0,"",SUMIFS(tblDaily[TransfersOut],tblDaily[EntryDate],DATE(2026,12,23),tblDaily[WardCode],"MAE")),"")</f>
        <v/>
      </c>
      <c r="H470" s="14" t="str">
        <f>IFERROR(IF(SUMIFS(tblDaily[Remaining],tblDaily[EntryDate],DATE(2026,12,23),tblDaily[WardCode],"MAE")=0,"",SUMIFS(tblDaily[Remaining],tblDaily[EntryDate],DATE(2026,12,23),tblDaily[WardCode],"MAE")),"")</f>
        <v/>
      </c>
      <c r="I470" s="14" t="str">
        <f>IFERROR(IF(SUMIFS(tblDaily[Admissions],tblDaily[EntryDate],DATE(2026,12,23),tblDaily[WardCode],"FAE")=0,"",SUMIFS(tblDaily[Admissions],tblDaily[EntryDate],DATE(2026,12,23),tblDaily[WardCode],"FAE")),"")</f>
        <v/>
      </c>
      <c r="J470" s="14" t="str">
        <f>IFERROR(IF(SUMIFS(tblDaily[Discharges],tblDaily[EntryDate],DATE(2026,12,23),tblDaily[WardCode],"FAE")=0,"",SUMIFS(tblDaily[Discharges],tblDaily[EntryDate],DATE(2026,12,23),tblDaily[WardCode],"FAE")),"")</f>
        <v/>
      </c>
      <c r="K470" s="14" t="str">
        <f>IFERROR(IF(SUMIFS(tblDaily[Deaths],tblDaily[EntryDate],DATE(2026,12,23),tblDaily[WardCode],"FAE")=0,"",SUMIFS(tblDaily[Deaths],tblDaily[EntryDate],DATE(2026,12,23),tblDaily[WardCode],"FAE")),"")</f>
        <v/>
      </c>
      <c r="L470" s="14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14" t="str">
        <f>IFERROR(IF(SUMIFS(tblDaily[TransfersIn],tblDaily[EntryDate],DATE(2026,12,23),tblDaily[WardCode],"FAE")=0,"",SUMIFS(tblDaily[TransfersIn],tblDaily[EntryDate],DATE(2026,12,23),tblDaily[WardCode],"FAE")),"")</f>
        <v/>
      </c>
      <c r="N470" s="14" t="str">
        <f>IFERROR(IF(SUMIFS(tblDaily[TransfersOut],tblDaily[EntryDate],DATE(2026,12,23),tblDaily[WardCode],"FAE")=0,"",SUMIFS(tblDaily[TransfersOut],tblDaily[EntryDate],DATE(2026,12,23),tblDaily[WardCode],"FAE")),"")</f>
        <v/>
      </c>
      <c r="O470" s="14" t="str">
        <f>IFERROR(IF(SUMIFS(tblDaily[Remaining],tblDaily[EntryDate],DATE(2026,12,23),tblDaily[WardCode],"FAE")=0,"",SUMIFS(tblDaily[Remaining],tblDaily[EntryDate],DATE(2026,12,23),tblDaily[WardCode],"FAE")),"")</f>
        <v/>
      </c>
      <c r="P470" s="15" t="str">
        <f t="shared" si="11"/>
        <v/>
      </c>
    </row>
    <row r="471" spans="1:16" x14ac:dyDescent="0.25">
      <c r="A471" s="14">
        <v>24</v>
      </c>
      <c r="B471" s="14" t="str">
        <f>IFERROR(IF(SUMIFS(tblDaily[Admissions],tblDaily[EntryDate],DATE(2026,12,24),tblDaily[WardCode],"MAE")=0,"",SUMIFS(tblDaily[Admissions],tblDaily[EntryDate],DATE(2026,12,24),tblDaily[WardCode],"MAE")),"")</f>
        <v/>
      </c>
      <c r="C471" s="14" t="str">
        <f>IFERROR(IF(SUMIFS(tblDaily[Discharges],tblDaily[EntryDate],DATE(2026,12,24),tblDaily[WardCode],"MAE")=0,"",SUMIFS(tblDaily[Discharges],tblDaily[EntryDate],DATE(2026,12,24),tblDaily[WardCode],"MAE")),"")</f>
        <v/>
      </c>
      <c r="D471" s="14" t="str">
        <f>IFERROR(IF(SUMIFS(tblDaily[Deaths],tblDaily[EntryDate],DATE(2026,12,24),tblDaily[WardCode],"MAE")=0,"",SUMIFS(tblDaily[Deaths],tblDaily[EntryDate],DATE(2026,12,24),tblDaily[WardCode],"MAE")),"")</f>
        <v/>
      </c>
      <c r="E471" s="1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14" t="str">
        <f>IFERROR(IF(SUMIFS(tblDaily[TransfersIn],tblDaily[EntryDate],DATE(2026,12,24),tblDaily[WardCode],"MAE")=0,"",SUMIFS(tblDaily[TransfersIn],tblDaily[EntryDate],DATE(2026,12,24),tblDaily[WardCode],"MAE")),"")</f>
        <v/>
      </c>
      <c r="G471" s="14" t="str">
        <f>IFERROR(IF(SUMIFS(tblDaily[TransfersOut],tblDaily[EntryDate],DATE(2026,12,24),tblDaily[WardCode],"MAE")=0,"",SUMIFS(tblDaily[TransfersOut],tblDaily[EntryDate],DATE(2026,12,24),tblDaily[WardCode],"MAE")),"")</f>
        <v/>
      </c>
      <c r="H471" s="14" t="str">
        <f>IFERROR(IF(SUMIFS(tblDaily[Remaining],tblDaily[EntryDate],DATE(2026,12,24),tblDaily[WardCode],"MAE")=0,"",SUMIFS(tblDaily[Remaining],tblDaily[EntryDate],DATE(2026,12,24),tblDaily[WardCode],"MAE")),"")</f>
        <v/>
      </c>
      <c r="I471" s="14" t="str">
        <f>IFERROR(IF(SUMIFS(tblDaily[Admissions],tblDaily[EntryDate],DATE(2026,12,24),tblDaily[WardCode],"FAE")=0,"",SUMIFS(tblDaily[Admissions],tblDaily[EntryDate],DATE(2026,12,24),tblDaily[WardCode],"FAE")),"")</f>
        <v/>
      </c>
      <c r="J471" s="14" t="str">
        <f>IFERROR(IF(SUMIFS(tblDaily[Discharges],tblDaily[EntryDate],DATE(2026,12,24),tblDaily[WardCode],"FAE")=0,"",SUMIFS(tblDaily[Discharges],tblDaily[EntryDate],DATE(2026,12,24),tblDaily[WardCode],"FAE")),"")</f>
        <v/>
      </c>
      <c r="K471" s="14" t="str">
        <f>IFERROR(IF(SUMIFS(tblDaily[Deaths],tblDaily[EntryDate],DATE(2026,12,24),tblDaily[WardCode],"FAE")=0,"",SUMIFS(tblDaily[Deaths],tblDaily[EntryDate],DATE(2026,12,24),tblDaily[WardCode],"FAE")),"")</f>
        <v/>
      </c>
      <c r="L471" s="14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14" t="str">
        <f>IFERROR(IF(SUMIFS(tblDaily[TransfersIn],tblDaily[EntryDate],DATE(2026,12,24),tblDaily[WardCode],"FAE")=0,"",SUMIFS(tblDaily[TransfersIn],tblDaily[EntryDate],DATE(2026,12,24),tblDaily[WardCode],"FAE")),"")</f>
        <v/>
      </c>
      <c r="N471" s="14" t="str">
        <f>IFERROR(IF(SUMIFS(tblDaily[TransfersOut],tblDaily[EntryDate],DATE(2026,12,24),tblDaily[WardCode],"FAE")=0,"",SUMIFS(tblDaily[TransfersOut],tblDaily[EntryDate],DATE(2026,12,24),tblDaily[WardCode],"FAE")),"")</f>
        <v/>
      </c>
      <c r="O471" s="14" t="str">
        <f>IFERROR(IF(SUMIFS(tblDaily[Remaining],tblDaily[EntryDate],DATE(2026,12,24),tblDaily[WardCode],"FAE")=0,"",SUMIFS(tblDaily[Remaining],tblDaily[EntryDate],DATE(2026,12,24),tblDaily[WardCode],"FAE")),"")</f>
        <v/>
      </c>
      <c r="P471" s="15" t="str">
        <f t="shared" si="11"/>
        <v/>
      </c>
    </row>
    <row r="472" spans="1:16" x14ac:dyDescent="0.25">
      <c r="A472" s="14">
        <v>25</v>
      </c>
      <c r="B472" s="14" t="str">
        <f>IFERROR(IF(SUMIFS(tblDaily[Admissions],tblDaily[EntryDate],DATE(2026,12,25),tblDaily[WardCode],"MAE")=0,"",SUMIFS(tblDaily[Admissions],tblDaily[EntryDate],DATE(2026,12,25),tblDaily[WardCode],"MAE")),"")</f>
        <v/>
      </c>
      <c r="C472" s="14" t="str">
        <f>IFERROR(IF(SUMIFS(tblDaily[Discharges],tblDaily[EntryDate],DATE(2026,12,25),tblDaily[WardCode],"MAE")=0,"",SUMIFS(tblDaily[Discharges],tblDaily[EntryDate],DATE(2026,12,25),tblDaily[WardCode],"MAE")),"")</f>
        <v/>
      </c>
      <c r="D472" s="14" t="str">
        <f>IFERROR(IF(SUMIFS(tblDaily[Deaths],tblDaily[EntryDate],DATE(2026,12,25),tblDaily[WardCode],"MAE")=0,"",SUMIFS(tblDaily[Deaths],tblDaily[EntryDate],DATE(2026,12,25),tblDaily[WardCode],"MAE")),"")</f>
        <v/>
      </c>
      <c r="E472" s="1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14" t="str">
        <f>IFERROR(IF(SUMIFS(tblDaily[TransfersIn],tblDaily[EntryDate],DATE(2026,12,25),tblDaily[WardCode],"MAE")=0,"",SUMIFS(tblDaily[TransfersIn],tblDaily[EntryDate],DATE(2026,12,25),tblDaily[WardCode],"MAE")),"")</f>
        <v/>
      </c>
      <c r="G472" s="14" t="str">
        <f>IFERROR(IF(SUMIFS(tblDaily[TransfersOut],tblDaily[EntryDate],DATE(2026,12,25),tblDaily[WardCode],"MAE")=0,"",SUMIFS(tblDaily[TransfersOut],tblDaily[EntryDate],DATE(2026,12,25),tblDaily[WardCode],"MAE")),"")</f>
        <v/>
      </c>
      <c r="H472" s="14" t="str">
        <f>IFERROR(IF(SUMIFS(tblDaily[Remaining],tblDaily[EntryDate],DATE(2026,12,25),tblDaily[WardCode],"MAE")=0,"",SUMIFS(tblDaily[Remaining],tblDaily[EntryDate],DATE(2026,12,25),tblDaily[WardCode],"MAE")),"")</f>
        <v/>
      </c>
      <c r="I472" s="14" t="str">
        <f>IFERROR(IF(SUMIFS(tblDaily[Admissions],tblDaily[EntryDate],DATE(2026,12,25),tblDaily[WardCode],"FAE")=0,"",SUMIFS(tblDaily[Admissions],tblDaily[EntryDate],DATE(2026,12,25),tblDaily[WardCode],"FAE")),"")</f>
        <v/>
      </c>
      <c r="J472" s="14" t="str">
        <f>IFERROR(IF(SUMIFS(tblDaily[Discharges],tblDaily[EntryDate],DATE(2026,12,25),tblDaily[WardCode],"FAE")=0,"",SUMIFS(tblDaily[Discharges],tblDaily[EntryDate],DATE(2026,12,25),tblDaily[WardCode],"FAE")),"")</f>
        <v/>
      </c>
      <c r="K472" s="14" t="str">
        <f>IFERROR(IF(SUMIFS(tblDaily[Deaths],tblDaily[EntryDate],DATE(2026,12,25),tblDaily[WardCode],"FAE")=0,"",SUMIFS(tblDaily[Deaths],tblDaily[EntryDate],DATE(2026,12,25),tblDaily[WardCode],"FAE")),"")</f>
        <v/>
      </c>
      <c r="L472" s="14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14" t="str">
        <f>IFERROR(IF(SUMIFS(tblDaily[TransfersIn],tblDaily[EntryDate],DATE(2026,12,25),tblDaily[WardCode],"FAE")=0,"",SUMIFS(tblDaily[TransfersIn],tblDaily[EntryDate],DATE(2026,12,25),tblDaily[WardCode],"FAE")),"")</f>
        <v/>
      </c>
      <c r="N472" s="14" t="str">
        <f>IFERROR(IF(SUMIFS(tblDaily[TransfersOut],tblDaily[EntryDate],DATE(2026,12,25),tblDaily[WardCode],"FAE")=0,"",SUMIFS(tblDaily[TransfersOut],tblDaily[EntryDate],DATE(2026,12,25),tblDaily[WardCode],"FAE")),"")</f>
        <v/>
      </c>
      <c r="O472" s="14" t="str">
        <f>IFERROR(IF(SUMIFS(tblDaily[Remaining],tblDaily[EntryDate],DATE(2026,12,25),tblDaily[WardCode],"FAE")=0,"",SUMIFS(tblDaily[Remaining],tblDaily[EntryDate],DATE(2026,12,25),tblDaily[WardCode],"FAE")),"")</f>
        <v/>
      </c>
      <c r="P472" s="15" t="str">
        <f t="shared" si="11"/>
        <v/>
      </c>
    </row>
    <row r="473" spans="1:16" x14ac:dyDescent="0.25">
      <c r="A473" s="14">
        <v>26</v>
      </c>
      <c r="B473" s="14" t="str">
        <f>IFERROR(IF(SUMIFS(tblDaily[Admissions],tblDaily[EntryDate],DATE(2026,12,26),tblDaily[WardCode],"MAE")=0,"",SUMIFS(tblDaily[Admissions],tblDaily[EntryDate],DATE(2026,12,26),tblDaily[WardCode],"MAE")),"")</f>
        <v/>
      </c>
      <c r="C473" s="14" t="str">
        <f>IFERROR(IF(SUMIFS(tblDaily[Discharges],tblDaily[EntryDate],DATE(2026,12,26),tblDaily[WardCode],"MAE")=0,"",SUMIFS(tblDaily[Discharges],tblDaily[EntryDate],DATE(2026,12,26),tblDaily[WardCode],"MAE")),"")</f>
        <v/>
      </c>
      <c r="D473" s="14" t="str">
        <f>IFERROR(IF(SUMIFS(tblDaily[Deaths],tblDaily[EntryDate],DATE(2026,12,26),tblDaily[WardCode],"MAE")=0,"",SUMIFS(tblDaily[Deaths],tblDaily[EntryDate],DATE(2026,12,26),tblDaily[WardCode],"MAE")),"")</f>
        <v/>
      </c>
      <c r="E473" s="1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14" t="str">
        <f>IFERROR(IF(SUMIFS(tblDaily[TransfersIn],tblDaily[EntryDate],DATE(2026,12,26),tblDaily[WardCode],"MAE")=0,"",SUMIFS(tblDaily[TransfersIn],tblDaily[EntryDate],DATE(2026,12,26),tblDaily[WardCode],"MAE")),"")</f>
        <v/>
      </c>
      <c r="G473" s="14" t="str">
        <f>IFERROR(IF(SUMIFS(tblDaily[TransfersOut],tblDaily[EntryDate],DATE(2026,12,26),tblDaily[WardCode],"MAE")=0,"",SUMIFS(tblDaily[TransfersOut],tblDaily[EntryDate],DATE(2026,12,26),tblDaily[WardCode],"MAE")),"")</f>
        <v/>
      </c>
      <c r="H473" s="14" t="str">
        <f>IFERROR(IF(SUMIFS(tblDaily[Remaining],tblDaily[EntryDate],DATE(2026,12,26),tblDaily[WardCode],"MAE")=0,"",SUMIFS(tblDaily[Remaining],tblDaily[EntryDate],DATE(2026,12,26),tblDaily[WardCode],"MAE")),"")</f>
        <v/>
      </c>
      <c r="I473" s="14" t="str">
        <f>IFERROR(IF(SUMIFS(tblDaily[Admissions],tblDaily[EntryDate],DATE(2026,12,26),tblDaily[WardCode],"FAE")=0,"",SUMIFS(tblDaily[Admissions],tblDaily[EntryDate],DATE(2026,12,26),tblDaily[WardCode],"FAE")),"")</f>
        <v/>
      </c>
      <c r="J473" s="14" t="str">
        <f>IFERROR(IF(SUMIFS(tblDaily[Discharges],tblDaily[EntryDate],DATE(2026,12,26),tblDaily[WardCode],"FAE")=0,"",SUMIFS(tblDaily[Discharges],tblDaily[EntryDate],DATE(2026,12,26),tblDaily[WardCode],"FAE")),"")</f>
        <v/>
      </c>
      <c r="K473" s="14" t="str">
        <f>IFERROR(IF(SUMIFS(tblDaily[Deaths],tblDaily[EntryDate],DATE(2026,12,26),tblDaily[WardCode],"FAE")=0,"",SUMIFS(tblDaily[Deaths],tblDaily[EntryDate],DATE(2026,12,26),tblDaily[WardCode],"FAE")),"")</f>
        <v/>
      </c>
      <c r="L473" s="14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14" t="str">
        <f>IFERROR(IF(SUMIFS(tblDaily[TransfersIn],tblDaily[EntryDate],DATE(2026,12,26),tblDaily[WardCode],"FAE")=0,"",SUMIFS(tblDaily[TransfersIn],tblDaily[EntryDate],DATE(2026,12,26),tblDaily[WardCode],"FAE")),"")</f>
        <v/>
      </c>
      <c r="N473" s="14" t="str">
        <f>IFERROR(IF(SUMIFS(tblDaily[TransfersOut],tblDaily[EntryDate],DATE(2026,12,26),tblDaily[WardCode],"FAE")=0,"",SUMIFS(tblDaily[TransfersOut],tblDaily[EntryDate],DATE(2026,12,26),tblDaily[WardCode],"FAE")),"")</f>
        <v/>
      </c>
      <c r="O473" s="14" t="str">
        <f>IFERROR(IF(SUMIFS(tblDaily[Remaining],tblDaily[EntryDate],DATE(2026,12,26),tblDaily[WardCode],"FAE")=0,"",SUMIFS(tblDaily[Remaining],tblDaily[EntryDate],DATE(2026,12,26),tblDaily[WardCode],"FAE")),"")</f>
        <v/>
      </c>
      <c r="P473" s="15" t="str">
        <f t="shared" si="11"/>
        <v/>
      </c>
    </row>
    <row r="474" spans="1:16" x14ac:dyDescent="0.25">
      <c r="A474" s="14">
        <v>27</v>
      </c>
      <c r="B474" s="14" t="str">
        <f>IFERROR(IF(SUMIFS(tblDaily[Admissions],tblDaily[EntryDate],DATE(2026,12,27),tblDaily[WardCode],"MAE")=0,"",SUMIFS(tblDaily[Admissions],tblDaily[EntryDate],DATE(2026,12,27),tblDaily[WardCode],"MAE")),"")</f>
        <v/>
      </c>
      <c r="C474" s="14" t="str">
        <f>IFERROR(IF(SUMIFS(tblDaily[Discharges],tblDaily[EntryDate],DATE(2026,12,27),tblDaily[WardCode],"MAE")=0,"",SUMIFS(tblDaily[Discharges],tblDaily[EntryDate],DATE(2026,12,27),tblDaily[WardCode],"MAE")),"")</f>
        <v/>
      </c>
      <c r="D474" s="14" t="str">
        <f>IFERROR(IF(SUMIFS(tblDaily[Deaths],tblDaily[EntryDate],DATE(2026,12,27),tblDaily[WardCode],"MAE")=0,"",SUMIFS(tblDaily[Deaths],tblDaily[EntryDate],DATE(2026,12,27),tblDaily[WardCode],"MAE")),"")</f>
        <v/>
      </c>
      <c r="E474" s="1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14" t="str">
        <f>IFERROR(IF(SUMIFS(tblDaily[TransfersIn],tblDaily[EntryDate],DATE(2026,12,27),tblDaily[WardCode],"MAE")=0,"",SUMIFS(tblDaily[TransfersIn],tblDaily[EntryDate],DATE(2026,12,27),tblDaily[WardCode],"MAE")),"")</f>
        <v/>
      </c>
      <c r="G474" s="14" t="str">
        <f>IFERROR(IF(SUMIFS(tblDaily[TransfersOut],tblDaily[EntryDate],DATE(2026,12,27),tblDaily[WardCode],"MAE")=0,"",SUMIFS(tblDaily[TransfersOut],tblDaily[EntryDate],DATE(2026,12,27),tblDaily[WardCode],"MAE")),"")</f>
        <v/>
      </c>
      <c r="H474" s="14" t="str">
        <f>IFERROR(IF(SUMIFS(tblDaily[Remaining],tblDaily[EntryDate],DATE(2026,12,27),tblDaily[WardCode],"MAE")=0,"",SUMIFS(tblDaily[Remaining],tblDaily[EntryDate],DATE(2026,12,27),tblDaily[WardCode],"MAE")),"")</f>
        <v/>
      </c>
      <c r="I474" s="14" t="str">
        <f>IFERROR(IF(SUMIFS(tblDaily[Admissions],tblDaily[EntryDate],DATE(2026,12,27),tblDaily[WardCode],"FAE")=0,"",SUMIFS(tblDaily[Admissions],tblDaily[EntryDate],DATE(2026,12,27),tblDaily[WardCode],"FAE")),"")</f>
        <v/>
      </c>
      <c r="J474" s="14" t="str">
        <f>IFERROR(IF(SUMIFS(tblDaily[Discharges],tblDaily[EntryDate],DATE(2026,12,27),tblDaily[WardCode],"FAE")=0,"",SUMIFS(tblDaily[Discharges],tblDaily[EntryDate],DATE(2026,12,27),tblDaily[WardCode],"FAE")),"")</f>
        <v/>
      </c>
      <c r="K474" s="14" t="str">
        <f>IFERROR(IF(SUMIFS(tblDaily[Deaths],tblDaily[EntryDate],DATE(2026,12,27),tblDaily[WardCode],"FAE")=0,"",SUMIFS(tblDaily[Deaths],tblDaily[EntryDate],DATE(2026,12,27),tblDaily[WardCode],"FAE")),"")</f>
        <v/>
      </c>
      <c r="L474" s="14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14" t="str">
        <f>IFERROR(IF(SUMIFS(tblDaily[TransfersIn],tblDaily[EntryDate],DATE(2026,12,27),tblDaily[WardCode],"FAE")=0,"",SUMIFS(tblDaily[TransfersIn],tblDaily[EntryDate],DATE(2026,12,27),tblDaily[WardCode],"FAE")),"")</f>
        <v/>
      </c>
      <c r="N474" s="14" t="str">
        <f>IFERROR(IF(SUMIFS(tblDaily[TransfersOut],tblDaily[EntryDate],DATE(2026,12,27),tblDaily[WardCode],"FAE")=0,"",SUMIFS(tblDaily[TransfersOut],tblDaily[EntryDate],DATE(2026,12,27),tblDaily[WardCode],"FAE")),"")</f>
        <v/>
      </c>
      <c r="O474" s="14" t="str">
        <f>IFERROR(IF(SUMIFS(tblDaily[Remaining],tblDaily[EntryDate],DATE(2026,12,27),tblDaily[WardCode],"FAE")=0,"",SUMIFS(tblDaily[Remaining],tblDaily[EntryDate],DATE(2026,12,27),tblDaily[WardCode],"FAE")),"")</f>
        <v/>
      </c>
      <c r="P474" s="15" t="str">
        <f t="shared" si="11"/>
        <v/>
      </c>
    </row>
    <row r="475" spans="1:16" x14ac:dyDescent="0.25">
      <c r="A475" s="14">
        <v>28</v>
      </c>
      <c r="B475" s="14" t="str">
        <f>IFERROR(IF(SUMIFS(tblDaily[Admissions],tblDaily[EntryDate],DATE(2026,12,28),tblDaily[WardCode],"MAE")=0,"",SUMIFS(tblDaily[Admissions],tblDaily[EntryDate],DATE(2026,12,28),tblDaily[WardCode],"MAE")),"")</f>
        <v/>
      </c>
      <c r="C475" s="14" t="str">
        <f>IFERROR(IF(SUMIFS(tblDaily[Discharges],tblDaily[EntryDate],DATE(2026,12,28),tblDaily[WardCode],"MAE")=0,"",SUMIFS(tblDaily[Discharges],tblDaily[EntryDate],DATE(2026,12,28),tblDaily[WardCode],"MAE")),"")</f>
        <v/>
      </c>
      <c r="D475" s="14" t="str">
        <f>IFERROR(IF(SUMIFS(tblDaily[Deaths],tblDaily[EntryDate],DATE(2026,12,28),tblDaily[WardCode],"MAE")=0,"",SUMIFS(tblDaily[Deaths],tblDaily[EntryDate],DATE(2026,12,28),tblDaily[WardCode],"MAE")),"")</f>
        <v/>
      </c>
      <c r="E475" s="1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14" t="str">
        <f>IFERROR(IF(SUMIFS(tblDaily[TransfersIn],tblDaily[EntryDate],DATE(2026,12,28),tblDaily[WardCode],"MAE")=0,"",SUMIFS(tblDaily[TransfersIn],tblDaily[EntryDate],DATE(2026,12,28),tblDaily[WardCode],"MAE")),"")</f>
        <v/>
      </c>
      <c r="G475" s="14" t="str">
        <f>IFERROR(IF(SUMIFS(tblDaily[TransfersOut],tblDaily[EntryDate],DATE(2026,12,28),tblDaily[WardCode],"MAE")=0,"",SUMIFS(tblDaily[TransfersOut],tblDaily[EntryDate],DATE(2026,12,28),tblDaily[WardCode],"MAE")),"")</f>
        <v/>
      </c>
      <c r="H475" s="14" t="str">
        <f>IFERROR(IF(SUMIFS(tblDaily[Remaining],tblDaily[EntryDate],DATE(2026,12,28),tblDaily[WardCode],"MAE")=0,"",SUMIFS(tblDaily[Remaining],tblDaily[EntryDate],DATE(2026,12,28),tblDaily[WardCode],"MAE")),"")</f>
        <v/>
      </c>
      <c r="I475" s="14" t="str">
        <f>IFERROR(IF(SUMIFS(tblDaily[Admissions],tblDaily[EntryDate],DATE(2026,12,28),tblDaily[WardCode],"FAE")=0,"",SUMIFS(tblDaily[Admissions],tblDaily[EntryDate],DATE(2026,12,28),tblDaily[WardCode],"FAE")),"")</f>
        <v/>
      </c>
      <c r="J475" s="14" t="str">
        <f>IFERROR(IF(SUMIFS(tblDaily[Discharges],tblDaily[EntryDate],DATE(2026,12,28),tblDaily[WardCode],"FAE")=0,"",SUMIFS(tblDaily[Discharges],tblDaily[EntryDate],DATE(2026,12,28),tblDaily[WardCode],"FAE")),"")</f>
        <v/>
      </c>
      <c r="K475" s="14" t="str">
        <f>IFERROR(IF(SUMIFS(tblDaily[Deaths],tblDaily[EntryDate],DATE(2026,12,28),tblDaily[WardCode],"FAE")=0,"",SUMIFS(tblDaily[Deaths],tblDaily[EntryDate],DATE(2026,12,28),tblDaily[WardCode],"FAE")),"")</f>
        <v/>
      </c>
      <c r="L475" s="14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14" t="str">
        <f>IFERROR(IF(SUMIFS(tblDaily[TransfersIn],tblDaily[EntryDate],DATE(2026,12,28),tblDaily[WardCode],"FAE")=0,"",SUMIFS(tblDaily[TransfersIn],tblDaily[EntryDate],DATE(2026,12,28),tblDaily[WardCode],"FAE")),"")</f>
        <v/>
      </c>
      <c r="N475" s="14" t="str">
        <f>IFERROR(IF(SUMIFS(tblDaily[TransfersOut],tblDaily[EntryDate],DATE(2026,12,28),tblDaily[WardCode],"FAE")=0,"",SUMIFS(tblDaily[TransfersOut],tblDaily[EntryDate],DATE(2026,12,28),tblDaily[WardCode],"FAE")),"")</f>
        <v/>
      </c>
      <c r="O475" s="14" t="str">
        <f>IFERROR(IF(SUMIFS(tblDaily[Remaining],tblDaily[EntryDate],DATE(2026,12,28),tblDaily[WardCode],"FAE")=0,"",SUMIFS(tblDaily[Remaining],tblDaily[EntryDate],DATE(2026,12,28),tblDaily[WardCode],"FAE")),"")</f>
        <v/>
      </c>
      <c r="P475" s="15" t="str">
        <f t="shared" si="11"/>
        <v/>
      </c>
    </row>
    <row r="476" spans="1:16" x14ac:dyDescent="0.25">
      <c r="A476" s="14">
        <v>29</v>
      </c>
      <c r="B476" s="14" t="str">
        <f>IFERROR(IF(SUMIFS(tblDaily[Admissions],tblDaily[EntryDate],DATE(2026,12,29),tblDaily[WardCode],"MAE")=0,"",SUMIFS(tblDaily[Admissions],tblDaily[EntryDate],DATE(2026,12,29),tblDaily[WardCode],"MAE")),"")</f>
        <v/>
      </c>
      <c r="C476" s="14" t="str">
        <f>IFERROR(IF(SUMIFS(tblDaily[Discharges],tblDaily[EntryDate],DATE(2026,12,29),tblDaily[WardCode],"MAE")=0,"",SUMIFS(tblDaily[Discharges],tblDaily[EntryDate],DATE(2026,12,29),tblDaily[WardCode],"MAE")),"")</f>
        <v/>
      </c>
      <c r="D476" s="14" t="str">
        <f>IFERROR(IF(SUMIFS(tblDaily[Deaths],tblDaily[EntryDate],DATE(2026,12,29),tblDaily[WardCode],"MAE")=0,"",SUMIFS(tblDaily[Deaths],tblDaily[EntryDate],DATE(2026,12,29),tblDaily[WardCode],"MAE")),"")</f>
        <v/>
      </c>
      <c r="E476" s="1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14" t="str">
        <f>IFERROR(IF(SUMIFS(tblDaily[TransfersIn],tblDaily[EntryDate],DATE(2026,12,29),tblDaily[WardCode],"MAE")=0,"",SUMIFS(tblDaily[TransfersIn],tblDaily[EntryDate],DATE(2026,12,29),tblDaily[WardCode],"MAE")),"")</f>
        <v/>
      </c>
      <c r="G476" s="14" t="str">
        <f>IFERROR(IF(SUMIFS(tblDaily[TransfersOut],tblDaily[EntryDate],DATE(2026,12,29),tblDaily[WardCode],"MAE")=0,"",SUMIFS(tblDaily[TransfersOut],tblDaily[EntryDate],DATE(2026,12,29),tblDaily[WardCode],"MAE")),"")</f>
        <v/>
      </c>
      <c r="H476" s="14" t="str">
        <f>IFERROR(IF(SUMIFS(tblDaily[Remaining],tblDaily[EntryDate],DATE(2026,12,29),tblDaily[WardCode],"MAE")=0,"",SUMIFS(tblDaily[Remaining],tblDaily[EntryDate],DATE(2026,12,29),tblDaily[WardCode],"MAE")),"")</f>
        <v/>
      </c>
      <c r="I476" s="14" t="str">
        <f>IFERROR(IF(SUMIFS(tblDaily[Admissions],tblDaily[EntryDate],DATE(2026,12,29),tblDaily[WardCode],"FAE")=0,"",SUMIFS(tblDaily[Admissions],tblDaily[EntryDate],DATE(2026,12,29),tblDaily[WardCode],"FAE")),"")</f>
        <v/>
      </c>
      <c r="J476" s="14" t="str">
        <f>IFERROR(IF(SUMIFS(tblDaily[Discharges],tblDaily[EntryDate],DATE(2026,12,29),tblDaily[WardCode],"FAE")=0,"",SUMIFS(tblDaily[Discharges],tblDaily[EntryDate],DATE(2026,12,29),tblDaily[WardCode],"FAE")),"")</f>
        <v/>
      </c>
      <c r="K476" s="14" t="str">
        <f>IFERROR(IF(SUMIFS(tblDaily[Deaths],tblDaily[EntryDate],DATE(2026,12,29),tblDaily[WardCode],"FAE")=0,"",SUMIFS(tblDaily[Deaths],tblDaily[EntryDate],DATE(2026,12,29),tblDaily[WardCode],"FAE")),"")</f>
        <v/>
      </c>
      <c r="L476" s="14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14" t="str">
        <f>IFERROR(IF(SUMIFS(tblDaily[TransfersIn],tblDaily[EntryDate],DATE(2026,12,29),tblDaily[WardCode],"FAE")=0,"",SUMIFS(tblDaily[TransfersIn],tblDaily[EntryDate],DATE(2026,12,29),tblDaily[WardCode],"FAE")),"")</f>
        <v/>
      </c>
      <c r="N476" s="14" t="str">
        <f>IFERROR(IF(SUMIFS(tblDaily[TransfersOut],tblDaily[EntryDate],DATE(2026,12,29),tblDaily[WardCode],"FAE")=0,"",SUMIFS(tblDaily[TransfersOut],tblDaily[EntryDate],DATE(2026,12,29),tblDaily[WardCode],"FAE")),"")</f>
        <v/>
      </c>
      <c r="O476" s="14" t="str">
        <f>IFERROR(IF(SUMIFS(tblDaily[Remaining],tblDaily[EntryDate],DATE(2026,12,29),tblDaily[WardCode],"FAE")=0,"",SUMIFS(tblDaily[Remaining],tblDaily[EntryDate],DATE(2026,12,29),tblDaily[WardCode],"FAE")),"")</f>
        <v/>
      </c>
      <c r="P476" s="15" t="str">
        <f t="shared" si="11"/>
        <v/>
      </c>
    </row>
    <row r="477" spans="1:16" x14ac:dyDescent="0.25">
      <c r="A477" s="14">
        <v>30</v>
      </c>
      <c r="B477" s="14" t="str">
        <f>IFERROR(IF(SUMIFS(tblDaily[Admissions],tblDaily[EntryDate],DATE(2026,12,30),tblDaily[WardCode],"MAE")=0,"",SUMIFS(tblDaily[Admissions],tblDaily[EntryDate],DATE(2026,12,30),tblDaily[WardCode],"MAE")),"")</f>
        <v/>
      </c>
      <c r="C477" s="14" t="str">
        <f>IFERROR(IF(SUMIFS(tblDaily[Discharges],tblDaily[EntryDate],DATE(2026,12,30),tblDaily[WardCode],"MAE")=0,"",SUMIFS(tblDaily[Discharges],tblDaily[EntryDate],DATE(2026,12,30),tblDaily[WardCode],"MAE")),"")</f>
        <v/>
      </c>
      <c r="D477" s="14" t="str">
        <f>IFERROR(IF(SUMIFS(tblDaily[Deaths],tblDaily[EntryDate],DATE(2026,12,30),tblDaily[WardCode],"MAE")=0,"",SUMIFS(tblDaily[Deaths],tblDaily[EntryDate],DATE(2026,12,30),tblDaily[WardCode],"MAE")),"")</f>
        <v/>
      </c>
      <c r="E477" s="1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14" t="str">
        <f>IFERROR(IF(SUMIFS(tblDaily[TransfersIn],tblDaily[EntryDate],DATE(2026,12,30),tblDaily[WardCode],"MAE")=0,"",SUMIFS(tblDaily[TransfersIn],tblDaily[EntryDate],DATE(2026,12,30),tblDaily[WardCode],"MAE")),"")</f>
        <v/>
      </c>
      <c r="G477" s="14" t="str">
        <f>IFERROR(IF(SUMIFS(tblDaily[TransfersOut],tblDaily[EntryDate],DATE(2026,12,30),tblDaily[WardCode],"MAE")=0,"",SUMIFS(tblDaily[TransfersOut],tblDaily[EntryDate],DATE(2026,12,30),tblDaily[WardCode],"MAE")),"")</f>
        <v/>
      </c>
      <c r="H477" s="14" t="str">
        <f>IFERROR(IF(SUMIFS(tblDaily[Remaining],tblDaily[EntryDate],DATE(2026,12,30),tblDaily[WardCode],"MAE")=0,"",SUMIFS(tblDaily[Remaining],tblDaily[EntryDate],DATE(2026,12,30),tblDaily[WardCode],"MAE")),"")</f>
        <v/>
      </c>
      <c r="I477" s="14" t="str">
        <f>IFERROR(IF(SUMIFS(tblDaily[Admissions],tblDaily[EntryDate],DATE(2026,12,30),tblDaily[WardCode],"FAE")=0,"",SUMIFS(tblDaily[Admissions],tblDaily[EntryDate],DATE(2026,12,30),tblDaily[WardCode],"FAE")),"")</f>
        <v/>
      </c>
      <c r="J477" s="14" t="str">
        <f>IFERROR(IF(SUMIFS(tblDaily[Discharges],tblDaily[EntryDate],DATE(2026,12,30),tblDaily[WardCode],"FAE")=0,"",SUMIFS(tblDaily[Discharges],tblDaily[EntryDate],DATE(2026,12,30),tblDaily[WardCode],"FAE")),"")</f>
        <v/>
      </c>
      <c r="K477" s="14" t="str">
        <f>IFERROR(IF(SUMIFS(tblDaily[Deaths],tblDaily[EntryDate],DATE(2026,12,30),tblDaily[WardCode],"FAE")=0,"",SUMIFS(tblDaily[Deaths],tblDaily[EntryDate],DATE(2026,12,30),tblDaily[WardCode],"FAE")),"")</f>
        <v/>
      </c>
      <c r="L477" s="14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14" t="str">
        <f>IFERROR(IF(SUMIFS(tblDaily[TransfersIn],tblDaily[EntryDate],DATE(2026,12,30),tblDaily[WardCode],"FAE")=0,"",SUMIFS(tblDaily[TransfersIn],tblDaily[EntryDate],DATE(2026,12,30),tblDaily[WardCode],"FAE")),"")</f>
        <v/>
      </c>
      <c r="N477" s="14" t="str">
        <f>IFERROR(IF(SUMIFS(tblDaily[TransfersOut],tblDaily[EntryDate],DATE(2026,12,30),tblDaily[WardCode],"FAE")=0,"",SUMIFS(tblDaily[TransfersOut],tblDaily[EntryDate],DATE(2026,12,30),tblDaily[WardCode],"FAE")),"")</f>
        <v/>
      </c>
      <c r="O477" s="14" t="str">
        <f>IFERROR(IF(SUMIFS(tblDaily[Remaining],tblDaily[EntryDate],DATE(2026,12,30),tblDaily[WardCode],"FAE")=0,"",SUMIFS(tblDaily[Remaining],tblDaily[EntryDate],DATE(2026,12,30),tblDaily[WardCode],"FAE")),"")</f>
        <v/>
      </c>
      <c r="P477" s="15" t="str">
        <f t="shared" si="11"/>
        <v/>
      </c>
    </row>
    <row r="478" spans="1:16" x14ac:dyDescent="0.25">
      <c r="A478" s="14">
        <v>31</v>
      </c>
      <c r="B478" s="14" t="str">
        <f>IFERROR(IF(SUMIFS(tblDaily[Admissions],tblDaily[EntryDate],DATE(2026,12,31),tblDaily[WardCode],"MAE")=0,"",SUMIFS(tblDaily[Admissions],tblDaily[EntryDate],DATE(2026,12,31),tblDaily[WardCode],"MAE")),"")</f>
        <v/>
      </c>
      <c r="C478" s="14" t="str">
        <f>IFERROR(IF(SUMIFS(tblDaily[Discharges],tblDaily[EntryDate],DATE(2026,12,31),tblDaily[WardCode],"MAE")=0,"",SUMIFS(tblDaily[Discharges],tblDaily[EntryDate],DATE(2026,12,31),tblDaily[WardCode],"MAE")),"")</f>
        <v/>
      </c>
      <c r="D478" s="14" t="str">
        <f>IFERROR(IF(SUMIFS(tblDaily[Deaths],tblDaily[EntryDate],DATE(2026,12,31),tblDaily[WardCode],"MAE")=0,"",SUMIFS(tblDaily[Deaths],tblDaily[EntryDate],DATE(2026,12,31),tblDaily[WardCode],"MAE")),"")</f>
        <v/>
      </c>
      <c r="E478" s="1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14" t="str">
        <f>IFERROR(IF(SUMIFS(tblDaily[TransfersIn],tblDaily[EntryDate],DATE(2026,12,31),tblDaily[WardCode],"MAE")=0,"",SUMIFS(tblDaily[TransfersIn],tblDaily[EntryDate],DATE(2026,12,31),tblDaily[WardCode],"MAE")),"")</f>
        <v/>
      </c>
      <c r="G478" s="14" t="str">
        <f>IFERROR(IF(SUMIFS(tblDaily[TransfersOut],tblDaily[EntryDate],DATE(2026,12,31),tblDaily[WardCode],"MAE")=0,"",SUMIFS(tblDaily[TransfersOut],tblDaily[EntryDate],DATE(2026,12,31),tblDaily[WardCode],"MAE")),"")</f>
        <v/>
      </c>
      <c r="H478" s="14" t="str">
        <f>IFERROR(IF(SUMIFS(tblDaily[Remaining],tblDaily[EntryDate],DATE(2026,12,31),tblDaily[WardCode],"MAE")=0,"",SUMIFS(tblDaily[Remaining],tblDaily[EntryDate],DATE(2026,12,31),tblDaily[WardCode],"MAE")),"")</f>
        <v/>
      </c>
      <c r="I478" s="14" t="str">
        <f>IFERROR(IF(SUMIFS(tblDaily[Admissions],tblDaily[EntryDate],DATE(2026,12,31),tblDaily[WardCode],"FAE")=0,"",SUMIFS(tblDaily[Admissions],tblDaily[EntryDate],DATE(2026,12,31),tblDaily[WardCode],"FAE")),"")</f>
        <v/>
      </c>
      <c r="J478" s="14" t="str">
        <f>IFERROR(IF(SUMIFS(tblDaily[Discharges],tblDaily[EntryDate],DATE(2026,12,31),tblDaily[WardCode],"FAE")=0,"",SUMIFS(tblDaily[Discharges],tblDaily[EntryDate],DATE(2026,12,31),tblDaily[WardCode],"FAE")),"")</f>
        <v/>
      </c>
      <c r="K478" s="14" t="str">
        <f>IFERROR(IF(SUMIFS(tblDaily[Deaths],tblDaily[EntryDate],DATE(2026,12,31),tblDaily[WardCode],"FAE")=0,"",SUMIFS(tblDaily[Deaths],tblDaily[EntryDate],DATE(2026,12,31),tblDaily[WardCode],"FAE")),"")</f>
        <v/>
      </c>
      <c r="L478" s="14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14" t="str">
        <f>IFERROR(IF(SUMIFS(tblDaily[TransfersIn],tblDaily[EntryDate],DATE(2026,12,31),tblDaily[WardCode],"FAE")=0,"",SUMIFS(tblDaily[TransfersIn],tblDaily[EntryDate],DATE(2026,12,31),tblDaily[WardCode],"FAE")),"")</f>
        <v/>
      </c>
      <c r="N478" s="14" t="str">
        <f>IFERROR(IF(SUMIFS(tblDaily[TransfersOut],tblDaily[EntryDate],DATE(2026,12,31),tblDaily[WardCode],"FAE")=0,"",SUMIFS(tblDaily[TransfersOut],tblDaily[EntryDate],DATE(2026,12,31),tblDaily[WardCode],"FAE")),"")</f>
        <v/>
      </c>
      <c r="O478" s="14" t="str">
        <f>IFERROR(IF(SUMIFS(tblDaily[Remaining],tblDaily[EntryDate],DATE(2026,12,31),tblDaily[WardCode],"FAE")=0,"",SUMIFS(tblDaily[Remaining],tblDaily[EntryDate],DATE(2026,12,31),tblDaily[WardCode],"FAE")),"")</f>
        <v/>
      </c>
      <c r="P478" s="15" t="str">
        <f t="shared" si="11"/>
        <v/>
      </c>
    </row>
    <row r="479" spans="1:16" x14ac:dyDescent="0.25">
      <c r="A479" s="9" t="s">
        <v>112</v>
      </c>
      <c r="B479" s="9">
        <f>SUMIFS(tblDaily[Admissions],tblDaily[Month],12,tblDaily[WardCode],"MAE") - SUMIFS(tblDaily[DeathsUnder24Hrs],tblDaily[Month],12,tblDaily[WardCode],"MAE")</f>
        <v>0</v>
      </c>
      <c r="C479" s="9">
        <f>SUMIFS(tblDaily[Discharges],tblDaily[Month],12,tblDaily[WardCode],"MAE")</f>
        <v>0</v>
      </c>
      <c r="D479" s="9">
        <f>SUMIFS(tblDaily[Deaths],tblDaily[Month],12,tblDaily[WardCode],"MAE")</f>
        <v>0</v>
      </c>
      <c r="E479" s="9">
        <f>SUMIFS(tblDaily[DeathsUnder24Hrs],tblDaily[Month],12,tblDaily[WardCode],"MAE")</f>
        <v>0</v>
      </c>
      <c r="F479" s="9">
        <f>SUMIFS(tblDaily[TransfersIn],tblDaily[Month],12,tblDaily[WardCode],"MAE")</f>
        <v>0</v>
      </c>
      <c r="G479" s="9">
        <f>SUMIFS(tblDaily[TransfersOut],tblDaily[Month],12,tblDaily[WardCode],"MAE")</f>
        <v>0</v>
      </c>
      <c r="H479" s="9">
        <f>SUMIFS(tblDaily[Remaining],tblDaily[Month],12,tblDaily[WardCode],"MAE")</f>
        <v>0</v>
      </c>
      <c r="I479" s="9">
        <f>SUMIFS(tblDaily[Admissions],tblDaily[Month],12,tblDaily[WardCode],"FAE") - SUMIFS(tblDaily[DeathsUnder24Hrs],tblDaily[Month],12,tblDaily[WardCode],"FAE")</f>
        <v>0</v>
      </c>
      <c r="J479" s="9">
        <f>SUMIFS(tblDaily[Discharges],tblDaily[Month],12,tblDaily[WardCode],"FAE")</f>
        <v>0</v>
      </c>
      <c r="K479" s="9">
        <f>SUMIFS(tblDaily[Deaths],tblDaily[Month],12,tblDaily[WardCode],"FAE")</f>
        <v>0</v>
      </c>
      <c r="L479" s="9">
        <f>SUMIFS(tblDaily[DeathsUnder24Hrs],tblDaily[Month],12,tblDaily[WardCode],"FAE")</f>
        <v>0</v>
      </c>
      <c r="M479" s="9">
        <f>SUMIFS(tblDaily[TransfersIn],tblDaily[Month],12,tblDaily[WardCode],"FAE")</f>
        <v>0</v>
      </c>
      <c r="N479" s="9">
        <f>SUMIFS(tblDaily[TransfersOut],tblDaily[Month],12,tblDaily[WardCode],"FAE")</f>
        <v>0</v>
      </c>
      <c r="O479" s="9">
        <f>SUMIFS(tblDaily[Remaining],tblDaily[Month],12,tblDaily[WardCode],"FAE")</f>
        <v>0</v>
      </c>
      <c r="P479" s="9">
        <f>H479 + O479</f>
        <v>0</v>
      </c>
    </row>
  </sheetData>
  <mergeCells count="48"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91"/>
  <sheetViews>
    <sheetView workbookViewId="0">
      <selection activeCell="O14" sqref="O14"/>
    </sheetView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28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2" spans="1:16" ht="15.75" x14ac:dyDescent="0.25">
      <c r="A2" s="35" t="s">
        <v>131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</row>
    <row r="3" spans="1:16" ht="38.25" x14ac:dyDescent="0.25">
      <c r="A3" s="8" t="s">
        <v>132</v>
      </c>
      <c r="B3" s="8" t="s">
        <v>133</v>
      </c>
      <c r="C3" s="8" t="s">
        <v>134</v>
      </c>
      <c r="D3" s="8" t="s">
        <v>74</v>
      </c>
      <c r="E3" s="8" t="s">
        <v>75</v>
      </c>
      <c r="F3" s="8" t="s">
        <v>76</v>
      </c>
      <c r="G3" s="8" t="s">
        <v>108</v>
      </c>
      <c r="H3" s="8" t="s">
        <v>135</v>
      </c>
      <c r="I3" s="8" t="s">
        <v>136</v>
      </c>
      <c r="J3" s="8" t="s">
        <v>137</v>
      </c>
      <c r="K3" s="8" t="s">
        <v>138</v>
      </c>
      <c r="L3" s="8" t="s">
        <v>139</v>
      </c>
      <c r="M3" s="8" t="s">
        <v>140</v>
      </c>
      <c r="N3" s="8" t="s">
        <v>141</v>
      </c>
      <c r="O3" s="8" t="s">
        <v>142</v>
      </c>
      <c r="P3" s="8" t="s">
        <v>143</v>
      </c>
    </row>
    <row r="4" spans="1:16" x14ac:dyDescent="0.25">
      <c r="A4" s="15" t="s">
        <v>31</v>
      </c>
      <c r="B4" s="4">
        <f>IFERROR(INDEX(tblWardConfig[PrevYearRemaining],MATCH("MW",tblWardConfig[WardCode],0)),0)</f>
        <v>25</v>
      </c>
      <c r="C4" s="4">
        <f>IFERROR(INDEX(tblWardConfig[BedComplement],MATCH("MW",tblWardConfig[WardCode],0)),0)</f>
        <v>32</v>
      </c>
      <c r="D4" s="4">
        <f>SUMIFS(tblDaily[Admissions],tblDaily[Month],1,tblDaily[WardCode],"MW") - SUMIFS(tblDaily[DeathsUnder24Hrs],tblDaily[Month],1,tblDaily[WardCode],"MW")</f>
        <v>65</v>
      </c>
      <c r="E4" s="4">
        <f>SUMIFS(tblDaily[Discharges],tblDaily[Month],1,tblDaily[WardCode],"MW")</f>
        <v>103</v>
      </c>
      <c r="F4" s="4">
        <f>SUMIFS(tblDaily[Deaths],tblDaily[Month],1,tblDaily[WardCode],"MW")</f>
        <v>11</v>
      </c>
      <c r="G4" s="4">
        <f>SUMIFS(tblDaily[DeathsUnder24Hrs],tblDaily[Month],1,tblDaily[WardCode],"MW")</f>
        <v>0</v>
      </c>
      <c r="H4" s="4">
        <f>SUMIFS(tblDaily[Remaining],tblDaily[Month],1,tblDaily[WardCode],"MW")</f>
        <v>653</v>
      </c>
      <c r="I4" s="4">
        <f>SUMIFS(tblDaily[TransfersIn],tblDaily[Month],1,tblDaily[WardCode],"MW")</f>
        <v>43</v>
      </c>
      <c r="J4" s="4">
        <f>SUMIFS(tblDaily[TransfersOut],tblDaily[Month],1,tblDaily[WardCode],"MW")</f>
        <v>0</v>
      </c>
      <c r="K4" s="16">
        <f t="shared" ref="K4:K12" si="0">IFERROR(H4/31,0)</f>
        <v>21.06451612903226</v>
      </c>
      <c r="L4" s="16">
        <f t="shared" ref="L4:L12" si="1">IFERROR(H4/(E4+F4),0)</f>
        <v>5.7280701754385968</v>
      </c>
      <c r="M4" s="16">
        <f t="shared" ref="M4:M12" si="2">IFERROR((C4*31-H4)/(E4+F4),0)</f>
        <v>2.9736842105263159</v>
      </c>
      <c r="N4" s="16">
        <f t="shared" ref="N4:N12" si="3">IFERROR((E4+F4)/C4,0)</f>
        <v>3.5625</v>
      </c>
      <c r="O4" s="16">
        <f t="shared" ref="O4:O12" si="4">IFERROR((H4/(C4*31))*100,0)</f>
        <v>65.826612903225808</v>
      </c>
      <c r="P4" s="16">
        <f t="shared" ref="P4:P12" si="5">IFERROR((F4/(D4+B4))*100,0)</f>
        <v>12.222222222222221</v>
      </c>
    </row>
    <row r="5" spans="1:16" x14ac:dyDescent="0.25">
      <c r="A5" s="15" t="s">
        <v>33</v>
      </c>
      <c r="B5" s="4">
        <f>IFERROR(INDEX(tblWardConfig[PrevYearRemaining],MATCH("FW",tblWardConfig[WardCode],0)),0)</f>
        <v>16</v>
      </c>
      <c r="C5" s="4">
        <f>IFERROR(INDEX(tblWardConfig[BedComplement],MATCH("FW",tblWardConfig[WardCode],0)),0)</f>
        <v>28</v>
      </c>
      <c r="D5" s="4">
        <f>SUMIFS(tblDaily[Admissions],tblDaily[Month],1,tblDaily[WardCode],"FW") - SUMIFS(tblDaily[DeathsUnder24Hrs],tblDaily[Month],1,tblDaily[WardCode],"FW")</f>
        <v>79</v>
      </c>
      <c r="E5" s="4">
        <f>SUMIFS(tblDaily[Discharges],tblDaily[Month],1,tblDaily[WardCode],"FW")</f>
        <v>100</v>
      </c>
      <c r="F5" s="4">
        <f>SUMIFS(tblDaily[Deaths],tblDaily[Month],1,tblDaily[WardCode],"FW")</f>
        <v>10</v>
      </c>
      <c r="G5" s="4">
        <f>SUMIFS(tblDaily[DeathsUnder24Hrs],tblDaily[Month],1,tblDaily[WardCode],"FW")</f>
        <v>0</v>
      </c>
      <c r="H5" s="4">
        <f>SUMIFS(tblDaily[Remaining],tblDaily[Month],1,tblDaily[WardCode],"FW")</f>
        <v>525</v>
      </c>
      <c r="I5" s="4">
        <f>SUMIFS(tblDaily[TransfersIn],tblDaily[Month],1,tblDaily[WardCode],"FW")</f>
        <v>27</v>
      </c>
      <c r="J5" s="4">
        <f>SUMIFS(tblDaily[TransfersOut],tblDaily[Month],1,tblDaily[WardCode],"FW")</f>
        <v>0</v>
      </c>
      <c r="K5" s="16">
        <f t="shared" si="0"/>
        <v>16.93548387096774</v>
      </c>
      <c r="L5" s="16">
        <f t="shared" si="1"/>
        <v>4.7727272727272725</v>
      </c>
      <c r="M5" s="16">
        <f t="shared" si="2"/>
        <v>3.1181818181818182</v>
      </c>
      <c r="N5" s="16">
        <f t="shared" si="3"/>
        <v>3.9285714285714284</v>
      </c>
      <c r="O5" s="16">
        <f t="shared" si="4"/>
        <v>60.483870967741936</v>
      </c>
      <c r="P5" s="16">
        <f t="shared" si="5"/>
        <v>10.526315789473683</v>
      </c>
    </row>
    <row r="6" spans="1:16" x14ac:dyDescent="0.25">
      <c r="A6" s="15" t="s">
        <v>35</v>
      </c>
      <c r="B6" s="4">
        <f>IFERROR(INDEX(tblWardConfig[PrevYearRemaining],MATCH("CW",tblWardConfig[WardCode],0)),0)</f>
        <v>7</v>
      </c>
      <c r="C6" s="4">
        <f>IFERROR(INDEX(tblWardConfig[BedComplement],MATCH("CW",tblWardConfig[WardCode],0)),0)</f>
        <v>27</v>
      </c>
      <c r="D6" s="4">
        <f>SUMIFS(tblDaily[Admissions],tblDaily[Month],1,tblDaily[WardCode],"CW") - SUMIFS(tblDaily[DeathsUnder24Hrs],tblDaily[Month],1,tblDaily[WardCode],"CW")</f>
        <v>78</v>
      </c>
      <c r="E6" s="4">
        <f>SUMIFS(tblDaily[Discharges],tblDaily[Month],1,tblDaily[WardCode],"CW")</f>
        <v>78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297</v>
      </c>
      <c r="I6" s="4">
        <f>SUMIFS(tblDaily[TransfersIn],tblDaily[Month],1,tblDaily[WardCode],"CW")</f>
        <v>5</v>
      </c>
      <c r="J6" s="4">
        <f>SUMIFS(tblDaily[TransfersOut],tblDaily[Month],1,tblDaily[WardCode],"CW")</f>
        <v>0</v>
      </c>
      <c r="K6" s="16">
        <f t="shared" si="0"/>
        <v>9.5806451612903221</v>
      </c>
      <c r="L6" s="16">
        <f t="shared" si="1"/>
        <v>3.8076923076923075</v>
      </c>
      <c r="M6" s="16">
        <f t="shared" si="2"/>
        <v>6.9230769230769234</v>
      </c>
      <c r="N6" s="16">
        <f t="shared" si="3"/>
        <v>2.8888888888888888</v>
      </c>
      <c r="O6" s="16">
        <f t="shared" si="4"/>
        <v>35.483870967741936</v>
      </c>
      <c r="P6" s="16">
        <f t="shared" si="5"/>
        <v>0</v>
      </c>
    </row>
    <row r="7" spans="1:16" x14ac:dyDescent="0.25">
      <c r="A7" s="15" t="s">
        <v>37</v>
      </c>
      <c r="B7" s="4">
        <f>IFERROR(INDEX(tblWardConfig[PrevYearRemaining],MATCH("BF",tblWardConfig[WardCode],0)),0)</f>
        <v>9</v>
      </c>
      <c r="C7" s="4">
        <f>IFERROR(INDEX(tblWardConfig[BedComplement],MATCH("BF",tblWardConfig[WardCode],0)),0)</f>
        <v>20</v>
      </c>
      <c r="D7" s="4">
        <f>SUMIFS(tblDaily[Admissions],tblDaily[Month],1,tblDaily[WardCode],"BF") - SUMIFS(tblDaily[DeathsUnder24Hrs],tblDaily[Month],1,tblDaily[WardCode],"BF")</f>
        <v>62</v>
      </c>
      <c r="E7" s="4">
        <f>SUMIFS(tblDaily[Discharges],tblDaily[Month],1,tblDaily[WardCode],"BF")</f>
        <v>65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201</v>
      </c>
      <c r="I7" s="4">
        <f>SUMIFS(tblDaily[TransfersIn],tblDaily[Month],1,tblDaily[WardCode],"BF")</f>
        <v>1</v>
      </c>
      <c r="J7" s="4">
        <f>SUMIFS(tblDaily[TransfersOut],tblDaily[Month],1,tblDaily[WardCode],"BF")</f>
        <v>1</v>
      </c>
      <c r="K7" s="16">
        <f t="shared" si="0"/>
        <v>6.4838709677419351</v>
      </c>
      <c r="L7" s="16">
        <f t="shared" si="1"/>
        <v>3.0923076923076924</v>
      </c>
      <c r="M7" s="16">
        <f t="shared" si="2"/>
        <v>6.4461538461538463</v>
      </c>
      <c r="N7" s="16">
        <f t="shared" si="3"/>
        <v>3.25</v>
      </c>
      <c r="O7" s="16">
        <f t="shared" si="4"/>
        <v>32.41935483870968</v>
      </c>
      <c r="P7" s="16">
        <f t="shared" si="5"/>
        <v>0</v>
      </c>
    </row>
    <row r="8" spans="1:16" x14ac:dyDescent="0.25">
      <c r="A8" s="15" t="s">
        <v>39</v>
      </c>
      <c r="B8" s="4">
        <f>IFERROR(INDEX(tblWardConfig[PrevYearRemaining],MATCH("BG",tblWardConfig[WardCode],0)),0)</f>
        <v>9</v>
      </c>
      <c r="C8" s="4">
        <f>IFERROR(INDEX(tblWardConfig[BedComplement],MATCH("BG",tblWardConfig[WardCode],0)),0)</f>
        <v>14</v>
      </c>
      <c r="D8" s="4">
        <f>SUMIFS(tblDaily[Admissions],tblDaily[Month],1,tblDaily[WardCode],"BG") - SUMIFS(tblDaily[DeathsUnder24Hrs],tblDaily[Month],1,tblDaily[WardCode],"BG")</f>
        <v>125</v>
      </c>
      <c r="E8" s="4">
        <f>SUMIFS(tblDaily[Discharges],tblDaily[Month],1,tblDaily[WardCode],"BG")</f>
        <v>122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342</v>
      </c>
      <c r="I8" s="4">
        <f>SUMIFS(tblDaily[TransfersIn],tblDaily[Month],1,tblDaily[WardCode],"BG")</f>
        <v>27</v>
      </c>
      <c r="J8" s="4">
        <f>SUMIFS(tblDaily[TransfersOut],tblDaily[Month],1,tblDaily[WardCode],"BG")</f>
        <v>27</v>
      </c>
      <c r="K8" s="16">
        <f t="shared" si="0"/>
        <v>11.03225806451613</v>
      </c>
      <c r="L8" s="16">
        <f t="shared" si="1"/>
        <v>2.8032786885245899</v>
      </c>
      <c r="M8" s="16">
        <f t="shared" si="2"/>
        <v>0.75409836065573765</v>
      </c>
      <c r="N8" s="16">
        <f t="shared" si="3"/>
        <v>8.7142857142857135</v>
      </c>
      <c r="O8" s="16">
        <f t="shared" si="4"/>
        <v>78.801843317972356</v>
      </c>
      <c r="P8" s="16">
        <f t="shared" si="5"/>
        <v>0</v>
      </c>
    </row>
    <row r="9" spans="1:16" x14ac:dyDescent="0.25">
      <c r="A9" s="15" t="s">
        <v>41</v>
      </c>
      <c r="B9" s="4">
        <f>IFERROR(INDEX(tblWardConfig[PrevYearRemaining],MATCH("BH",tblWardConfig[WardCode],0)),0)</f>
        <v>12</v>
      </c>
      <c r="C9" s="4">
        <f>IFERROR(INDEX(tblWardConfig[BedComplement],MATCH("BH",tblWardConfig[WardCode],0)),0)</f>
        <v>22</v>
      </c>
      <c r="D9" s="4">
        <f>SUMIFS(tblDaily[Admissions],tblDaily[Month],1,tblDaily[WardCode],"BH") - SUMIFS(tblDaily[DeathsUnder24Hrs],tblDaily[Month],1,tblDaily[WardCode],"BH")</f>
        <v>74</v>
      </c>
      <c r="E9" s="4">
        <f>SUMIFS(tblDaily[Discharges],tblDaily[Month],1,tblDaily[WardCode],"BH")</f>
        <v>81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369</v>
      </c>
      <c r="I9" s="4">
        <f>SUMIFS(tblDaily[TransfersIn],tblDaily[Month],1,tblDaily[WardCode],"BH")</f>
        <v>28</v>
      </c>
      <c r="J9" s="4">
        <f>SUMIFS(tblDaily[TransfersOut],tblDaily[Month],1,tblDaily[WardCode],"BH")</f>
        <v>26</v>
      </c>
      <c r="K9" s="16">
        <f t="shared" si="0"/>
        <v>11.903225806451612</v>
      </c>
      <c r="L9" s="16">
        <f t="shared" si="1"/>
        <v>4.5555555555555554</v>
      </c>
      <c r="M9" s="16">
        <f t="shared" si="2"/>
        <v>3.8641975308641974</v>
      </c>
      <c r="N9" s="16">
        <f t="shared" si="3"/>
        <v>3.6818181818181817</v>
      </c>
      <c r="O9" s="16">
        <f t="shared" si="4"/>
        <v>54.105571847507328</v>
      </c>
      <c r="P9" s="16">
        <f t="shared" si="5"/>
        <v>0</v>
      </c>
    </row>
    <row r="10" spans="1:16" x14ac:dyDescent="0.25">
      <c r="A10" s="15" t="s">
        <v>43</v>
      </c>
      <c r="B10" s="4">
        <f>IFERROR(INDEX(tblWardConfig[PrevYearRemaining],MATCH("NICU",tblWardConfig[WardCode],0)),0)</f>
        <v>14</v>
      </c>
      <c r="C10" s="4">
        <f>IFERROR(INDEX(tblWardConfig[BedComplement],MATCH("NICU",tblWardConfig[WardCode],0)),0)</f>
        <v>15</v>
      </c>
      <c r="D10" s="4">
        <f>SUMIFS(tblDaily[Admissions],tblDaily[Month],1,tblDaily[WardCode],"NICU") - SUMIFS(tblDaily[DeathsUnder24Hrs],tblDaily[Month],1,tblDaily[WardCode],"NICU")</f>
        <v>47</v>
      </c>
      <c r="E10" s="4">
        <f>SUMIFS(tblDaily[Discharges],tblDaily[Month],1,tblDaily[WardCode],"NICU")</f>
        <v>46</v>
      </c>
      <c r="F10" s="4">
        <f>SUMIFS(tblDaily[Deaths],tblDaily[Month],1,tblDaily[WardCode],"NICU")</f>
        <v>8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410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6">
        <f t="shared" si="0"/>
        <v>13.225806451612904</v>
      </c>
      <c r="L10" s="16">
        <f t="shared" si="1"/>
        <v>7.5925925925925926</v>
      </c>
      <c r="M10" s="16">
        <f t="shared" si="2"/>
        <v>1.0185185185185186</v>
      </c>
      <c r="N10" s="16">
        <f t="shared" si="3"/>
        <v>3.6</v>
      </c>
      <c r="O10" s="16">
        <f t="shared" si="4"/>
        <v>88.172043010752688</v>
      </c>
      <c r="P10" s="16">
        <f t="shared" si="5"/>
        <v>13.114754098360656</v>
      </c>
    </row>
    <row r="11" spans="1:16" x14ac:dyDescent="0.25">
      <c r="A11" s="15" t="s">
        <v>45</v>
      </c>
      <c r="B11" s="4">
        <f>IFERROR(INDEX(tblWardConfig[PrevYearRemaining],MATCH("MAE",tblWardConfig[WardCode],0)),0)</f>
        <v>9</v>
      </c>
      <c r="C11" s="4">
        <f>IFERROR(INDEX(tblWardConfig[BedComplement],MATCH("MAE",tblWardConfig[WardCode],0)),0)</f>
        <v>10</v>
      </c>
      <c r="D11" s="4">
        <f>SUMIFS(tblDaily[Admissions],tblDaily[Month],1,tblDaily[WardCode],"MAE") - SUMIFS(tblDaily[DeathsUnder24Hrs],tblDaily[Month],1,tblDaily[WardCode],"MAE")</f>
        <v>86</v>
      </c>
      <c r="E11" s="4">
        <f>SUMIFS(tblDaily[Discharges],tblDaily[Month],1,tblDaily[WardCode],"MAE")</f>
        <v>43</v>
      </c>
      <c r="F11" s="4">
        <f>SUMIFS(tblDaily[Deaths],tblDaily[Month],1,tblDaily[WardCode],"MAE")</f>
        <v>4</v>
      </c>
      <c r="G11" s="4">
        <f>SUMIFS(tblDaily[DeathsUnder24Hrs],tblDaily[Month],1,tblDaily[WardCode],"MAE")</f>
        <v>5</v>
      </c>
      <c r="H11" s="4">
        <f>SUMIFS(tblDaily[Remaining],tblDaily[Month],1,tblDaily[WardCode],"MAE")</f>
        <v>148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47</v>
      </c>
      <c r="K11" s="16">
        <f t="shared" si="0"/>
        <v>4.774193548387097</v>
      </c>
      <c r="L11" s="16">
        <f t="shared" si="1"/>
        <v>3.1489361702127661</v>
      </c>
      <c r="M11" s="16">
        <f t="shared" si="2"/>
        <v>3.4468085106382977</v>
      </c>
      <c r="N11" s="16">
        <f t="shared" si="3"/>
        <v>4.7</v>
      </c>
      <c r="O11" s="16">
        <f t="shared" si="4"/>
        <v>47.741935483870968</v>
      </c>
      <c r="P11" s="16">
        <f t="shared" si="5"/>
        <v>4.2105263157894735</v>
      </c>
    </row>
    <row r="12" spans="1:16" x14ac:dyDescent="0.25">
      <c r="A12" s="15" t="s">
        <v>47</v>
      </c>
      <c r="B12" s="4">
        <f>IFERROR(INDEX(tblWardConfig[PrevYearRemaining],MATCH("FAE",tblWardConfig[WardCode],0)),0)</f>
        <v>1</v>
      </c>
      <c r="C12" s="4">
        <f>IFERROR(INDEX(tblWardConfig[BedComplement],MATCH("FAE",tblWardConfig[WardCode],0)),0)</f>
        <v>10</v>
      </c>
      <c r="D12" s="4">
        <f>SUMIFS(tblDaily[Admissions],tblDaily[Month],1,tblDaily[WardCode],"FAE") - SUMIFS(tblDaily[DeathsUnder24Hrs],tblDaily[Month],1,tblDaily[WardCode],"FAE")</f>
        <v>46</v>
      </c>
      <c r="E12" s="4">
        <f>SUMIFS(tblDaily[Discharges],tblDaily[Month],1,tblDaily[WardCode],"FAE")</f>
        <v>13</v>
      </c>
      <c r="F12" s="4">
        <f>SUMIFS(tblDaily[Deaths],tblDaily[Month],1,tblDaily[WardCode],"FAE")</f>
        <v>0</v>
      </c>
      <c r="G12" s="4">
        <f>SUMIFS(tblDaily[DeathsUnder24Hrs],tblDaily[Month],1,tblDaily[WardCode],"FAE")</f>
        <v>1</v>
      </c>
      <c r="H12" s="4">
        <f>SUMIFS(tblDaily[Remaining],tblDaily[Month],1,tblDaily[WardCode],"FAE")</f>
        <v>55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30</v>
      </c>
      <c r="K12" s="16">
        <f t="shared" si="0"/>
        <v>1.7741935483870968</v>
      </c>
      <c r="L12" s="16">
        <f t="shared" si="1"/>
        <v>4.2307692307692308</v>
      </c>
      <c r="M12" s="16">
        <f t="shared" si="2"/>
        <v>19.615384615384617</v>
      </c>
      <c r="N12" s="16">
        <f t="shared" si="3"/>
        <v>1.3</v>
      </c>
      <c r="O12" s="16">
        <f t="shared" si="4"/>
        <v>17.741935483870968</v>
      </c>
      <c r="P12" s="16">
        <f t="shared" si="5"/>
        <v>0</v>
      </c>
    </row>
    <row r="13" spans="1:16" x14ac:dyDescent="0.25">
      <c r="A13" s="17" t="s">
        <v>144</v>
      </c>
      <c r="B13" s="15">
        <f>SUMIFS(tblDaily[Remaining],tblDaily[EntryDate],DATE(2026,1,31),tblDaily[WardCode],"MAE")+SUMIFS(tblDaily[Remaining],tblDaily[EntryDate],DATE(2026,1,31),tblDaily[WardCode],"FAE")</f>
        <v>5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1:16" x14ac:dyDescent="0.25">
      <c r="A14" s="9" t="s">
        <v>112</v>
      </c>
      <c r="B14" s="9">
        <f t="shared" ref="B14:J14" si="6">SUM(B4:B12)</f>
        <v>102</v>
      </c>
      <c r="C14" s="9">
        <f t="shared" si="6"/>
        <v>178</v>
      </c>
      <c r="D14" s="9">
        <f t="shared" si="6"/>
        <v>662</v>
      </c>
      <c r="E14" s="9">
        <f t="shared" si="6"/>
        <v>651</v>
      </c>
      <c r="F14" s="9">
        <f t="shared" si="6"/>
        <v>33</v>
      </c>
      <c r="G14" s="9">
        <f t="shared" si="6"/>
        <v>6</v>
      </c>
      <c r="H14" s="9">
        <f t="shared" si="6"/>
        <v>3000</v>
      </c>
      <c r="I14" s="9">
        <f t="shared" si="6"/>
        <v>131</v>
      </c>
      <c r="J14" s="9">
        <f t="shared" si="6"/>
        <v>131</v>
      </c>
      <c r="K14" s="19">
        <f>IFERROR(H14/31,0)</f>
        <v>96.774193548387103</v>
      </c>
      <c r="L14" s="19">
        <f>IFERROR(H14/(E14+F14),0)</f>
        <v>4.3859649122807021</v>
      </c>
      <c r="M14" s="19">
        <f>IFERROR((C14*31-H14)/(E14+F14),0)</f>
        <v>3.6812865497076022</v>
      </c>
      <c r="N14" s="19">
        <f>IFERROR((E14+F14)/C14,0)</f>
        <v>3.8426966292134832</v>
      </c>
      <c r="O14" s="19">
        <f>IFERROR((H14/(C14*31))*100,0)</f>
        <v>54.367524465386005</v>
      </c>
      <c r="P14" s="19">
        <f>IFERROR((F14/(D14+B14))*100,0)</f>
        <v>4.3193717277486909</v>
      </c>
    </row>
    <row r="15" spans="1:16" x14ac:dyDescent="0.25">
      <c r="A15" s="20" t="s">
        <v>145</v>
      </c>
      <c r="B15" s="20">
        <f t="shared" ref="B15:J15" si="7">B11+B12</f>
        <v>10</v>
      </c>
      <c r="C15" s="20">
        <f t="shared" si="7"/>
        <v>20</v>
      </c>
      <c r="D15" s="20">
        <f t="shared" si="7"/>
        <v>132</v>
      </c>
      <c r="E15" s="20">
        <f t="shared" si="7"/>
        <v>56</v>
      </c>
      <c r="F15" s="20">
        <f t="shared" si="7"/>
        <v>4</v>
      </c>
      <c r="G15" s="20">
        <f t="shared" si="7"/>
        <v>6</v>
      </c>
      <c r="H15" s="20">
        <f t="shared" si="7"/>
        <v>203</v>
      </c>
      <c r="I15" s="20">
        <f t="shared" si="7"/>
        <v>0</v>
      </c>
      <c r="J15" s="20">
        <f t="shared" si="7"/>
        <v>77</v>
      </c>
      <c r="K15" s="21">
        <f>IFERROR(H15/31,0)</f>
        <v>6.5483870967741939</v>
      </c>
      <c r="L15" s="21">
        <f>IFERROR(H15/(E15+F15),0)</f>
        <v>3.3833333333333333</v>
      </c>
      <c r="M15" s="21">
        <f>IFERROR((C15*31-H15)/(E15+F15),0)</f>
        <v>6.95</v>
      </c>
      <c r="N15" s="21">
        <f>IFERROR((E15+F15)/C15,0)</f>
        <v>3</v>
      </c>
      <c r="O15" s="21">
        <f>IFERROR((H15/(C15*31))*100,0)</f>
        <v>32.741935483870968</v>
      </c>
      <c r="P15" s="21">
        <f>IFERROR((F15/(D15+B15))*100,0)</f>
        <v>2.8169014084507045</v>
      </c>
    </row>
    <row r="17" spans="1:16" ht="18.75" x14ac:dyDescent="0.25">
      <c r="A17" s="28" t="s">
        <v>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</row>
    <row r="18" spans="1:16" ht="15.75" x14ac:dyDescent="0.25">
      <c r="A18" s="35" t="s">
        <v>146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</row>
    <row r="19" spans="1:16" ht="38.25" x14ac:dyDescent="0.25">
      <c r="A19" s="8" t="s">
        <v>132</v>
      </c>
      <c r="B19" s="8" t="s">
        <v>133</v>
      </c>
      <c r="C19" s="8" t="s">
        <v>134</v>
      </c>
      <c r="D19" s="8" t="s">
        <v>74</v>
      </c>
      <c r="E19" s="8" t="s">
        <v>75</v>
      </c>
      <c r="F19" s="8" t="s">
        <v>76</v>
      </c>
      <c r="G19" s="8" t="s">
        <v>108</v>
      </c>
      <c r="H19" s="8" t="s">
        <v>135</v>
      </c>
      <c r="I19" s="8" t="s">
        <v>136</v>
      </c>
      <c r="J19" s="8" t="s">
        <v>137</v>
      </c>
      <c r="K19" s="8" t="s">
        <v>138</v>
      </c>
      <c r="L19" s="8" t="s">
        <v>139</v>
      </c>
      <c r="M19" s="8" t="s">
        <v>140</v>
      </c>
      <c r="N19" s="8" t="s">
        <v>141</v>
      </c>
      <c r="O19" s="8" t="s">
        <v>142</v>
      </c>
      <c r="P19" s="8" t="s">
        <v>143</v>
      </c>
    </row>
    <row r="20" spans="1:16" x14ac:dyDescent="0.25">
      <c r="A20" s="15" t="s">
        <v>31</v>
      </c>
      <c r="B20" s="4">
        <f>IFERROR(SUMIFS(tblDaily[Remaining],tblDaily[EntryDate],DATE(2026,1,31),tblDaily[WardCode],"MW"),0)</f>
        <v>19</v>
      </c>
      <c r="C20" s="4">
        <f>IFERROR(INDEX(tblWardConfig[BedComplement],MATCH("MW",tblWardConfig[WardCode],0)),0)</f>
        <v>32</v>
      </c>
      <c r="D20" s="4">
        <f>SUMIFS(tblDaily[Admissions],tblDaily[Month],2,tblDaily[WardCode],"MW") - SUMIFS(tblDaily[DeathsUnder24Hrs],tblDaily[Month],2,tblDaily[WardCode],"MW")</f>
        <v>32</v>
      </c>
      <c r="E20" s="4">
        <f>SUMIFS(tblDaily[Discharges],tblDaily[Month],2,tblDaily[WardCode],"MW")</f>
        <v>38</v>
      </c>
      <c r="F20" s="4">
        <f>SUMIFS(tblDaily[Deaths],tblDaily[Month],2,tblDaily[WardCode],"MW")</f>
        <v>8</v>
      </c>
      <c r="G20" s="4">
        <f>SUMIFS(tblDaily[DeathsUnder24Hrs],tblDaily[Month],2,tblDaily[WardCode],"MW")</f>
        <v>0</v>
      </c>
      <c r="H20" s="4">
        <f>SUMIFS(tblDaily[Remaining],tblDaily[Month],2,tblDaily[WardCode],"MW")</f>
        <v>249</v>
      </c>
      <c r="I20" s="4">
        <f>SUMIFS(tblDaily[TransfersIn],tblDaily[Month],2,tblDaily[WardCode],"MW")</f>
        <v>14</v>
      </c>
      <c r="J20" s="4">
        <f>SUMIFS(tblDaily[TransfersOut],tblDaily[Month],2,tblDaily[WardCode],"MW")</f>
        <v>0</v>
      </c>
      <c r="K20" s="16">
        <f t="shared" ref="K20:K28" si="8">IFERROR(H20/28,0)</f>
        <v>8.8928571428571423</v>
      </c>
      <c r="L20" s="16">
        <f t="shared" ref="L20:L28" si="9">IFERROR(H20/(E20+F20),0)</f>
        <v>5.4130434782608692</v>
      </c>
      <c r="M20" s="16">
        <f t="shared" ref="M20:M28" si="10">IFERROR((C20*28-H20)/(E20+F20),0)</f>
        <v>14.065217391304348</v>
      </c>
      <c r="N20" s="16">
        <f t="shared" ref="N20:N28" si="11">IFERROR((E20+F20)/C20,0)</f>
        <v>1.4375</v>
      </c>
      <c r="O20" s="16">
        <f t="shared" ref="O20:O28" si="12">IFERROR((H20/(C20*28))*100,0)</f>
        <v>27.790178571428569</v>
      </c>
      <c r="P20" s="16">
        <f t="shared" ref="P20:P28" si="13">IFERROR((F20/(D20+B20))*100,0)</f>
        <v>15.686274509803921</v>
      </c>
    </row>
    <row r="21" spans="1:16" x14ac:dyDescent="0.25">
      <c r="A21" s="15" t="s">
        <v>33</v>
      </c>
      <c r="B21" s="4">
        <f>IFERROR(SUMIFS(tblDaily[Remaining],tblDaily[EntryDate],DATE(2026,1,31),tblDaily[WardCode],"FW"),0)</f>
        <v>12</v>
      </c>
      <c r="C21" s="4">
        <f>IFERROR(INDEX(tblWardConfig[BedComplement],MATCH("FW",tblWardConfig[WardCode],0)),0)</f>
        <v>28</v>
      </c>
      <c r="D21" s="4">
        <f>SUMIFS(tblDaily[Admissions],tblDaily[Month],2,tblDaily[WardCode],"FW") - SUMIFS(tblDaily[DeathsUnder24Hrs],tblDaily[Month],2,tblDaily[WardCode],"FW")</f>
        <v>4</v>
      </c>
      <c r="E21" s="4">
        <f>SUMIFS(tblDaily[Discharges],tblDaily[Month],2,tblDaily[WardCode],"FW")</f>
        <v>2</v>
      </c>
      <c r="F21" s="4">
        <f>SUMIFS(tblDaily[Deaths],tblDaily[Month],2,tblDaily[WardCode],"FW")</f>
        <v>0</v>
      </c>
      <c r="G21" s="4">
        <f>SUMIFS(tblDaily[DeathsUnder24Hrs],tblDaily[Month],2,tblDaily[WardCode],"FW")</f>
        <v>0</v>
      </c>
      <c r="H21" s="4">
        <f>SUMIFS(tblDaily[Remaining],tblDaily[Month],2,tblDaily[WardCode],"FW")</f>
        <v>30</v>
      </c>
      <c r="I21" s="4">
        <f>SUMIFS(tblDaily[TransfersIn],tblDaily[Month],2,tblDaily[WardCode],"FW")</f>
        <v>1</v>
      </c>
      <c r="J21" s="4">
        <f>SUMIFS(tblDaily[TransfersOut],tblDaily[Month],2,tblDaily[WardCode],"FW")</f>
        <v>0</v>
      </c>
      <c r="K21" s="16">
        <f t="shared" si="8"/>
        <v>1.0714285714285714</v>
      </c>
      <c r="L21" s="16">
        <f t="shared" si="9"/>
        <v>15</v>
      </c>
      <c r="M21" s="16">
        <f t="shared" si="10"/>
        <v>377</v>
      </c>
      <c r="N21" s="16">
        <f t="shared" si="11"/>
        <v>7.1428571428571425E-2</v>
      </c>
      <c r="O21" s="16">
        <f t="shared" si="12"/>
        <v>3.8265306122448979</v>
      </c>
      <c r="P21" s="16">
        <f t="shared" si="13"/>
        <v>0</v>
      </c>
    </row>
    <row r="22" spans="1:16" x14ac:dyDescent="0.25">
      <c r="A22" s="15" t="s">
        <v>35</v>
      </c>
      <c r="B22" s="4">
        <f>IFERROR(SUMIFS(tblDaily[Remaining],tblDaily[EntryDate],DATE(2026,1,31),tblDaily[WardCode],"CW"),0)</f>
        <v>12</v>
      </c>
      <c r="C22" s="4">
        <f>IFERROR(INDEX(tblWardConfig[BedComplement],MATCH("CW",tblWardConfig[WardCode],0)),0)</f>
        <v>27</v>
      </c>
      <c r="D22" s="4">
        <f>SUMIFS(tblDaily[Admissions],tblDaily[Month],2,tblDaily[WardCode],"CW") - SUMIFS(tblDaily[DeathsUnder24Hrs],tblDaily[Month],2,tblDaily[WardCode],"CW")</f>
        <v>2</v>
      </c>
      <c r="E22" s="4">
        <f>SUMIFS(tblDaily[Discharges],tblDaily[Month],2,tblDaily[WardCode],"CW")</f>
        <v>2</v>
      </c>
      <c r="F22" s="4">
        <f>SUMIFS(tblDaily[Deaths],tblDaily[Month],2,tblDaily[WardCode],"CW")</f>
        <v>0</v>
      </c>
      <c r="G22" s="4">
        <f>SUMIFS(tblDaily[DeathsUnder24Hrs],tblDaily[Month],2,tblDaily[WardCode],"CW")</f>
        <v>0</v>
      </c>
      <c r="H22" s="4">
        <f>SUMIFS(tblDaily[Remaining],tblDaily[Month],2,tblDaily[WardCode],"CW")</f>
        <v>12</v>
      </c>
      <c r="I22" s="4">
        <f>SUMIFS(tblDaily[TransfersIn],tblDaily[Month],2,tblDaily[WardCode],"CW")</f>
        <v>0</v>
      </c>
      <c r="J22" s="4">
        <f>SUMIFS(tblDaily[TransfersOut],tblDaily[Month],2,tblDaily[WardCode],"CW")</f>
        <v>0</v>
      </c>
      <c r="K22" s="16">
        <f t="shared" si="8"/>
        <v>0.42857142857142855</v>
      </c>
      <c r="L22" s="16">
        <f t="shared" si="9"/>
        <v>6</v>
      </c>
      <c r="M22" s="16">
        <f t="shared" si="10"/>
        <v>372</v>
      </c>
      <c r="N22" s="16">
        <f t="shared" si="11"/>
        <v>7.407407407407407E-2</v>
      </c>
      <c r="O22" s="16">
        <f t="shared" si="12"/>
        <v>1.5873015873015872</v>
      </c>
      <c r="P22" s="16">
        <f t="shared" si="13"/>
        <v>0</v>
      </c>
    </row>
    <row r="23" spans="1:16" x14ac:dyDescent="0.25">
      <c r="A23" s="15" t="s">
        <v>37</v>
      </c>
      <c r="B23" s="4">
        <f>IFERROR(SUMIFS(tblDaily[Remaining],tblDaily[EntryDate],DATE(2026,1,31),tblDaily[WardCode],"BF"),0)</f>
        <v>6</v>
      </c>
      <c r="C23" s="4">
        <f>IFERROR(INDEX(tblWardConfig[BedComplement],MATCH("BF",tblWardConfig[WardCode],0)),0)</f>
        <v>20</v>
      </c>
      <c r="D23" s="4">
        <f>SUMIFS(tblDaily[Admissions],tblDaily[Month],2,tblDaily[WardCode],"BF") - SUMIFS(tblDaily[DeathsUnder24Hrs],tblDaily[Month],2,tblDaily[WardCode],"BF")</f>
        <v>3</v>
      </c>
      <c r="E23" s="4">
        <f>SUMIFS(tblDaily[Discharges],tblDaily[Month],2,tblDaily[WardCode],"BF")</f>
        <v>1</v>
      </c>
      <c r="F23" s="4">
        <f>SUMIFS(tblDaily[Deaths],tblDaily[Month],2,tblDaily[WardCode],"BF")</f>
        <v>0</v>
      </c>
      <c r="G23" s="4">
        <f>SUMIFS(tblDaily[DeathsUnder24Hrs],tblDaily[Month],2,tblDaily[WardCode],"BF")</f>
        <v>0</v>
      </c>
      <c r="H23" s="4">
        <f>SUMIFS(tblDaily[Remaining],tblDaily[Month],2,tblDaily[WardCode],"BF")</f>
        <v>8</v>
      </c>
      <c r="I23" s="4">
        <f>SUMIFS(tblDaily[TransfersIn],tblDaily[Month],2,tblDaily[WardCode],"BF")</f>
        <v>0</v>
      </c>
      <c r="J23" s="4">
        <f>SUMIFS(tblDaily[TransfersOut],tblDaily[Month],2,tblDaily[WardCode],"BF")</f>
        <v>0</v>
      </c>
      <c r="K23" s="16">
        <f t="shared" si="8"/>
        <v>0.2857142857142857</v>
      </c>
      <c r="L23" s="16">
        <f t="shared" si="9"/>
        <v>8</v>
      </c>
      <c r="M23" s="16">
        <f t="shared" si="10"/>
        <v>552</v>
      </c>
      <c r="N23" s="16">
        <f t="shared" si="11"/>
        <v>0.05</v>
      </c>
      <c r="O23" s="16">
        <f t="shared" si="12"/>
        <v>1.4285714285714286</v>
      </c>
      <c r="P23" s="16">
        <f t="shared" si="13"/>
        <v>0</v>
      </c>
    </row>
    <row r="24" spans="1:16" x14ac:dyDescent="0.25">
      <c r="A24" s="15" t="s">
        <v>39</v>
      </c>
      <c r="B24" s="4">
        <f>IFERROR(SUMIFS(tblDaily[Remaining],tblDaily[EntryDate],DATE(2026,1,31),tblDaily[WardCode],"BG"),0)</f>
        <v>12</v>
      </c>
      <c r="C24" s="4">
        <f>IFERROR(INDEX(tblWardConfig[BedComplement],MATCH("BG",tblWardConfig[WardCode],0)),0)</f>
        <v>14</v>
      </c>
      <c r="D24" s="4">
        <f>SUMIFS(tblDaily[Admissions],tblDaily[Month],2,tblDaily[WardCode],"BG") - SUMIFS(tblDaily[DeathsUnder24Hrs],tblDaily[Month],2,tblDaily[WardCode],"BG")</f>
        <v>0</v>
      </c>
      <c r="E24" s="4">
        <f>SUMIFS(tblDaily[Discharges],tblDaily[Month],2,tblDaily[WardCode],"BG")</f>
        <v>0</v>
      </c>
      <c r="F24" s="4">
        <f>SUMIFS(tblDaily[Deaths],tblDaily[Month],2,tblDaily[WardCode],"BG")</f>
        <v>0</v>
      </c>
      <c r="G24" s="4">
        <f>SUMIFS(tblDaily[DeathsUnder24Hrs],tblDaily[Month],2,tblDaily[WardCode],"BG")</f>
        <v>0</v>
      </c>
      <c r="H24" s="4">
        <f>SUMIFS(tblDaily[Remaining],tblDaily[Month],2,tblDaily[WardCode],"BG")</f>
        <v>12</v>
      </c>
      <c r="I24" s="4">
        <f>SUMIFS(tblDaily[TransfersIn],tblDaily[Month],2,tblDaily[WardCode],"BG")</f>
        <v>0</v>
      </c>
      <c r="J24" s="4">
        <f>SUMIFS(tblDaily[TransfersOut],tblDaily[Month],2,tblDaily[WardCode],"BG")</f>
        <v>0</v>
      </c>
      <c r="K24" s="16">
        <f t="shared" si="8"/>
        <v>0.42857142857142855</v>
      </c>
      <c r="L24" s="16">
        <f t="shared" si="9"/>
        <v>0</v>
      </c>
      <c r="M24" s="16">
        <f t="shared" si="10"/>
        <v>0</v>
      </c>
      <c r="N24" s="16">
        <f t="shared" si="11"/>
        <v>0</v>
      </c>
      <c r="O24" s="16">
        <f t="shared" si="12"/>
        <v>3.0612244897959182</v>
      </c>
      <c r="P24" s="16">
        <f t="shared" si="13"/>
        <v>0</v>
      </c>
    </row>
    <row r="25" spans="1:16" x14ac:dyDescent="0.25">
      <c r="A25" s="15" t="s">
        <v>41</v>
      </c>
      <c r="B25" s="4">
        <f>IFERROR(SUMIFS(tblDaily[Remaining],tblDaily[EntryDate],DATE(2026,1,31),tblDaily[WardCode],"BH"),0)</f>
        <v>7</v>
      </c>
      <c r="C25" s="4">
        <f>IFERROR(INDEX(tblWardConfig[BedComplement],MATCH("BH",tblWardConfig[WardCode],0)),0)</f>
        <v>22</v>
      </c>
      <c r="D25" s="4">
        <f>SUMIFS(tblDaily[Admissions],tblDaily[Month],2,tblDaily[WardCode],"BH") - SUMIFS(tblDaily[DeathsUnder24Hrs],tblDaily[Month],2,tblDaily[WardCode],"BH")</f>
        <v>0</v>
      </c>
      <c r="E25" s="4">
        <f>SUMIFS(tblDaily[Discharges],tblDaily[Month],2,tblDaily[WardCode],"BH")</f>
        <v>0</v>
      </c>
      <c r="F25" s="4">
        <f>SUMIFS(tblDaily[Deaths],tblDaily[Month],2,tblDaily[WardCode],"BH")</f>
        <v>0</v>
      </c>
      <c r="G25" s="4">
        <f>SUMIFS(tblDaily[DeathsUnder24Hrs],tblDaily[Month],2,tblDaily[WardCode],"BH")</f>
        <v>0</v>
      </c>
      <c r="H25" s="4">
        <f>SUMIFS(tblDaily[Remaining],tblDaily[Month],2,tblDaily[WardCode],"BH")</f>
        <v>7</v>
      </c>
      <c r="I25" s="4">
        <f>SUMIFS(tblDaily[TransfersIn],tblDaily[Month],2,tblDaily[WardCode],"BH")</f>
        <v>0</v>
      </c>
      <c r="J25" s="4">
        <f>SUMIFS(tblDaily[TransfersOut],tblDaily[Month],2,tblDaily[WardCode],"BH")</f>
        <v>0</v>
      </c>
      <c r="K25" s="16">
        <f t="shared" si="8"/>
        <v>0.25</v>
      </c>
      <c r="L25" s="16">
        <f t="shared" si="9"/>
        <v>0</v>
      </c>
      <c r="M25" s="16">
        <f t="shared" si="10"/>
        <v>0</v>
      </c>
      <c r="N25" s="16">
        <f t="shared" si="11"/>
        <v>0</v>
      </c>
      <c r="O25" s="16">
        <f t="shared" si="12"/>
        <v>1.1363636363636365</v>
      </c>
      <c r="P25" s="16">
        <f t="shared" si="13"/>
        <v>0</v>
      </c>
    </row>
    <row r="26" spans="1:16" x14ac:dyDescent="0.25">
      <c r="A26" s="15" t="s">
        <v>43</v>
      </c>
      <c r="B26" s="4">
        <f>IFERROR(SUMIFS(tblDaily[Remaining],tblDaily[EntryDate],DATE(2026,1,31),tblDaily[WardCode],"NICU"),0)</f>
        <v>7</v>
      </c>
      <c r="C26" s="4">
        <f>IFERROR(INDEX(tblWardConfig[BedComplement],MATCH("NICU",tblWardConfig[WardCode],0)),0)</f>
        <v>15</v>
      </c>
      <c r="D26" s="4">
        <f>SUMIFS(tblDaily[Admissions],tblDaily[Month],2,tblDaily[WardCode],"NICU") - SUMIFS(tblDaily[DeathsUnder24Hrs],tblDaily[Month],2,tblDaily[WardCode],"NICU")</f>
        <v>0</v>
      </c>
      <c r="E26" s="4">
        <f>SUMIFS(tblDaily[Discharges],tblDaily[Month],2,tblDaily[WardCode],"NICU")</f>
        <v>4</v>
      </c>
      <c r="F26" s="4">
        <f>SUMIFS(tblDaily[Deaths],tblDaily[Month],2,tblDaily[WardCode],"NICU")</f>
        <v>0</v>
      </c>
      <c r="G26" s="4">
        <f>SUMIFS(tblDaily[DeathsUnder24Hrs],tblDaily[Month],2,tblDaily[WardCode],"NICU")</f>
        <v>0</v>
      </c>
      <c r="H26" s="4">
        <f>SUMIFS(tblDaily[Remaining],tblDaily[Month],2,tblDaily[WardCode],"NICU")</f>
        <v>8</v>
      </c>
      <c r="I26" s="4">
        <f>SUMIFS(tblDaily[TransfersIn],tblDaily[Month],2,tblDaily[WardCode],"NICU")</f>
        <v>0</v>
      </c>
      <c r="J26" s="4">
        <f>SUMIFS(tblDaily[TransfersOut],tblDaily[Month],2,tblDaily[WardCode],"NICU")</f>
        <v>0</v>
      </c>
      <c r="K26" s="16">
        <f t="shared" si="8"/>
        <v>0.2857142857142857</v>
      </c>
      <c r="L26" s="16">
        <f t="shared" si="9"/>
        <v>2</v>
      </c>
      <c r="M26" s="16">
        <f t="shared" si="10"/>
        <v>103</v>
      </c>
      <c r="N26" s="16">
        <f t="shared" si="11"/>
        <v>0.26666666666666666</v>
      </c>
      <c r="O26" s="16">
        <f t="shared" si="12"/>
        <v>1.9047619047619049</v>
      </c>
      <c r="P26" s="16">
        <f t="shared" si="13"/>
        <v>0</v>
      </c>
    </row>
    <row r="27" spans="1:16" x14ac:dyDescent="0.25">
      <c r="A27" s="15" t="s">
        <v>45</v>
      </c>
      <c r="B27" s="4">
        <f>IFERROR(SUMIFS(tblDaily[Remaining],tblDaily[EntryDate],DATE(2026,1,31),tblDaily[WardCode],"MAE"),0)</f>
        <v>1</v>
      </c>
      <c r="C27" s="4">
        <f>IFERROR(INDEX(tblWardConfig[BedComplement],MATCH("MAE",tblWardConfig[WardCode],0)),0)</f>
        <v>10</v>
      </c>
      <c r="D27" s="4">
        <f>SUMIFS(tblDaily[Admissions],tblDaily[Month],2,tblDaily[WardCode],"MAE") - SUMIFS(tblDaily[DeathsUnder24Hrs],tblDaily[Month],2,tblDaily[WardCode],"MAE")</f>
        <v>3</v>
      </c>
      <c r="E27" s="4">
        <f>SUMIFS(tblDaily[Discharges],tblDaily[Month],2,tblDaily[WardCode],"MAE")</f>
        <v>3</v>
      </c>
      <c r="F27" s="4">
        <f>SUMIFS(tblDaily[Deaths],tblDaily[Month],2,tblDaily[WardCode],"MAE")</f>
        <v>0</v>
      </c>
      <c r="G27" s="4">
        <f>SUMIFS(tblDaily[DeathsUnder24Hrs],tblDaily[Month],2,tblDaily[WardCode],"MAE")</f>
        <v>0</v>
      </c>
      <c r="H27" s="4">
        <f>SUMIFS(tblDaily[Remaining],tblDaily[Month],2,tblDaily[WardCode],"MAE")</f>
        <v>3</v>
      </c>
      <c r="I27" s="4">
        <f>SUMIFS(tblDaily[TransfersIn],tblDaily[Month],2,tblDaily[WardCode],"MAE")</f>
        <v>2</v>
      </c>
      <c r="J27" s="4">
        <f>SUMIFS(tblDaily[TransfersOut],tblDaily[Month],2,tblDaily[WardCode],"MAE")</f>
        <v>0</v>
      </c>
      <c r="K27" s="16">
        <f t="shared" si="8"/>
        <v>0.10714285714285714</v>
      </c>
      <c r="L27" s="16">
        <f t="shared" si="9"/>
        <v>1</v>
      </c>
      <c r="M27" s="16">
        <f t="shared" si="10"/>
        <v>92.333333333333329</v>
      </c>
      <c r="N27" s="16">
        <f t="shared" si="11"/>
        <v>0.3</v>
      </c>
      <c r="O27" s="16">
        <f t="shared" si="12"/>
        <v>1.0714285714285714</v>
      </c>
      <c r="P27" s="16">
        <f t="shared" si="13"/>
        <v>0</v>
      </c>
    </row>
    <row r="28" spans="1:16" x14ac:dyDescent="0.25">
      <c r="A28" s="15" t="s">
        <v>47</v>
      </c>
      <c r="B28" s="4">
        <f>IFERROR(SUMIFS(tblDaily[Remaining],tblDaily[EntryDate],DATE(2026,1,31),tblDaily[WardCode],"FAE"),0)</f>
        <v>4</v>
      </c>
      <c r="C28" s="4">
        <f>IFERROR(INDEX(tblWardConfig[BedComplement],MATCH("FAE",tblWardConfig[WardCode],0)),0)</f>
        <v>10</v>
      </c>
      <c r="D28" s="4">
        <f>SUMIFS(tblDaily[Admissions],tblDaily[Month],2,tblDaily[WardCode],"FAE") - SUMIFS(tblDaily[DeathsUnder24Hrs],tblDaily[Month],2,tblDaily[WardCode],"FAE")</f>
        <v>0</v>
      </c>
      <c r="E28" s="4">
        <f>SUMIFS(tblDaily[Discharges],tblDaily[Month],2,tblDaily[WardCode],"FAE")</f>
        <v>0</v>
      </c>
      <c r="F28" s="4">
        <f>SUMIFS(tblDaily[Deaths],tblDaily[Month],2,tblDaily[WardCode],"FAE")</f>
        <v>0</v>
      </c>
      <c r="G28" s="4">
        <f>SUMIFS(tblDaily[DeathsUnder24Hrs],tblDaily[Month],2,tblDaily[WardCode],"FAE")</f>
        <v>0</v>
      </c>
      <c r="H28" s="4">
        <f>SUMIFS(tblDaily[Remaining],tblDaily[Month],2,tblDaily[WardCode],"FAE")</f>
        <v>0</v>
      </c>
      <c r="I28" s="4">
        <f>SUMIFS(tblDaily[TransfersIn],tblDaily[Month],2,tblDaily[WardCode],"FAE")</f>
        <v>0</v>
      </c>
      <c r="J28" s="4">
        <f>SUMIFS(tblDaily[TransfersOut],tblDaily[Month],2,tblDaily[WardCode],"FAE")</f>
        <v>0</v>
      </c>
      <c r="K28" s="16">
        <f t="shared" si="8"/>
        <v>0</v>
      </c>
      <c r="L28" s="16">
        <f t="shared" si="9"/>
        <v>0</v>
      </c>
      <c r="M28" s="16">
        <f t="shared" si="10"/>
        <v>0</v>
      </c>
      <c r="N28" s="16">
        <f t="shared" si="11"/>
        <v>0</v>
      </c>
      <c r="O28" s="16">
        <f t="shared" si="12"/>
        <v>0</v>
      </c>
      <c r="P28" s="16">
        <f t="shared" si="13"/>
        <v>0</v>
      </c>
    </row>
    <row r="29" spans="1:16" x14ac:dyDescent="0.25">
      <c r="A29" s="17" t="s">
        <v>144</v>
      </c>
      <c r="B29" s="15">
        <f>SUMIFS(tblDaily[Remaining],tblDaily[EntryDate],DATE(2026,2,28),tblDaily[WardCode],"MAE")+SUMIFS(tblDaily[Remaining],tblDaily[EntryDate],DATE(2026,2,28),tblDaily[WardCode],"FAE")</f>
        <v>0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1:16" x14ac:dyDescent="0.25">
      <c r="A30" s="9" t="s">
        <v>112</v>
      </c>
      <c r="B30" s="9">
        <f t="shared" ref="B30:J30" si="14">SUM(B20:B28)</f>
        <v>80</v>
      </c>
      <c r="C30" s="9">
        <f t="shared" si="14"/>
        <v>178</v>
      </c>
      <c r="D30" s="9">
        <f t="shared" si="14"/>
        <v>44</v>
      </c>
      <c r="E30" s="9">
        <f t="shared" si="14"/>
        <v>50</v>
      </c>
      <c r="F30" s="9">
        <f t="shared" si="14"/>
        <v>8</v>
      </c>
      <c r="G30" s="9">
        <f t="shared" si="14"/>
        <v>0</v>
      </c>
      <c r="H30" s="9">
        <f t="shared" si="14"/>
        <v>329</v>
      </c>
      <c r="I30" s="9">
        <f t="shared" si="14"/>
        <v>17</v>
      </c>
      <c r="J30" s="9">
        <f t="shared" si="14"/>
        <v>0</v>
      </c>
      <c r="K30" s="19">
        <f>IFERROR(H30/28,0)</f>
        <v>11.75</v>
      </c>
      <c r="L30" s="19">
        <f>IFERROR(H30/(E30+F30),0)</f>
        <v>5.6724137931034484</v>
      </c>
      <c r="M30" s="19">
        <f>IFERROR((C30*28-H30)/(E30+F30),0)</f>
        <v>80.258620689655174</v>
      </c>
      <c r="N30" s="19">
        <f>IFERROR((E30+F30)/C30,0)</f>
        <v>0.3258426966292135</v>
      </c>
      <c r="O30" s="19">
        <f>IFERROR((H30/(C30*28))*100,0)</f>
        <v>6.6011235955056176</v>
      </c>
      <c r="P30" s="19">
        <f>IFERROR((F30/(D30+B30))*100,0)</f>
        <v>6.4516129032258061</v>
      </c>
    </row>
    <row r="31" spans="1:16" x14ac:dyDescent="0.25">
      <c r="A31" s="20" t="s">
        <v>145</v>
      </c>
      <c r="B31" s="20">
        <f t="shared" ref="B31:J31" si="15">B27+B28</f>
        <v>5</v>
      </c>
      <c r="C31" s="20">
        <f t="shared" si="15"/>
        <v>20</v>
      </c>
      <c r="D31" s="20">
        <f t="shared" si="15"/>
        <v>3</v>
      </c>
      <c r="E31" s="20">
        <f t="shared" si="15"/>
        <v>3</v>
      </c>
      <c r="F31" s="20">
        <f t="shared" si="15"/>
        <v>0</v>
      </c>
      <c r="G31" s="20">
        <f t="shared" si="15"/>
        <v>0</v>
      </c>
      <c r="H31" s="20">
        <f t="shared" si="15"/>
        <v>3</v>
      </c>
      <c r="I31" s="20">
        <f t="shared" si="15"/>
        <v>2</v>
      </c>
      <c r="J31" s="20">
        <f t="shared" si="15"/>
        <v>0</v>
      </c>
      <c r="K31" s="21">
        <f>IFERROR(H31/28,0)</f>
        <v>0.10714285714285714</v>
      </c>
      <c r="L31" s="21">
        <f>IFERROR(H31/(E31+F31),0)</f>
        <v>1</v>
      </c>
      <c r="M31" s="21">
        <f>IFERROR((C31*28-H31)/(E31+F31),0)</f>
        <v>185.66666666666666</v>
      </c>
      <c r="N31" s="21">
        <f>IFERROR((E31+F31)/C31,0)</f>
        <v>0.15</v>
      </c>
      <c r="O31" s="21">
        <f>IFERROR((H31/(C31*28))*100,0)</f>
        <v>0.5357142857142857</v>
      </c>
      <c r="P31" s="21">
        <f>IFERROR((F31/(D31+B31))*100,0)</f>
        <v>0</v>
      </c>
    </row>
    <row r="33" spans="1:16" ht="18.75" x14ac:dyDescent="0.25">
      <c r="A33" s="28" t="s">
        <v>0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</row>
    <row r="34" spans="1:16" ht="15.75" x14ac:dyDescent="0.25">
      <c r="A34" s="35" t="s">
        <v>147</v>
      </c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</row>
    <row r="35" spans="1:16" ht="38.25" x14ac:dyDescent="0.25">
      <c r="A35" s="8" t="s">
        <v>132</v>
      </c>
      <c r="B35" s="8" t="s">
        <v>133</v>
      </c>
      <c r="C35" s="8" t="s">
        <v>134</v>
      </c>
      <c r="D35" s="8" t="s">
        <v>74</v>
      </c>
      <c r="E35" s="8" t="s">
        <v>75</v>
      </c>
      <c r="F35" s="8" t="s">
        <v>76</v>
      </c>
      <c r="G35" s="8" t="s">
        <v>108</v>
      </c>
      <c r="H35" s="8" t="s">
        <v>135</v>
      </c>
      <c r="I35" s="8" t="s">
        <v>136</v>
      </c>
      <c r="J35" s="8" t="s">
        <v>137</v>
      </c>
      <c r="K35" s="8" t="s">
        <v>138</v>
      </c>
      <c r="L35" s="8" t="s">
        <v>139</v>
      </c>
      <c r="M35" s="8" t="s">
        <v>140</v>
      </c>
      <c r="N35" s="8" t="s">
        <v>141</v>
      </c>
      <c r="O35" s="8" t="s">
        <v>142</v>
      </c>
      <c r="P35" s="8" t="s">
        <v>143</v>
      </c>
    </row>
    <row r="36" spans="1:16" x14ac:dyDescent="0.25">
      <c r="A36" s="15" t="s">
        <v>31</v>
      </c>
      <c r="B36" s="4">
        <f>IFERROR(SUMIFS(tblDaily[Remaining],tblDaily[EntryDate],DATE(2026,2,28),tblDaily[WardCode],"MW"),0)</f>
        <v>0</v>
      </c>
      <c r="C36" s="4">
        <f>IFERROR(INDEX(tblWardConfig[BedComplement],MATCH("MW",tblWardConfig[WardCode],0)),0)</f>
        <v>32</v>
      </c>
      <c r="D36" s="4">
        <f>SUMIFS(tblDaily[Admissions],tblDaily[Month],3,tblDaily[WardCode],"MW") - SUMIFS(tblDaily[DeathsUnder24Hrs],tblDaily[Month],3,tblDaily[WardCode],"MW")</f>
        <v>0</v>
      </c>
      <c r="E36" s="4">
        <f>SUMIFS(tblDaily[Discharges],tblDaily[Month],3,tblDaily[WardCode],"MW")</f>
        <v>0</v>
      </c>
      <c r="F36" s="4">
        <f>SUMIFS(tblDaily[Deaths],tblDaily[Month],3,tblDaily[WardCode],"MW")</f>
        <v>0</v>
      </c>
      <c r="G36" s="4">
        <f>SUMIFS(tblDaily[DeathsUnder24Hrs],tblDaily[Month],3,tblDaily[WardCode],"MW")</f>
        <v>0</v>
      </c>
      <c r="H36" s="4">
        <f>SUMIFS(tblDaily[Remaining],tblDaily[Month],3,tblDaily[WardCode],"MW")</f>
        <v>0</v>
      </c>
      <c r="I36" s="4">
        <f>SUMIFS(tblDaily[TransfersIn],tblDaily[Month],3,tblDaily[WardCode],"MW")</f>
        <v>0</v>
      </c>
      <c r="J36" s="4">
        <f>SUMIFS(tblDaily[TransfersOut],tblDaily[Month],3,tblDaily[WardCode],"MW")</f>
        <v>0</v>
      </c>
      <c r="K36" s="16">
        <f t="shared" ref="K36:K44" si="16">IFERROR(H36/31,0)</f>
        <v>0</v>
      </c>
      <c r="L36" s="16">
        <f t="shared" ref="L36:L44" si="17">IFERROR(H36/(E36+F36),0)</f>
        <v>0</v>
      </c>
      <c r="M36" s="16">
        <f t="shared" ref="M36:M44" si="18">IFERROR((C36*31-H36)/(E36+F36),0)</f>
        <v>0</v>
      </c>
      <c r="N36" s="16">
        <f t="shared" ref="N36:N44" si="19">IFERROR((E36+F36)/C36,0)</f>
        <v>0</v>
      </c>
      <c r="O36" s="16">
        <f t="shared" ref="O36:O44" si="20">IFERROR((H36/(C36*31))*100,0)</f>
        <v>0</v>
      </c>
      <c r="P36" s="16">
        <f t="shared" ref="P36:P44" si="21">IFERROR((F36/(D36+B36))*100,0)</f>
        <v>0</v>
      </c>
    </row>
    <row r="37" spans="1:16" x14ac:dyDescent="0.25">
      <c r="A37" s="15" t="s">
        <v>33</v>
      </c>
      <c r="B37" s="4">
        <f>IFERROR(SUMIFS(tblDaily[Remaining],tblDaily[EntryDate],DATE(2026,2,28),tblDaily[WardCode],"FW"),0)</f>
        <v>0</v>
      </c>
      <c r="C37" s="4">
        <f>IFERROR(INDEX(tblWardConfig[BedComplement],MATCH("FW",tblWardConfig[WardCode],0)),0)</f>
        <v>28</v>
      </c>
      <c r="D37" s="4">
        <f>SUMIFS(tblDaily[Admissions],tblDaily[Month],3,tblDaily[WardCode],"FW") - SUMIFS(tblDaily[DeathsUnder24Hrs],tblDaily[Month],3,tblDaily[WardCode],"FW")</f>
        <v>0</v>
      </c>
      <c r="E37" s="4">
        <f>SUMIFS(tblDaily[Discharges],tblDaily[Month],3,tblDaily[WardCode],"FW")</f>
        <v>0</v>
      </c>
      <c r="F37" s="4">
        <f>SUMIFS(tblDaily[Deaths],tblDaily[Month],3,tblDaily[WardCode],"FW")</f>
        <v>0</v>
      </c>
      <c r="G37" s="4">
        <f>SUMIFS(tblDaily[DeathsUnder24Hrs],tblDaily[Month],3,tblDaily[WardCode],"FW")</f>
        <v>0</v>
      </c>
      <c r="H37" s="4">
        <f>SUMIFS(tblDaily[Remaining],tblDaily[Month],3,tblDaily[WardCode],"FW")</f>
        <v>0</v>
      </c>
      <c r="I37" s="4">
        <f>SUMIFS(tblDaily[TransfersIn],tblDaily[Month],3,tblDaily[WardCode],"FW")</f>
        <v>0</v>
      </c>
      <c r="J37" s="4">
        <f>SUMIFS(tblDaily[TransfersOut],tblDaily[Month],3,tblDaily[WardCode],"FW")</f>
        <v>0</v>
      </c>
      <c r="K37" s="16">
        <f t="shared" si="16"/>
        <v>0</v>
      </c>
      <c r="L37" s="16">
        <f t="shared" si="17"/>
        <v>0</v>
      </c>
      <c r="M37" s="16">
        <f t="shared" si="18"/>
        <v>0</v>
      </c>
      <c r="N37" s="16">
        <f t="shared" si="19"/>
        <v>0</v>
      </c>
      <c r="O37" s="16">
        <f t="shared" si="20"/>
        <v>0</v>
      </c>
      <c r="P37" s="16">
        <f t="shared" si="21"/>
        <v>0</v>
      </c>
    </row>
    <row r="38" spans="1:16" x14ac:dyDescent="0.25">
      <c r="A38" s="15" t="s">
        <v>35</v>
      </c>
      <c r="B38" s="4">
        <f>IFERROR(SUMIFS(tblDaily[Remaining],tblDaily[EntryDate],DATE(2026,2,28),tblDaily[WardCode],"CW"),0)</f>
        <v>0</v>
      </c>
      <c r="C38" s="4">
        <f>IFERROR(INDEX(tblWardConfig[BedComplement],MATCH("CW",tblWardConfig[WardCode],0)),0)</f>
        <v>27</v>
      </c>
      <c r="D38" s="4">
        <f>SUMIFS(tblDaily[Admissions],tblDaily[Month],3,tblDaily[WardCode],"CW") - SUMIFS(tblDaily[DeathsUnder24Hrs],tblDaily[Month],3,tblDaily[WardCode],"CW")</f>
        <v>0</v>
      </c>
      <c r="E38" s="4">
        <f>SUMIFS(tblDaily[Discharges],tblDaily[Month],3,tblDaily[WardCode],"CW")</f>
        <v>0</v>
      </c>
      <c r="F38" s="4">
        <f>SUMIFS(tblDaily[Deaths],tblDaily[Month],3,tblDaily[WardCode],"CW")</f>
        <v>0</v>
      </c>
      <c r="G38" s="4">
        <f>SUMIFS(tblDaily[DeathsUnder24Hrs],tblDaily[Month],3,tblDaily[WardCode],"CW")</f>
        <v>0</v>
      </c>
      <c r="H38" s="4">
        <f>SUMIFS(tblDaily[Remaining],tblDaily[Month],3,tblDaily[WardCode],"CW")</f>
        <v>0</v>
      </c>
      <c r="I38" s="4">
        <f>SUMIFS(tblDaily[TransfersIn],tblDaily[Month],3,tblDaily[WardCode],"CW")</f>
        <v>0</v>
      </c>
      <c r="J38" s="4">
        <f>SUMIFS(tblDaily[TransfersOut],tblDaily[Month],3,tblDaily[WardCode],"CW")</f>
        <v>0</v>
      </c>
      <c r="K38" s="16">
        <f t="shared" si="16"/>
        <v>0</v>
      </c>
      <c r="L38" s="16">
        <f t="shared" si="17"/>
        <v>0</v>
      </c>
      <c r="M38" s="16">
        <f t="shared" si="18"/>
        <v>0</v>
      </c>
      <c r="N38" s="16">
        <f t="shared" si="19"/>
        <v>0</v>
      </c>
      <c r="O38" s="16">
        <f t="shared" si="20"/>
        <v>0</v>
      </c>
      <c r="P38" s="16">
        <f t="shared" si="21"/>
        <v>0</v>
      </c>
    </row>
    <row r="39" spans="1:16" x14ac:dyDescent="0.25">
      <c r="A39" s="15" t="s">
        <v>37</v>
      </c>
      <c r="B39" s="4">
        <f>IFERROR(SUMIFS(tblDaily[Remaining],tblDaily[EntryDate],DATE(2026,2,28),tblDaily[WardCode],"BF"),0)</f>
        <v>0</v>
      </c>
      <c r="C39" s="4">
        <f>IFERROR(INDEX(tblWardConfig[BedComplement],MATCH("BF",tblWardConfig[WardCode],0)),0)</f>
        <v>20</v>
      </c>
      <c r="D39" s="4">
        <f>SUMIFS(tblDaily[Admissions],tblDaily[Month],3,tblDaily[WardCode],"BF") - SUMIFS(tblDaily[DeathsUnder24Hrs],tblDaily[Month],3,tblDaily[WardCode],"BF")</f>
        <v>0</v>
      </c>
      <c r="E39" s="4">
        <f>SUMIFS(tblDaily[Discharges],tblDaily[Month],3,tblDaily[WardCode],"BF")</f>
        <v>0</v>
      </c>
      <c r="F39" s="4">
        <f>SUMIFS(tblDaily[Deaths],tblDaily[Month],3,tblDaily[WardCode],"BF")</f>
        <v>0</v>
      </c>
      <c r="G39" s="4">
        <f>SUMIFS(tblDaily[DeathsUnder24Hrs],tblDaily[Month],3,tblDaily[WardCode],"BF")</f>
        <v>0</v>
      </c>
      <c r="H39" s="4">
        <f>SUMIFS(tblDaily[Remaining],tblDaily[Month],3,tblDaily[WardCode],"BF")</f>
        <v>0</v>
      </c>
      <c r="I39" s="4">
        <f>SUMIFS(tblDaily[TransfersIn],tblDaily[Month],3,tblDaily[WardCode],"BF")</f>
        <v>0</v>
      </c>
      <c r="J39" s="4">
        <f>SUMIFS(tblDaily[TransfersOut],tblDaily[Month],3,tblDaily[WardCode],"BF")</f>
        <v>0</v>
      </c>
      <c r="K39" s="16">
        <f t="shared" si="16"/>
        <v>0</v>
      </c>
      <c r="L39" s="16">
        <f t="shared" si="17"/>
        <v>0</v>
      </c>
      <c r="M39" s="16">
        <f t="shared" si="18"/>
        <v>0</v>
      </c>
      <c r="N39" s="16">
        <f t="shared" si="19"/>
        <v>0</v>
      </c>
      <c r="O39" s="16">
        <f t="shared" si="20"/>
        <v>0</v>
      </c>
      <c r="P39" s="16">
        <f t="shared" si="21"/>
        <v>0</v>
      </c>
    </row>
    <row r="40" spans="1:16" x14ac:dyDescent="0.25">
      <c r="A40" s="15" t="s">
        <v>39</v>
      </c>
      <c r="B40" s="4">
        <f>IFERROR(SUMIFS(tblDaily[Remaining],tblDaily[EntryDate],DATE(2026,2,28),tblDaily[WardCode],"BG"),0)</f>
        <v>0</v>
      </c>
      <c r="C40" s="4">
        <f>IFERROR(INDEX(tblWardConfig[BedComplement],MATCH("BG",tblWardConfig[WardCode],0)),0)</f>
        <v>14</v>
      </c>
      <c r="D40" s="4">
        <f>SUMIFS(tblDaily[Admissions],tblDaily[Month],3,tblDaily[WardCode],"BG") - SUMIFS(tblDaily[DeathsUnder24Hrs],tblDaily[Month],3,tblDaily[WardCode],"BG")</f>
        <v>0</v>
      </c>
      <c r="E40" s="4">
        <f>SUMIFS(tblDaily[Discharges],tblDaily[Month],3,tblDaily[WardCode],"BG")</f>
        <v>0</v>
      </c>
      <c r="F40" s="4">
        <f>SUMIFS(tblDaily[Deaths],tblDaily[Month],3,tblDaily[WardCode],"BG")</f>
        <v>0</v>
      </c>
      <c r="G40" s="4">
        <f>SUMIFS(tblDaily[DeathsUnder24Hrs],tblDaily[Month],3,tblDaily[WardCode],"BG")</f>
        <v>0</v>
      </c>
      <c r="H40" s="4">
        <f>SUMIFS(tblDaily[Remaining],tblDaily[Month],3,tblDaily[WardCode],"BG")</f>
        <v>0</v>
      </c>
      <c r="I40" s="4">
        <f>SUMIFS(tblDaily[TransfersIn],tblDaily[Month],3,tblDaily[WardCode],"BG")</f>
        <v>0</v>
      </c>
      <c r="J40" s="4">
        <f>SUMIFS(tblDaily[TransfersOut],tblDaily[Month],3,tblDaily[WardCode],"BG")</f>
        <v>0</v>
      </c>
      <c r="K40" s="16">
        <f t="shared" si="16"/>
        <v>0</v>
      </c>
      <c r="L40" s="16">
        <f t="shared" si="17"/>
        <v>0</v>
      </c>
      <c r="M40" s="16">
        <f t="shared" si="18"/>
        <v>0</v>
      </c>
      <c r="N40" s="16">
        <f t="shared" si="19"/>
        <v>0</v>
      </c>
      <c r="O40" s="16">
        <f t="shared" si="20"/>
        <v>0</v>
      </c>
      <c r="P40" s="16">
        <f t="shared" si="21"/>
        <v>0</v>
      </c>
    </row>
    <row r="41" spans="1:16" x14ac:dyDescent="0.25">
      <c r="A41" s="15" t="s">
        <v>41</v>
      </c>
      <c r="B41" s="4">
        <f>IFERROR(SUMIFS(tblDaily[Remaining],tblDaily[EntryDate],DATE(2026,2,28),tblDaily[WardCode],"BH"),0)</f>
        <v>0</v>
      </c>
      <c r="C41" s="4">
        <f>IFERROR(INDEX(tblWardConfig[BedComplement],MATCH("BH",tblWardConfig[WardCode],0)),0)</f>
        <v>22</v>
      </c>
      <c r="D41" s="4">
        <f>SUMIFS(tblDaily[Admissions],tblDaily[Month],3,tblDaily[WardCode],"BH") - SUMIFS(tblDaily[DeathsUnder24Hrs],tblDaily[Month],3,tblDaily[WardCode],"BH")</f>
        <v>0</v>
      </c>
      <c r="E41" s="4">
        <f>SUMIFS(tblDaily[Discharges],tblDaily[Month],3,tblDaily[WardCode],"BH")</f>
        <v>0</v>
      </c>
      <c r="F41" s="4">
        <f>SUMIFS(tblDaily[Deaths],tblDaily[Month],3,tblDaily[WardCode],"BH")</f>
        <v>0</v>
      </c>
      <c r="G41" s="4">
        <f>SUMIFS(tblDaily[DeathsUnder24Hrs],tblDaily[Month],3,tblDaily[WardCode],"BH")</f>
        <v>0</v>
      </c>
      <c r="H41" s="4">
        <f>SUMIFS(tblDaily[Remaining],tblDaily[Month],3,tblDaily[WardCode],"BH")</f>
        <v>0</v>
      </c>
      <c r="I41" s="4">
        <f>SUMIFS(tblDaily[TransfersIn],tblDaily[Month],3,tblDaily[WardCode],"BH")</f>
        <v>0</v>
      </c>
      <c r="J41" s="4">
        <f>SUMIFS(tblDaily[TransfersOut],tblDaily[Month],3,tblDaily[WardCode],"BH")</f>
        <v>0</v>
      </c>
      <c r="K41" s="16">
        <f t="shared" si="16"/>
        <v>0</v>
      </c>
      <c r="L41" s="16">
        <f t="shared" si="17"/>
        <v>0</v>
      </c>
      <c r="M41" s="16">
        <f t="shared" si="18"/>
        <v>0</v>
      </c>
      <c r="N41" s="16">
        <f t="shared" si="19"/>
        <v>0</v>
      </c>
      <c r="O41" s="16">
        <f t="shared" si="20"/>
        <v>0</v>
      </c>
      <c r="P41" s="16">
        <f t="shared" si="21"/>
        <v>0</v>
      </c>
    </row>
    <row r="42" spans="1:16" x14ac:dyDescent="0.25">
      <c r="A42" s="15" t="s">
        <v>43</v>
      </c>
      <c r="B42" s="4">
        <f>IFERROR(SUMIFS(tblDaily[Remaining],tblDaily[EntryDate],DATE(2026,2,28),tblDaily[WardCode],"NICU"),0)</f>
        <v>0</v>
      </c>
      <c r="C42" s="4">
        <f>IFERROR(INDEX(tblWardConfig[BedComplement],MATCH("NICU",tblWardConfig[WardCode],0)),0)</f>
        <v>15</v>
      </c>
      <c r="D42" s="4">
        <f>SUMIFS(tblDaily[Admissions],tblDaily[Month],3,tblDaily[WardCode],"NICU") - SUMIFS(tblDaily[DeathsUnder24Hrs],tblDaily[Month],3,tblDaily[WardCode],"NICU")</f>
        <v>0</v>
      </c>
      <c r="E42" s="4">
        <f>SUMIFS(tblDaily[Discharges],tblDaily[Month],3,tblDaily[WardCode],"NICU")</f>
        <v>0</v>
      </c>
      <c r="F42" s="4">
        <f>SUMIFS(tblDaily[Deaths],tblDaily[Month],3,tblDaily[WardCode],"NICU")</f>
        <v>0</v>
      </c>
      <c r="G42" s="4">
        <f>SUMIFS(tblDaily[DeathsUnder24Hrs],tblDaily[Month],3,tblDaily[WardCode],"NICU")</f>
        <v>0</v>
      </c>
      <c r="H42" s="4">
        <f>SUMIFS(tblDaily[Remaining],tblDaily[Month],3,tblDaily[WardCode],"NICU")</f>
        <v>0</v>
      </c>
      <c r="I42" s="4">
        <f>SUMIFS(tblDaily[TransfersIn],tblDaily[Month],3,tblDaily[WardCode],"NICU")</f>
        <v>0</v>
      </c>
      <c r="J42" s="4">
        <f>SUMIFS(tblDaily[TransfersOut],tblDaily[Month],3,tblDaily[WardCode],"NICU")</f>
        <v>0</v>
      </c>
      <c r="K42" s="16">
        <f t="shared" si="16"/>
        <v>0</v>
      </c>
      <c r="L42" s="16">
        <f t="shared" si="17"/>
        <v>0</v>
      </c>
      <c r="M42" s="16">
        <f t="shared" si="18"/>
        <v>0</v>
      </c>
      <c r="N42" s="16">
        <f t="shared" si="19"/>
        <v>0</v>
      </c>
      <c r="O42" s="16">
        <f t="shared" si="20"/>
        <v>0</v>
      </c>
      <c r="P42" s="16">
        <f t="shared" si="21"/>
        <v>0</v>
      </c>
    </row>
    <row r="43" spans="1:16" x14ac:dyDescent="0.25">
      <c r="A43" s="15" t="s">
        <v>45</v>
      </c>
      <c r="B43" s="4">
        <f>IFERROR(SUMIFS(tblDaily[Remaining],tblDaily[EntryDate],DATE(2026,2,28),tblDaily[WardCode],"MAE"),0)</f>
        <v>0</v>
      </c>
      <c r="C43" s="4">
        <f>IFERROR(INDEX(tblWardConfig[BedComplement],MATCH("MAE",tblWardConfig[WardCode],0)),0)</f>
        <v>10</v>
      </c>
      <c r="D43" s="4">
        <f>SUMIFS(tblDaily[Admissions],tblDaily[Month],3,tblDaily[WardCode],"MAE") - SUMIFS(tblDaily[DeathsUnder24Hrs],tblDaily[Month],3,tblDaily[WardCode],"MAE")</f>
        <v>0</v>
      </c>
      <c r="E43" s="4">
        <f>SUMIFS(tblDaily[Discharges],tblDaily[Month],3,tblDaily[WardCode],"MAE")</f>
        <v>0</v>
      </c>
      <c r="F43" s="4">
        <f>SUMIFS(tblDaily[Deaths],tblDaily[Month],3,tblDaily[WardCode],"MAE")</f>
        <v>0</v>
      </c>
      <c r="G43" s="4">
        <f>SUMIFS(tblDaily[DeathsUnder24Hrs],tblDaily[Month],3,tblDaily[WardCode],"MAE")</f>
        <v>0</v>
      </c>
      <c r="H43" s="4">
        <f>SUMIFS(tblDaily[Remaining],tblDaily[Month],3,tblDaily[WardCode],"MAE")</f>
        <v>0</v>
      </c>
      <c r="I43" s="4">
        <f>SUMIFS(tblDaily[TransfersIn],tblDaily[Month],3,tblDaily[WardCode],"MAE")</f>
        <v>0</v>
      </c>
      <c r="J43" s="4">
        <f>SUMIFS(tblDaily[TransfersOut],tblDaily[Month],3,tblDaily[WardCode],"MAE")</f>
        <v>0</v>
      </c>
      <c r="K43" s="16">
        <f t="shared" si="16"/>
        <v>0</v>
      </c>
      <c r="L43" s="16">
        <f t="shared" si="17"/>
        <v>0</v>
      </c>
      <c r="M43" s="16">
        <f t="shared" si="18"/>
        <v>0</v>
      </c>
      <c r="N43" s="16">
        <f t="shared" si="19"/>
        <v>0</v>
      </c>
      <c r="O43" s="16">
        <f t="shared" si="20"/>
        <v>0</v>
      </c>
      <c r="P43" s="16">
        <f t="shared" si="21"/>
        <v>0</v>
      </c>
    </row>
    <row r="44" spans="1:16" x14ac:dyDescent="0.25">
      <c r="A44" s="15" t="s">
        <v>47</v>
      </c>
      <c r="B44" s="4">
        <f>IFERROR(SUMIFS(tblDaily[Remaining],tblDaily[EntryDate],DATE(2026,2,28),tblDaily[WardCode],"FAE"),0)</f>
        <v>0</v>
      </c>
      <c r="C44" s="4">
        <f>IFERROR(INDEX(tblWardConfig[BedComplement],MATCH("FAE",tblWardConfig[WardCode],0)),0)</f>
        <v>10</v>
      </c>
      <c r="D44" s="4">
        <f>SUMIFS(tblDaily[Admissions],tblDaily[Month],3,tblDaily[WardCode],"FAE") - SUMIFS(tblDaily[DeathsUnder24Hrs],tblDaily[Month],3,tblDaily[WardCode],"FAE")</f>
        <v>0</v>
      </c>
      <c r="E44" s="4">
        <f>SUMIFS(tblDaily[Discharges],tblDaily[Month],3,tblDaily[WardCode],"FAE")</f>
        <v>0</v>
      </c>
      <c r="F44" s="4">
        <f>SUMIFS(tblDaily[Deaths],tblDaily[Month],3,tblDaily[WardCode],"FAE")</f>
        <v>0</v>
      </c>
      <c r="G44" s="4">
        <f>SUMIFS(tblDaily[DeathsUnder24Hrs],tblDaily[Month],3,tblDaily[WardCode],"FAE")</f>
        <v>0</v>
      </c>
      <c r="H44" s="4">
        <f>SUMIFS(tblDaily[Remaining],tblDaily[Month],3,tblDaily[WardCode],"FAE")</f>
        <v>0</v>
      </c>
      <c r="I44" s="4">
        <f>SUMIFS(tblDaily[TransfersIn],tblDaily[Month],3,tblDaily[WardCode],"FAE")</f>
        <v>0</v>
      </c>
      <c r="J44" s="4">
        <f>SUMIFS(tblDaily[TransfersOut],tblDaily[Month],3,tblDaily[WardCode],"FAE")</f>
        <v>0</v>
      </c>
      <c r="K44" s="16">
        <f t="shared" si="16"/>
        <v>0</v>
      </c>
      <c r="L44" s="16">
        <f t="shared" si="17"/>
        <v>0</v>
      </c>
      <c r="M44" s="16">
        <f t="shared" si="18"/>
        <v>0</v>
      </c>
      <c r="N44" s="16">
        <f t="shared" si="19"/>
        <v>0</v>
      </c>
      <c r="O44" s="16">
        <f t="shared" si="20"/>
        <v>0</v>
      </c>
      <c r="P44" s="16">
        <f t="shared" si="21"/>
        <v>0</v>
      </c>
    </row>
    <row r="45" spans="1:16" x14ac:dyDescent="0.25">
      <c r="A45" s="17" t="s">
        <v>144</v>
      </c>
      <c r="B45" s="15">
        <f>SUMIFS(tblDaily[Remaining],tblDaily[EntryDate],DATE(2026,3,31),tblDaily[WardCode],"MAE")+SUMIFS(tblDaily[Remaining],tblDaily[EntryDate],DATE(2026,3,31),tblDaily[WardCode],"FAE")</f>
        <v>0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1:16" x14ac:dyDescent="0.25">
      <c r="A46" s="9" t="s">
        <v>112</v>
      </c>
      <c r="B46" s="9">
        <f t="shared" ref="B46:J46" si="22">SUM(B36:B44)</f>
        <v>0</v>
      </c>
      <c r="C46" s="9">
        <f t="shared" si="22"/>
        <v>178</v>
      </c>
      <c r="D46" s="9">
        <f t="shared" si="22"/>
        <v>0</v>
      </c>
      <c r="E46" s="9">
        <f t="shared" si="22"/>
        <v>0</v>
      </c>
      <c r="F46" s="9">
        <f t="shared" si="22"/>
        <v>0</v>
      </c>
      <c r="G46" s="9">
        <f t="shared" si="22"/>
        <v>0</v>
      </c>
      <c r="H46" s="9">
        <f t="shared" si="22"/>
        <v>0</v>
      </c>
      <c r="I46" s="9">
        <f t="shared" si="22"/>
        <v>0</v>
      </c>
      <c r="J46" s="9">
        <f t="shared" si="22"/>
        <v>0</v>
      </c>
      <c r="K46" s="19">
        <f>IFERROR(H46/31,0)</f>
        <v>0</v>
      </c>
      <c r="L46" s="19">
        <f>IFERROR(H46/(E46+F46),0)</f>
        <v>0</v>
      </c>
      <c r="M46" s="19">
        <f>IFERROR((C46*31-H46)/(E46+F46),0)</f>
        <v>0</v>
      </c>
      <c r="N46" s="19">
        <f>IFERROR((E46+F46)/C46,0)</f>
        <v>0</v>
      </c>
      <c r="O46" s="19">
        <f>IFERROR((H46/(C46*31))*100,0)</f>
        <v>0</v>
      </c>
      <c r="P46" s="19">
        <f>IFERROR((F46/(D46+B46))*100,0)</f>
        <v>0</v>
      </c>
    </row>
    <row r="47" spans="1:16" x14ac:dyDescent="0.25">
      <c r="A47" s="20" t="s">
        <v>145</v>
      </c>
      <c r="B47" s="20">
        <f t="shared" ref="B47:J47" si="23">B43+B44</f>
        <v>0</v>
      </c>
      <c r="C47" s="20">
        <f t="shared" si="23"/>
        <v>20</v>
      </c>
      <c r="D47" s="20">
        <f t="shared" si="23"/>
        <v>0</v>
      </c>
      <c r="E47" s="20">
        <f t="shared" si="23"/>
        <v>0</v>
      </c>
      <c r="F47" s="20">
        <f t="shared" si="23"/>
        <v>0</v>
      </c>
      <c r="G47" s="20">
        <f t="shared" si="23"/>
        <v>0</v>
      </c>
      <c r="H47" s="20">
        <f t="shared" si="23"/>
        <v>0</v>
      </c>
      <c r="I47" s="20">
        <f t="shared" si="23"/>
        <v>0</v>
      </c>
      <c r="J47" s="20">
        <f t="shared" si="23"/>
        <v>0</v>
      </c>
      <c r="K47" s="21">
        <f>IFERROR(H47/31,0)</f>
        <v>0</v>
      </c>
      <c r="L47" s="21">
        <f>IFERROR(H47/(E47+F47),0)</f>
        <v>0</v>
      </c>
      <c r="M47" s="21">
        <f>IFERROR((C47*31-H47)/(E47+F47),0)</f>
        <v>0</v>
      </c>
      <c r="N47" s="21">
        <f>IFERROR((E47+F47)/C47,0)</f>
        <v>0</v>
      </c>
      <c r="O47" s="21">
        <f>IFERROR((H47/(C47*31))*100,0)</f>
        <v>0</v>
      </c>
      <c r="P47" s="21">
        <f>IFERROR((F47/(D47+B47))*100,0)</f>
        <v>0</v>
      </c>
    </row>
    <row r="49" spans="1:16" ht="18.75" x14ac:dyDescent="0.25">
      <c r="A49" s="28" t="s">
        <v>0</v>
      </c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</row>
    <row r="50" spans="1:16" ht="15.75" x14ac:dyDescent="0.25">
      <c r="A50" s="35" t="s">
        <v>148</v>
      </c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</row>
    <row r="51" spans="1:16" ht="38.25" x14ac:dyDescent="0.25">
      <c r="A51" s="8" t="s">
        <v>132</v>
      </c>
      <c r="B51" s="8" t="s">
        <v>133</v>
      </c>
      <c r="C51" s="8" t="s">
        <v>134</v>
      </c>
      <c r="D51" s="8" t="s">
        <v>74</v>
      </c>
      <c r="E51" s="8" t="s">
        <v>75</v>
      </c>
      <c r="F51" s="8" t="s">
        <v>76</v>
      </c>
      <c r="G51" s="8" t="s">
        <v>108</v>
      </c>
      <c r="H51" s="8" t="s">
        <v>135</v>
      </c>
      <c r="I51" s="8" t="s">
        <v>136</v>
      </c>
      <c r="J51" s="8" t="s">
        <v>137</v>
      </c>
      <c r="K51" s="8" t="s">
        <v>138</v>
      </c>
      <c r="L51" s="8" t="s">
        <v>139</v>
      </c>
      <c r="M51" s="8" t="s">
        <v>140</v>
      </c>
      <c r="N51" s="8" t="s">
        <v>141</v>
      </c>
      <c r="O51" s="8" t="s">
        <v>142</v>
      </c>
      <c r="P51" s="8" t="s">
        <v>143</v>
      </c>
    </row>
    <row r="52" spans="1:16" x14ac:dyDescent="0.25">
      <c r="A52" s="15" t="s">
        <v>31</v>
      </c>
      <c r="B52" s="4">
        <f>IFERROR(SUMIFS(tblDaily[Remaining],tblDaily[EntryDate],DATE(2026,3,31),tblDaily[WardCode],"MW"),0)</f>
        <v>0</v>
      </c>
      <c r="C52" s="4">
        <f>IFERROR(INDEX(tblWardConfig[BedComplement],MATCH("MW",tblWardConfig[WardCode],0)),0)</f>
        <v>32</v>
      </c>
      <c r="D52" s="4">
        <f>SUMIFS(tblDaily[Admissions],tblDaily[Month],4,tblDaily[WardCode],"MW") - SUMIFS(tblDaily[DeathsUnder24Hrs],tblDaily[Month],4,tblDaily[WardCode],"MW")</f>
        <v>0</v>
      </c>
      <c r="E52" s="4">
        <f>SUMIFS(tblDaily[Discharges],tblDaily[Month],4,tblDaily[WardCode],"MW")</f>
        <v>0</v>
      </c>
      <c r="F52" s="4">
        <f>SUMIFS(tblDaily[Deaths],tblDaily[Month],4,tblDaily[WardCode],"MW")</f>
        <v>0</v>
      </c>
      <c r="G52" s="4">
        <f>SUMIFS(tblDaily[DeathsUnder24Hrs],tblDaily[Month],4,tblDaily[WardCode],"MW")</f>
        <v>0</v>
      </c>
      <c r="H52" s="4">
        <f>SUMIFS(tblDaily[Remaining],tblDaily[Month],4,tblDaily[WardCode],"MW")</f>
        <v>0</v>
      </c>
      <c r="I52" s="4">
        <f>SUMIFS(tblDaily[TransfersIn],tblDaily[Month],4,tblDaily[WardCode],"MW")</f>
        <v>0</v>
      </c>
      <c r="J52" s="4">
        <f>SUMIFS(tblDaily[TransfersOut],tblDaily[Month],4,tblDaily[WardCode],"MW")</f>
        <v>0</v>
      </c>
      <c r="K52" s="16">
        <f t="shared" ref="K52:K60" si="24">IFERROR(H52/30,0)</f>
        <v>0</v>
      </c>
      <c r="L52" s="16">
        <f t="shared" ref="L52:L60" si="25">IFERROR(H52/(E52+F52),0)</f>
        <v>0</v>
      </c>
      <c r="M52" s="16">
        <f t="shared" ref="M52:M60" si="26">IFERROR((C52*30-H52)/(E52+F52),0)</f>
        <v>0</v>
      </c>
      <c r="N52" s="16">
        <f t="shared" ref="N52:N60" si="27">IFERROR((E52+F52)/C52,0)</f>
        <v>0</v>
      </c>
      <c r="O52" s="16">
        <f t="shared" ref="O52:O60" si="28">IFERROR((H52/(C52*30))*100,0)</f>
        <v>0</v>
      </c>
      <c r="P52" s="16">
        <f t="shared" ref="P52:P60" si="29">IFERROR((F52/(D52+B52))*100,0)</f>
        <v>0</v>
      </c>
    </row>
    <row r="53" spans="1:16" x14ac:dyDescent="0.25">
      <c r="A53" s="15" t="s">
        <v>33</v>
      </c>
      <c r="B53" s="4">
        <f>IFERROR(SUMIFS(tblDaily[Remaining],tblDaily[EntryDate],DATE(2026,3,31),tblDaily[WardCode],"FW"),0)</f>
        <v>0</v>
      </c>
      <c r="C53" s="4">
        <f>IFERROR(INDEX(tblWardConfig[BedComplement],MATCH("FW",tblWardConfig[WardCode],0)),0)</f>
        <v>28</v>
      </c>
      <c r="D53" s="4">
        <f>SUMIFS(tblDaily[Admissions],tblDaily[Month],4,tblDaily[WardCode],"FW") - SUMIFS(tblDaily[DeathsUnder24Hrs],tblDaily[Month],4,tblDaily[WardCode],"FW")</f>
        <v>0</v>
      </c>
      <c r="E53" s="4">
        <f>SUMIFS(tblDaily[Discharges],tblDaily[Month],4,tblDaily[WardCode],"FW")</f>
        <v>0</v>
      </c>
      <c r="F53" s="4">
        <f>SUMIFS(tblDaily[Deaths],tblDaily[Month],4,tblDaily[WardCode],"FW")</f>
        <v>0</v>
      </c>
      <c r="G53" s="4">
        <f>SUMIFS(tblDaily[DeathsUnder24Hrs],tblDaily[Month],4,tblDaily[WardCode],"FW")</f>
        <v>0</v>
      </c>
      <c r="H53" s="4">
        <f>SUMIFS(tblDaily[Remaining],tblDaily[Month],4,tblDaily[WardCode],"FW")</f>
        <v>0</v>
      </c>
      <c r="I53" s="4">
        <f>SUMIFS(tblDaily[TransfersIn],tblDaily[Month],4,tblDaily[WardCode],"FW")</f>
        <v>0</v>
      </c>
      <c r="J53" s="4">
        <f>SUMIFS(tblDaily[TransfersOut],tblDaily[Month],4,tblDaily[WardCode],"FW")</f>
        <v>0</v>
      </c>
      <c r="K53" s="16">
        <f t="shared" si="24"/>
        <v>0</v>
      </c>
      <c r="L53" s="16">
        <f t="shared" si="25"/>
        <v>0</v>
      </c>
      <c r="M53" s="16">
        <f t="shared" si="26"/>
        <v>0</v>
      </c>
      <c r="N53" s="16">
        <f t="shared" si="27"/>
        <v>0</v>
      </c>
      <c r="O53" s="16">
        <f t="shared" si="28"/>
        <v>0</v>
      </c>
      <c r="P53" s="16">
        <f t="shared" si="29"/>
        <v>0</v>
      </c>
    </row>
    <row r="54" spans="1:16" x14ac:dyDescent="0.25">
      <c r="A54" s="15" t="s">
        <v>35</v>
      </c>
      <c r="B54" s="4">
        <f>IFERROR(SUMIFS(tblDaily[Remaining],tblDaily[EntryDate],DATE(2026,3,31),tblDaily[WardCode],"CW"),0)</f>
        <v>0</v>
      </c>
      <c r="C54" s="4">
        <f>IFERROR(INDEX(tblWardConfig[BedComplement],MATCH("CW",tblWardConfig[WardCode],0)),0)</f>
        <v>27</v>
      </c>
      <c r="D54" s="4">
        <f>SUMIFS(tblDaily[Admissions],tblDaily[Month],4,tblDaily[WardCode],"CW") - SUMIFS(tblDaily[DeathsUnder24Hrs],tblDaily[Month],4,tblDaily[WardCode],"CW")</f>
        <v>0</v>
      </c>
      <c r="E54" s="4">
        <f>SUMIFS(tblDaily[Discharges],tblDaily[Month],4,tblDaily[WardCode],"CW")</f>
        <v>0</v>
      </c>
      <c r="F54" s="4">
        <f>SUMIFS(tblDaily[Deaths],tblDaily[Month],4,tblDaily[WardCode],"CW")</f>
        <v>0</v>
      </c>
      <c r="G54" s="4">
        <f>SUMIFS(tblDaily[DeathsUnder24Hrs],tblDaily[Month],4,tblDaily[WardCode],"CW")</f>
        <v>0</v>
      </c>
      <c r="H54" s="4">
        <f>SUMIFS(tblDaily[Remaining],tblDaily[Month],4,tblDaily[WardCode],"CW")</f>
        <v>0</v>
      </c>
      <c r="I54" s="4">
        <f>SUMIFS(tblDaily[TransfersIn],tblDaily[Month],4,tblDaily[WardCode],"CW")</f>
        <v>0</v>
      </c>
      <c r="J54" s="4">
        <f>SUMIFS(tblDaily[TransfersOut],tblDaily[Month],4,tblDaily[WardCode],"CW")</f>
        <v>0</v>
      </c>
      <c r="K54" s="16">
        <f t="shared" si="24"/>
        <v>0</v>
      </c>
      <c r="L54" s="16">
        <f t="shared" si="25"/>
        <v>0</v>
      </c>
      <c r="M54" s="16">
        <f t="shared" si="26"/>
        <v>0</v>
      </c>
      <c r="N54" s="16">
        <f t="shared" si="27"/>
        <v>0</v>
      </c>
      <c r="O54" s="16">
        <f t="shared" si="28"/>
        <v>0</v>
      </c>
      <c r="P54" s="16">
        <f t="shared" si="29"/>
        <v>0</v>
      </c>
    </row>
    <row r="55" spans="1:16" x14ac:dyDescent="0.25">
      <c r="A55" s="15" t="s">
        <v>37</v>
      </c>
      <c r="B55" s="4">
        <f>IFERROR(SUMIFS(tblDaily[Remaining],tblDaily[EntryDate],DATE(2026,3,31),tblDaily[WardCode],"BF"),0)</f>
        <v>0</v>
      </c>
      <c r="C55" s="4">
        <f>IFERROR(INDEX(tblWardConfig[BedComplement],MATCH("BF",tblWardConfig[WardCode],0)),0)</f>
        <v>20</v>
      </c>
      <c r="D55" s="4">
        <f>SUMIFS(tblDaily[Admissions],tblDaily[Month],4,tblDaily[WardCode],"BF") - SUMIFS(tblDaily[DeathsUnder24Hrs],tblDaily[Month],4,tblDaily[WardCode],"BF")</f>
        <v>0</v>
      </c>
      <c r="E55" s="4">
        <f>SUMIFS(tblDaily[Discharges],tblDaily[Month],4,tblDaily[WardCode],"BF")</f>
        <v>0</v>
      </c>
      <c r="F55" s="4">
        <f>SUMIFS(tblDaily[Deaths],tblDaily[Month],4,tblDaily[WardCode],"BF")</f>
        <v>0</v>
      </c>
      <c r="G55" s="4">
        <f>SUMIFS(tblDaily[DeathsUnder24Hrs],tblDaily[Month],4,tblDaily[WardCode],"BF")</f>
        <v>0</v>
      </c>
      <c r="H55" s="4">
        <f>SUMIFS(tblDaily[Remaining],tblDaily[Month],4,tblDaily[WardCode],"BF")</f>
        <v>0</v>
      </c>
      <c r="I55" s="4">
        <f>SUMIFS(tblDaily[TransfersIn],tblDaily[Month],4,tblDaily[WardCode],"BF")</f>
        <v>0</v>
      </c>
      <c r="J55" s="4">
        <f>SUMIFS(tblDaily[TransfersOut],tblDaily[Month],4,tblDaily[WardCode],"BF")</f>
        <v>0</v>
      </c>
      <c r="K55" s="16">
        <f t="shared" si="24"/>
        <v>0</v>
      </c>
      <c r="L55" s="16">
        <f t="shared" si="25"/>
        <v>0</v>
      </c>
      <c r="M55" s="16">
        <f t="shared" si="26"/>
        <v>0</v>
      </c>
      <c r="N55" s="16">
        <f t="shared" si="27"/>
        <v>0</v>
      </c>
      <c r="O55" s="16">
        <f t="shared" si="28"/>
        <v>0</v>
      </c>
      <c r="P55" s="16">
        <f t="shared" si="29"/>
        <v>0</v>
      </c>
    </row>
    <row r="56" spans="1:16" x14ac:dyDescent="0.25">
      <c r="A56" s="15" t="s">
        <v>39</v>
      </c>
      <c r="B56" s="4">
        <f>IFERROR(SUMIFS(tblDaily[Remaining],tblDaily[EntryDate],DATE(2026,3,31),tblDaily[WardCode],"BG"),0)</f>
        <v>0</v>
      </c>
      <c r="C56" s="4">
        <f>IFERROR(INDEX(tblWardConfig[BedComplement],MATCH("BG",tblWardConfig[WardCode],0)),0)</f>
        <v>14</v>
      </c>
      <c r="D56" s="4">
        <f>SUMIFS(tblDaily[Admissions],tblDaily[Month],4,tblDaily[WardCode],"BG") - SUMIFS(tblDaily[DeathsUnder24Hrs],tblDaily[Month],4,tblDaily[WardCode],"BG")</f>
        <v>0</v>
      </c>
      <c r="E56" s="4">
        <f>SUMIFS(tblDaily[Discharges],tblDaily[Month],4,tblDaily[WardCode],"BG")</f>
        <v>0</v>
      </c>
      <c r="F56" s="4">
        <f>SUMIFS(tblDaily[Deaths],tblDaily[Month],4,tblDaily[WardCode],"BG")</f>
        <v>0</v>
      </c>
      <c r="G56" s="4">
        <f>SUMIFS(tblDaily[DeathsUnder24Hrs],tblDaily[Month],4,tblDaily[WardCode],"BG")</f>
        <v>0</v>
      </c>
      <c r="H56" s="4">
        <f>SUMIFS(tblDaily[Remaining],tblDaily[Month],4,tblDaily[WardCode],"BG")</f>
        <v>0</v>
      </c>
      <c r="I56" s="4">
        <f>SUMIFS(tblDaily[TransfersIn],tblDaily[Month],4,tblDaily[WardCode],"BG")</f>
        <v>0</v>
      </c>
      <c r="J56" s="4">
        <f>SUMIFS(tblDaily[TransfersOut],tblDaily[Month],4,tblDaily[WardCode],"BG")</f>
        <v>0</v>
      </c>
      <c r="K56" s="16">
        <f t="shared" si="24"/>
        <v>0</v>
      </c>
      <c r="L56" s="16">
        <f t="shared" si="25"/>
        <v>0</v>
      </c>
      <c r="M56" s="16">
        <f t="shared" si="26"/>
        <v>0</v>
      </c>
      <c r="N56" s="16">
        <f t="shared" si="27"/>
        <v>0</v>
      </c>
      <c r="O56" s="16">
        <f t="shared" si="28"/>
        <v>0</v>
      </c>
      <c r="P56" s="16">
        <f t="shared" si="29"/>
        <v>0</v>
      </c>
    </row>
    <row r="57" spans="1:16" x14ac:dyDescent="0.25">
      <c r="A57" s="15" t="s">
        <v>41</v>
      </c>
      <c r="B57" s="4">
        <f>IFERROR(SUMIFS(tblDaily[Remaining],tblDaily[EntryDate],DATE(2026,3,31),tblDaily[WardCode],"BH"),0)</f>
        <v>0</v>
      </c>
      <c r="C57" s="4">
        <f>IFERROR(INDEX(tblWardConfig[BedComplement],MATCH("BH",tblWardConfig[WardCode],0)),0)</f>
        <v>22</v>
      </c>
      <c r="D57" s="4">
        <f>SUMIFS(tblDaily[Admissions],tblDaily[Month],4,tblDaily[WardCode],"BH") - SUMIFS(tblDaily[DeathsUnder24Hrs],tblDaily[Month],4,tblDaily[WardCode],"BH")</f>
        <v>0</v>
      </c>
      <c r="E57" s="4">
        <f>SUMIFS(tblDaily[Discharges],tblDaily[Month],4,tblDaily[WardCode],"BH")</f>
        <v>0</v>
      </c>
      <c r="F57" s="4">
        <f>SUMIFS(tblDaily[Deaths],tblDaily[Month],4,tblDaily[WardCode],"BH")</f>
        <v>0</v>
      </c>
      <c r="G57" s="4">
        <f>SUMIFS(tblDaily[DeathsUnder24Hrs],tblDaily[Month],4,tblDaily[WardCode],"BH")</f>
        <v>0</v>
      </c>
      <c r="H57" s="4">
        <f>SUMIFS(tblDaily[Remaining],tblDaily[Month],4,tblDaily[WardCode],"BH")</f>
        <v>0</v>
      </c>
      <c r="I57" s="4">
        <f>SUMIFS(tblDaily[TransfersIn],tblDaily[Month],4,tblDaily[WardCode],"BH")</f>
        <v>0</v>
      </c>
      <c r="J57" s="4">
        <f>SUMIFS(tblDaily[TransfersOut],tblDaily[Month],4,tblDaily[WardCode],"BH")</f>
        <v>0</v>
      </c>
      <c r="K57" s="16">
        <f t="shared" si="24"/>
        <v>0</v>
      </c>
      <c r="L57" s="16">
        <f t="shared" si="25"/>
        <v>0</v>
      </c>
      <c r="M57" s="16">
        <f t="shared" si="26"/>
        <v>0</v>
      </c>
      <c r="N57" s="16">
        <f t="shared" si="27"/>
        <v>0</v>
      </c>
      <c r="O57" s="16">
        <f t="shared" si="28"/>
        <v>0</v>
      </c>
      <c r="P57" s="16">
        <f t="shared" si="29"/>
        <v>0</v>
      </c>
    </row>
    <row r="58" spans="1:16" x14ac:dyDescent="0.25">
      <c r="A58" s="15" t="s">
        <v>43</v>
      </c>
      <c r="B58" s="4">
        <f>IFERROR(SUMIFS(tblDaily[Remaining],tblDaily[EntryDate],DATE(2026,3,31),tblDaily[WardCode],"NICU"),0)</f>
        <v>0</v>
      </c>
      <c r="C58" s="4">
        <f>IFERROR(INDEX(tblWardConfig[BedComplement],MATCH("NICU",tblWardConfig[WardCode],0)),0)</f>
        <v>15</v>
      </c>
      <c r="D58" s="4">
        <f>SUMIFS(tblDaily[Admissions],tblDaily[Month],4,tblDaily[WardCode],"NICU") - SUMIFS(tblDaily[DeathsUnder24Hrs],tblDaily[Month],4,tblDaily[WardCode],"NICU")</f>
        <v>0</v>
      </c>
      <c r="E58" s="4">
        <f>SUMIFS(tblDaily[Discharges],tblDaily[Month],4,tblDaily[WardCode],"NICU")</f>
        <v>0</v>
      </c>
      <c r="F58" s="4">
        <f>SUMIFS(tblDaily[Deaths],tblDaily[Month],4,tblDaily[WardCode],"NICU")</f>
        <v>0</v>
      </c>
      <c r="G58" s="4">
        <f>SUMIFS(tblDaily[DeathsUnder24Hrs],tblDaily[Month],4,tblDaily[WardCode],"NICU")</f>
        <v>0</v>
      </c>
      <c r="H58" s="4">
        <f>SUMIFS(tblDaily[Remaining],tblDaily[Month],4,tblDaily[WardCode],"NICU")</f>
        <v>0</v>
      </c>
      <c r="I58" s="4">
        <f>SUMIFS(tblDaily[TransfersIn],tblDaily[Month],4,tblDaily[WardCode],"NICU")</f>
        <v>0</v>
      </c>
      <c r="J58" s="4">
        <f>SUMIFS(tblDaily[TransfersOut],tblDaily[Month],4,tblDaily[WardCode],"NICU")</f>
        <v>0</v>
      </c>
      <c r="K58" s="16">
        <f t="shared" si="24"/>
        <v>0</v>
      </c>
      <c r="L58" s="16">
        <f t="shared" si="25"/>
        <v>0</v>
      </c>
      <c r="M58" s="16">
        <f t="shared" si="26"/>
        <v>0</v>
      </c>
      <c r="N58" s="16">
        <f t="shared" si="27"/>
        <v>0</v>
      </c>
      <c r="O58" s="16">
        <f t="shared" si="28"/>
        <v>0</v>
      </c>
      <c r="P58" s="16">
        <f t="shared" si="29"/>
        <v>0</v>
      </c>
    </row>
    <row r="59" spans="1:16" x14ac:dyDescent="0.25">
      <c r="A59" s="15" t="s">
        <v>45</v>
      </c>
      <c r="B59" s="4">
        <f>IFERROR(SUMIFS(tblDaily[Remaining],tblDaily[EntryDate],DATE(2026,3,31),tblDaily[WardCode],"MAE"),0)</f>
        <v>0</v>
      </c>
      <c r="C59" s="4">
        <f>IFERROR(INDEX(tblWardConfig[BedComplement],MATCH("MAE",tblWardConfig[WardCode],0)),0)</f>
        <v>10</v>
      </c>
      <c r="D59" s="4">
        <f>SUMIFS(tblDaily[Admissions],tblDaily[Month],4,tblDaily[WardCode],"MAE") - SUMIFS(tblDaily[DeathsUnder24Hrs],tblDaily[Month],4,tblDaily[WardCode],"MAE")</f>
        <v>0</v>
      </c>
      <c r="E59" s="4">
        <f>SUMIFS(tblDaily[Discharges],tblDaily[Month],4,tblDaily[WardCode],"MAE")</f>
        <v>0</v>
      </c>
      <c r="F59" s="4">
        <f>SUMIFS(tblDaily[Deaths],tblDaily[Month],4,tblDaily[WardCode],"MAE")</f>
        <v>0</v>
      </c>
      <c r="G59" s="4">
        <f>SUMIFS(tblDaily[DeathsUnder24Hrs],tblDaily[Month],4,tblDaily[WardCode],"MAE")</f>
        <v>0</v>
      </c>
      <c r="H59" s="4">
        <f>SUMIFS(tblDaily[Remaining],tblDaily[Month],4,tblDaily[WardCode],"MAE")</f>
        <v>0</v>
      </c>
      <c r="I59" s="4">
        <f>SUMIFS(tblDaily[TransfersIn],tblDaily[Month],4,tblDaily[WardCode],"MAE")</f>
        <v>0</v>
      </c>
      <c r="J59" s="4">
        <f>SUMIFS(tblDaily[TransfersOut],tblDaily[Month],4,tblDaily[WardCode],"MAE")</f>
        <v>0</v>
      </c>
      <c r="K59" s="16">
        <f t="shared" si="24"/>
        <v>0</v>
      </c>
      <c r="L59" s="16">
        <f t="shared" si="25"/>
        <v>0</v>
      </c>
      <c r="M59" s="16">
        <f t="shared" si="26"/>
        <v>0</v>
      </c>
      <c r="N59" s="16">
        <f t="shared" si="27"/>
        <v>0</v>
      </c>
      <c r="O59" s="16">
        <f t="shared" si="28"/>
        <v>0</v>
      </c>
      <c r="P59" s="16">
        <f t="shared" si="29"/>
        <v>0</v>
      </c>
    </row>
    <row r="60" spans="1:16" x14ac:dyDescent="0.25">
      <c r="A60" s="15" t="s">
        <v>47</v>
      </c>
      <c r="B60" s="4">
        <f>IFERROR(SUMIFS(tblDaily[Remaining],tblDaily[EntryDate],DATE(2026,3,31),tblDaily[WardCode],"FAE"),0)</f>
        <v>0</v>
      </c>
      <c r="C60" s="4">
        <f>IFERROR(INDEX(tblWardConfig[BedComplement],MATCH("FAE",tblWardConfig[WardCode],0)),0)</f>
        <v>10</v>
      </c>
      <c r="D60" s="4">
        <f>SUMIFS(tblDaily[Admissions],tblDaily[Month],4,tblDaily[WardCode],"FAE") - SUMIFS(tblDaily[DeathsUnder24Hrs],tblDaily[Month],4,tblDaily[WardCode],"FAE")</f>
        <v>0</v>
      </c>
      <c r="E60" s="4">
        <f>SUMIFS(tblDaily[Discharges],tblDaily[Month],4,tblDaily[WardCode],"FAE")</f>
        <v>0</v>
      </c>
      <c r="F60" s="4">
        <f>SUMIFS(tblDaily[Deaths],tblDaily[Month],4,tblDaily[WardCode],"FAE")</f>
        <v>0</v>
      </c>
      <c r="G60" s="4">
        <f>SUMIFS(tblDaily[DeathsUnder24Hrs],tblDaily[Month],4,tblDaily[WardCode],"FAE")</f>
        <v>0</v>
      </c>
      <c r="H60" s="4">
        <f>SUMIFS(tblDaily[Remaining],tblDaily[Month],4,tblDaily[WardCode],"FAE")</f>
        <v>0</v>
      </c>
      <c r="I60" s="4">
        <f>SUMIFS(tblDaily[TransfersIn],tblDaily[Month],4,tblDaily[WardCode],"FAE")</f>
        <v>0</v>
      </c>
      <c r="J60" s="4">
        <f>SUMIFS(tblDaily[TransfersOut],tblDaily[Month],4,tblDaily[WardCode],"FAE")</f>
        <v>0</v>
      </c>
      <c r="K60" s="16">
        <f t="shared" si="24"/>
        <v>0</v>
      </c>
      <c r="L60" s="16">
        <f t="shared" si="25"/>
        <v>0</v>
      </c>
      <c r="M60" s="16">
        <f t="shared" si="26"/>
        <v>0</v>
      </c>
      <c r="N60" s="16">
        <f t="shared" si="27"/>
        <v>0</v>
      </c>
      <c r="O60" s="16">
        <f t="shared" si="28"/>
        <v>0</v>
      </c>
      <c r="P60" s="16">
        <f t="shared" si="29"/>
        <v>0</v>
      </c>
    </row>
    <row r="61" spans="1:16" x14ac:dyDescent="0.25">
      <c r="A61" s="17" t="s">
        <v>144</v>
      </c>
      <c r="B61" s="15">
        <f>SUMIFS(tblDaily[Remaining],tblDaily[EntryDate],DATE(2026,4,30),tblDaily[WardCode],"MAE")+SUMIFS(tblDaily[Remaining],tblDaily[EntryDate],DATE(2026,4,30),tblDaily[WardCode],"FAE")</f>
        <v>0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</row>
    <row r="62" spans="1:16" x14ac:dyDescent="0.25">
      <c r="A62" s="9" t="s">
        <v>112</v>
      </c>
      <c r="B62" s="9">
        <f t="shared" ref="B62:J62" si="30">SUM(B52:B60)</f>
        <v>0</v>
      </c>
      <c r="C62" s="9">
        <f t="shared" si="30"/>
        <v>178</v>
      </c>
      <c r="D62" s="9">
        <f t="shared" si="30"/>
        <v>0</v>
      </c>
      <c r="E62" s="9">
        <f t="shared" si="30"/>
        <v>0</v>
      </c>
      <c r="F62" s="9">
        <f t="shared" si="30"/>
        <v>0</v>
      </c>
      <c r="G62" s="9">
        <f t="shared" si="30"/>
        <v>0</v>
      </c>
      <c r="H62" s="9">
        <f t="shared" si="30"/>
        <v>0</v>
      </c>
      <c r="I62" s="9">
        <f t="shared" si="30"/>
        <v>0</v>
      </c>
      <c r="J62" s="9">
        <f t="shared" si="30"/>
        <v>0</v>
      </c>
      <c r="K62" s="19">
        <f>IFERROR(H62/30,0)</f>
        <v>0</v>
      </c>
      <c r="L62" s="19">
        <f>IFERROR(H62/(E62+F62),0)</f>
        <v>0</v>
      </c>
      <c r="M62" s="19">
        <f>IFERROR((C62*30-H62)/(E62+F62),0)</f>
        <v>0</v>
      </c>
      <c r="N62" s="19">
        <f>IFERROR((E62+F62)/C62,0)</f>
        <v>0</v>
      </c>
      <c r="O62" s="19">
        <f>IFERROR((H62/(C62*30))*100,0)</f>
        <v>0</v>
      </c>
      <c r="P62" s="19">
        <f>IFERROR((F62/(D62+B62))*100,0)</f>
        <v>0</v>
      </c>
    </row>
    <row r="63" spans="1:16" x14ac:dyDescent="0.25">
      <c r="A63" s="20" t="s">
        <v>145</v>
      </c>
      <c r="B63" s="20">
        <f t="shared" ref="B63:J63" si="31">B59+B60</f>
        <v>0</v>
      </c>
      <c r="C63" s="20">
        <f t="shared" si="31"/>
        <v>20</v>
      </c>
      <c r="D63" s="20">
        <f t="shared" si="31"/>
        <v>0</v>
      </c>
      <c r="E63" s="20">
        <f t="shared" si="31"/>
        <v>0</v>
      </c>
      <c r="F63" s="20">
        <f t="shared" si="31"/>
        <v>0</v>
      </c>
      <c r="G63" s="20">
        <f t="shared" si="31"/>
        <v>0</v>
      </c>
      <c r="H63" s="20">
        <f t="shared" si="31"/>
        <v>0</v>
      </c>
      <c r="I63" s="20">
        <f t="shared" si="31"/>
        <v>0</v>
      </c>
      <c r="J63" s="20">
        <f t="shared" si="31"/>
        <v>0</v>
      </c>
      <c r="K63" s="21">
        <f>IFERROR(H63/30,0)</f>
        <v>0</v>
      </c>
      <c r="L63" s="21">
        <f>IFERROR(H63/(E63+F63),0)</f>
        <v>0</v>
      </c>
      <c r="M63" s="21">
        <f>IFERROR((C63*30-H63)/(E63+F63),0)</f>
        <v>0</v>
      </c>
      <c r="N63" s="21">
        <f>IFERROR((E63+F63)/C63,0)</f>
        <v>0</v>
      </c>
      <c r="O63" s="21">
        <f>IFERROR((H63/(C63*30))*100,0)</f>
        <v>0</v>
      </c>
      <c r="P63" s="21">
        <f>IFERROR((F63/(D63+B63))*100,0)</f>
        <v>0</v>
      </c>
    </row>
    <row r="65" spans="1:16" ht="18.75" x14ac:dyDescent="0.25">
      <c r="A65" s="28" t="s">
        <v>0</v>
      </c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</row>
    <row r="66" spans="1:16" ht="15.75" x14ac:dyDescent="0.25">
      <c r="A66" s="35" t="s">
        <v>149</v>
      </c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</row>
    <row r="67" spans="1:16" ht="38.25" x14ac:dyDescent="0.25">
      <c r="A67" s="8" t="s">
        <v>132</v>
      </c>
      <c r="B67" s="8" t="s">
        <v>133</v>
      </c>
      <c r="C67" s="8" t="s">
        <v>134</v>
      </c>
      <c r="D67" s="8" t="s">
        <v>74</v>
      </c>
      <c r="E67" s="8" t="s">
        <v>75</v>
      </c>
      <c r="F67" s="8" t="s">
        <v>76</v>
      </c>
      <c r="G67" s="8" t="s">
        <v>108</v>
      </c>
      <c r="H67" s="8" t="s">
        <v>135</v>
      </c>
      <c r="I67" s="8" t="s">
        <v>136</v>
      </c>
      <c r="J67" s="8" t="s">
        <v>137</v>
      </c>
      <c r="K67" s="8" t="s">
        <v>138</v>
      </c>
      <c r="L67" s="8" t="s">
        <v>139</v>
      </c>
      <c r="M67" s="8" t="s">
        <v>140</v>
      </c>
      <c r="N67" s="8" t="s">
        <v>141</v>
      </c>
      <c r="O67" s="8" t="s">
        <v>142</v>
      </c>
      <c r="P67" s="8" t="s">
        <v>143</v>
      </c>
    </row>
    <row r="68" spans="1:16" x14ac:dyDescent="0.25">
      <c r="A68" s="15" t="s">
        <v>31</v>
      </c>
      <c r="B68" s="4">
        <f>IFERROR(SUMIFS(tblDaily[Remaining],tblDaily[EntryDate],DATE(2026,4,30),tblDaily[WardCode],"MW"),0)</f>
        <v>0</v>
      </c>
      <c r="C68" s="4">
        <f>IFERROR(INDEX(tblWardConfig[BedComplement],MATCH("MW",tblWardConfig[WardCode],0)),0)</f>
        <v>32</v>
      </c>
      <c r="D68" s="4">
        <f>SUMIFS(tblDaily[Admissions],tblDaily[Month],5,tblDaily[WardCode],"MW") - SUMIFS(tblDaily[DeathsUnder24Hrs],tblDaily[Month],5,tblDaily[WardCode],"MW")</f>
        <v>0</v>
      </c>
      <c r="E68" s="4">
        <f>SUMIFS(tblDaily[Discharges],tblDaily[Month],5,tblDaily[WardCode],"MW")</f>
        <v>0</v>
      </c>
      <c r="F68" s="4">
        <f>SUMIFS(tblDaily[Deaths],tblDaily[Month],5,tblDaily[WardCode],"MW")</f>
        <v>0</v>
      </c>
      <c r="G68" s="4">
        <f>SUMIFS(tblDaily[DeathsUnder24Hrs],tblDaily[Month],5,tblDaily[WardCode],"MW")</f>
        <v>0</v>
      </c>
      <c r="H68" s="4">
        <f>SUMIFS(tblDaily[Remaining],tblDaily[Month],5,tblDaily[WardCode],"MW")</f>
        <v>0</v>
      </c>
      <c r="I68" s="4">
        <f>SUMIFS(tblDaily[TransfersIn],tblDaily[Month],5,tblDaily[WardCode],"MW")</f>
        <v>0</v>
      </c>
      <c r="J68" s="4">
        <f>SUMIFS(tblDaily[TransfersOut],tblDaily[Month],5,tblDaily[WardCode],"MW")</f>
        <v>0</v>
      </c>
      <c r="K68" s="16">
        <f t="shared" ref="K68:K76" si="32">IFERROR(H68/31,0)</f>
        <v>0</v>
      </c>
      <c r="L68" s="16">
        <f t="shared" ref="L68:L76" si="33">IFERROR(H68/(E68+F68),0)</f>
        <v>0</v>
      </c>
      <c r="M68" s="16">
        <f t="shared" ref="M68:M76" si="34">IFERROR((C68*31-H68)/(E68+F68),0)</f>
        <v>0</v>
      </c>
      <c r="N68" s="16">
        <f t="shared" ref="N68:N76" si="35">IFERROR((E68+F68)/C68,0)</f>
        <v>0</v>
      </c>
      <c r="O68" s="16">
        <f t="shared" ref="O68:O76" si="36">IFERROR((H68/(C68*31))*100,0)</f>
        <v>0</v>
      </c>
      <c r="P68" s="16">
        <f t="shared" ref="P68:P76" si="37">IFERROR((F68/(D68+B68))*100,0)</f>
        <v>0</v>
      </c>
    </row>
    <row r="69" spans="1:16" x14ac:dyDescent="0.25">
      <c r="A69" s="15" t="s">
        <v>33</v>
      </c>
      <c r="B69" s="4">
        <f>IFERROR(SUMIFS(tblDaily[Remaining],tblDaily[EntryDate],DATE(2026,4,30),tblDaily[WardCode],"FW"),0)</f>
        <v>0</v>
      </c>
      <c r="C69" s="4">
        <f>IFERROR(INDEX(tblWardConfig[BedComplement],MATCH("FW",tblWardConfig[WardCode],0)),0)</f>
        <v>28</v>
      </c>
      <c r="D69" s="4">
        <f>SUMIFS(tblDaily[Admissions],tblDaily[Month],5,tblDaily[WardCode],"FW") - SUMIFS(tblDaily[DeathsUnder24Hrs],tblDaily[Month],5,tblDaily[WardCode],"FW")</f>
        <v>0</v>
      </c>
      <c r="E69" s="4">
        <f>SUMIFS(tblDaily[Discharges],tblDaily[Month],5,tblDaily[WardCode],"FW")</f>
        <v>0</v>
      </c>
      <c r="F69" s="4">
        <f>SUMIFS(tblDaily[Deaths],tblDaily[Month],5,tblDaily[WardCode],"FW")</f>
        <v>0</v>
      </c>
      <c r="G69" s="4">
        <f>SUMIFS(tblDaily[DeathsUnder24Hrs],tblDaily[Month],5,tblDaily[WardCode],"FW")</f>
        <v>0</v>
      </c>
      <c r="H69" s="4">
        <f>SUMIFS(tblDaily[Remaining],tblDaily[Month],5,tblDaily[WardCode],"FW")</f>
        <v>0</v>
      </c>
      <c r="I69" s="4">
        <f>SUMIFS(tblDaily[TransfersIn],tblDaily[Month],5,tblDaily[WardCode],"FW")</f>
        <v>0</v>
      </c>
      <c r="J69" s="4">
        <f>SUMIFS(tblDaily[TransfersOut],tblDaily[Month],5,tblDaily[WardCode],"FW")</f>
        <v>0</v>
      </c>
      <c r="K69" s="16">
        <f t="shared" si="32"/>
        <v>0</v>
      </c>
      <c r="L69" s="16">
        <f t="shared" si="33"/>
        <v>0</v>
      </c>
      <c r="M69" s="16">
        <f t="shared" si="34"/>
        <v>0</v>
      </c>
      <c r="N69" s="16">
        <f t="shared" si="35"/>
        <v>0</v>
      </c>
      <c r="O69" s="16">
        <f t="shared" si="36"/>
        <v>0</v>
      </c>
      <c r="P69" s="16">
        <f t="shared" si="37"/>
        <v>0</v>
      </c>
    </row>
    <row r="70" spans="1:16" x14ac:dyDescent="0.25">
      <c r="A70" s="15" t="s">
        <v>35</v>
      </c>
      <c r="B70" s="4">
        <f>IFERROR(SUMIFS(tblDaily[Remaining],tblDaily[EntryDate],DATE(2026,4,30),tblDaily[WardCode],"CW"),0)</f>
        <v>0</v>
      </c>
      <c r="C70" s="4">
        <f>IFERROR(INDEX(tblWardConfig[BedComplement],MATCH("CW",tblWardConfig[WardCode],0)),0)</f>
        <v>27</v>
      </c>
      <c r="D70" s="4">
        <f>SUMIFS(tblDaily[Admissions],tblDaily[Month],5,tblDaily[WardCode],"CW") - SUMIFS(tblDaily[DeathsUnder24Hrs],tblDaily[Month],5,tblDaily[WardCode],"CW")</f>
        <v>0</v>
      </c>
      <c r="E70" s="4">
        <f>SUMIFS(tblDaily[Discharges],tblDaily[Month],5,tblDaily[WardCode],"CW")</f>
        <v>0</v>
      </c>
      <c r="F70" s="4">
        <f>SUMIFS(tblDaily[Deaths],tblDaily[Month],5,tblDaily[WardCode],"CW")</f>
        <v>0</v>
      </c>
      <c r="G70" s="4">
        <f>SUMIFS(tblDaily[DeathsUnder24Hrs],tblDaily[Month],5,tblDaily[WardCode],"CW")</f>
        <v>0</v>
      </c>
      <c r="H70" s="4">
        <f>SUMIFS(tblDaily[Remaining],tblDaily[Month],5,tblDaily[WardCode],"CW")</f>
        <v>0</v>
      </c>
      <c r="I70" s="4">
        <f>SUMIFS(tblDaily[TransfersIn],tblDaily[Month],5,tblDaily[WardCode],"CW")</f>
        <v>0</v>
      </c>
      <c r="J70" s="4">
        <f>SUMIFS(tblDaily[TransfersOut],tblDaily[Month],5,tblDaily[WardCode],"CW")</f>
        <v>0</v>
      </c>
      <c r="K70" s="16">
        <f t="shared" si="32"/>
        <v>0</v>
      </c>
      <c r="L70" s="16">
        <f t="shared" si="33"/>
        <v>0</v>
      </c>
      <c r="M70" s="16">
        <f t="shared" si="34"/>
        <v>0</v>
      </c>
      <c r="N70" s="16">
        <f t="shared" si="35"/>
        <v>0</v>
      </c>
      <c r="O70" s="16">
        <f t="shared" si="36"/>
        <v>0</v>
      </c>
      <c r="P70" s="16">
        <f t="shared" si="37"/>
        <v>0</v>
      </c>
    </row>
    <row r="71" spans="1:16" x14ac:dyDescent="0.25">
      <c r="A71" s="15" t="s">
        <v>37</v>
      </c>
      <c r="B71" s="4">
        <f>IFERROR(SUMIFS(tblDaily[Remaining],tblDaily[EntryDate],DATE(2026,4,30),tblDaily[WardCode],"BF"),0)</f>
        <v>0</v>
      </c>
      <c r="C71" s="4">
        <f>IFERROR(INDEX(tblWardConfig[BedComplement],MATCH("BF",tblWardConfig[WardCode],0)),0)</f>
        <v>20</v>
      </c>
      <c r="D71" s="4">
        <f>SUMIFS(tblDaily[Admissions],tblDaily[Month],5,tblDaily[WardCode],"BF") - SUMIFS(tblDaily[DeathsUnder24Hrs],tblDaily[Month],5,tblDaily[WardCode],"BF")</f>
        <v>0</v>
      </c>
      <c r="E71" s="4">
        <f>SUMIFS(tblDaily[Discharges],tblDaily[Month],5,tblDaily[WardCode],"BF")</f>
        <v>0</v>
      </c>
      <c r="F71" s="4">
        <f>SUMIFS(tblDaily[Deaths],tblDaily[Month],5,tblDaily[WardCode],"BF")</f>
        <v>0</v>
      </c>
      <c r="G71" s="4">
        <f>SUMIFS(tblDaily[DeathsUnder24Hrs],tblDaily[Month],5,tblDaily[WardCode],"BF")</f>
        <v>0</v>
      </c>
      <c r="H71" s="4">
        <f>SUMIFS(tblDaily[Remaining],tblDaily[Month],5,tblDaily[WardCode],"BF")</f>
        <v>0</v>
      </c>
      <c r="I71" s="4">
        <f>SUMIFS(tblDaily[TransfersIn],tblDaily[Month],5,tblDaily[WardCode],"BF")</f>
        <v>0</v>
      </c>
      <c r="J71" s="4">
        <f>SUMIFS(tblDaily[TransfersOut],tblDaily[Month],5,tblDaily[WardCode],"BF")</f>
        <v>0</v>
      </c>
      <c r="K71" s="16">
        <f t="shared" si="32"/>
        <v>0</v>
      </c>
      <c r="L71" s="16">
        <f t="shared" si="33"/>
        <v>0</v>
      </c>
      <c r="M71" s="16">
        <f t="shared" si="34"/>
        <v>0</v>
      </c>
      <c r="N71" s="16">
        <f t="shared" si="35"/>
        <v>0</v>
      </c>
      <c r="O71" s="16">
        <f t="shared" si="36"/>
        <v>0</v>
      </c>
      <c r="P71" s="16">
        <f t="shared" si="37"/>
        <v>0</v>
      </c>
    </row>
    <row r="72" spans="1:16" x14ac:dyDescent="0.25">
      <c r="A72" s="15" t="s">
        <v>39</v>
      </c>
      <c r="B72" s="4">
        <f>IFERROR(SUMIFS(tblDaily[Remaining],tblDaily[EntryDate],DATE(2026,4,30),tblDaily[WardCode],"BG"),0)</f>
        <v>0</v>
      </c>
      <c r="C72" s="4">
        <f>IFERROR(INDEX(tblWardConfig[BedComplement],MATCH("BG",tblWardConfig[WardCode],0)),0)</f>
        <v>14</v>
      </c>
      <c r="D72" s="4">
        <f>SUMIFS(tblDaily[Admissions],tblDaily[Month],5,tblDaily[WardCode],"BG") - SUMIFS(tblDaily[DeathsUnder24Hrs],tblDaily[Month],5,tblDaily[WardCode],"BG")</f>
        <v>0</v>
      </c>
      <c r="E72" s="4">
        <f>SUMIFS(tblDaily[Discharges],tblDaily[Month],5,tblDaily[WardCode],"BG")</f>
        <v>0</v>
      </c>
      <c r="F72" s="4">
        <f>SUMIFS(tblDaily[Deaths],tblDaily[Month],5,tblDaily[WardCode],"BG")</f>
        <v>0</v>
      </c>
      <c r="G72" s="4">
        <f>SUMIFS(tblDaily[DeathsUnder24Hrs],tblDaily[Month],5,tblDaily[WardCode],"BG")</f>
        <v>0</v>
      </c>
      <c r="H72" s="4">
        <f>SUMIFS(tblDaily[Remaining],tblDaily[Month],5,tblDaily[WardCode],"BG")</f>
        <v>0</v>
      </c>
      <c r="I72" s="4">
        <f>SUMIFS(tblDaily[TransfersIn],tblDaily[Month],5,tblDaily[WardCode],"BG")</f>
        <v>0</v>
      </c>
      <c r="J72" s="4">
        <f>SUMIFS(tblDaily[TransfersOut],tblDaily[Month],5,tblDaily[WardCode],"BG")</f>
        <v>0</v>
      </c>
      <c r="K72" s="16">
        <f t="shared" si="32"/>
        <v>0</v>
      </c>
      <c r="L72" s="16">
        <f t="shared" si="33"/>
        <v>0</v>
      </c>
      <c r="M72" s="16">
        <f t="shared" si="34"/>
        <v>0</v>
      </c>
      <c r="N72" s="16">
        <f t="shared" si="35"/>
        <v>0</v>
      </c>
      <c r="O72" s="16">
        <f t="shared" si="36"/>
        <v>0</v>
      </c>
      <c r="P72" s="16">
        <f t="shared" si="37"/>
        <v>0</v>
      </c>
    </row>
    <row r="73" spans="1:16" x14ac:dyDescent="0.25">
      <c r="A73" s="15" t="s">
        <v>41</v>
      </c>
      <c r="B73" s="4">
        <f>IFERROR(SUMIFS(tblDaily[Remaining],tblDaily[EntryDate],DATE(2026,4,30),tblDaily[WardCode],"BH"),0)</f>
        <v>0</v>
      </c>
      <c r="C73" s="4">
        <f>IFERROR(INDEX(tblWardConfig[BedComplement],MATCH("BH",tblWardConfig[WardCode],0)),0)</f>
        <v>22</v>
      </c>
      <c r="D73" s="4">
        <f>SUMIFS(tblDaily[Admissions],tblDaily[Month],5,tblDaily[WardCode],"BH") - SUMIFS(tblDaily[DeathsUnder24Hrs],tblDaily[Month],5,tblDaily[WardCode],"BH")</f>
        <v>0</v>
      </c>
      <c r="E73" s="4">
        <f>SUMIFS(tblDaily[Discharges],tblDaily[Month],5,tblDaily[WardCode],"BH")</f>
        <v>0</v>
      </c>
      <c r="F73" s="4">
        <f>SUMIFS(tblDaily[Deaths],tblDaily[Month],5,tblDaily[WardCode],"BH")</f>
        <v>0</v>
      </c>
      <c r="G73" s="4">
        <f>SUMIFS(tblDaily[DeathsUnder24Hrs],tblDaily[Month],5,tblDaily[WardCode],"BH")</f>
        <v>0</v>
      </c>
      <c r="H73" s="4">
        <f>SUMIFS(tblDaily[Remaining],tblDaily[Month],5,tblDaily[WardCode],"BH")</f>
        <v>0</v>
      </c>
      <c r="I73" s="4">
        <f>SUMIFS(tblDaily[TransfersIn],tblDaily[Month],5,tblDaily[WardCode],"BH")</f>
        <v>0</v>
      </c>
      <c r="J73" s="4">
        <f>SUMIFS(tblDaily[TransfersOut],tblDaily[Month],5,tblDaily[WardCode],"BH")</f>
        <v>0</v>
      </c>
      <c r="K73" s="16">
        <f t="shared" si="32"/>
        <v>0</v>
      </c>
      <c r="L73" s="16">
        <f t="shared" si="33"/>
        <v>0</v>
      </c>
      <c r="M73" s="16">
        <f t="shared" si="34"/>
        <v>0</v>
      </c>
      <c r="N73" s="16">
        <f t="shared" si="35"/>
        <v>0</v>
      </c>
      <c r="O73" s="16">
        <f t="shared" si="36"/>
        <v>0</v>
      </c>
      <c r="P73" s="16">
        <f t="shared" si="37"/>
        <v>0</v>
      </c>
    </row>
    <row r="74" spans="1:16" x14ac:dyDescent="0.25">
      <c r="A74" s="15" t="s">
        <v>43</v>
      </c>
      <c r="B74" s="4">
        <f>IFERROR(SUMIFS(tblDaily[Remaining],tblDaily[EntryDate],DATE(2026,4,30),tblDaily[WardCode],"NICU"),0)</f>
        <v>0</v>
      </c>
      <c r="C74" s="4">
        <f>IFERROR(INDEX(tblWardConfig[BedComplement],MATCH("NICU",tblWardConfig[WardCode],0)),0)</f>
        <v>15</v>
      </c>
      <c r="D74" s="4">
        <f>SUMIFS(tblDaily[Admissions],tblDaily[Month],5,tblDaily[WardCode],"NICU") - SUMIFS(tblDaily[DeathsUnder24Hrs],tblDaily[Month],5,tblDaily[WardCode],"NICU")</f>
        <v>0</v>
      </c>
      <c r="E74" s="4">
        <f>SUMIFS(tblDaily[Discharges],tblDaily[Month],5,tblDaily[WardCode],"NICU")</f>
        <v>0</v>
      </c>
      <c r="F74" s="4">
        <f>SUMIFS(tblDaily[Deaths],tblDaily[Month],5,tblDaily[WardCode],"NICU")</f>
        <v>0</v>
      </c>
      <c r="G74" s="4">
        <f>SUMIFS(tblDaily[DeathsUnder24Hrs],tblDaily[Month],5,tblDaily[WardCode],"NICU")</f>
        <v>0</v>
      </c>
      <c r="H74" s="4">
        <f>SUMIFS(tblDaily[Remaining],tblDaily[Month],5,tblDaily[WardCode],"NICU")</f>
        <v>0</v>
      </c>
      <c r="I74" s="4">
        <f>SUMIFS(tblDaily[TransfersIn],tblDaily[Month],5,tblDaily[WardCode],"NICU")</f>
        <v>0</v>
      </c>
      <c r="J74" s="4">
        <f>SUMIFS(tblDaily[TransfersOut],tblDaily[Month],5,tblDaily[WardCode],"NICU")</f>
        <v>0</v>
      </c>
      <c r="K74" s="16">
        <f t="shared" si="32"/>
        <v>0</v>
      </c>
      <c r="L74" s="16">
        <f t="shared" si="33"/>
        <v>0</v>
      </c>
      <c r="M74" s="16">
        <f t="shared" si="34"/>
        <v>0</v>
      </c>
      <c r="N74" s="16">
        <f t="shared" si="35"/>
        <v>0</v>
      </c>
      <c r="O74" s="16">
        <f t="shared" si="36"/>
        <v>0</v>
      </c>
      <c r="P74" s="16">
        <f t="shared" si="37"/>
        <v>0</v>
      </c>
    </row>
    <row r="75" spans="1:16" x14ac:dyDescent="0.25">
      <c r="A75" s="15" t="s">
        <v>45</v>
      </c>
      <c r="B75" s="4">
        <f>IFERROR(SUMIFS(tblDaily[Remaining],tblDaily[EntryDate],DATE(2026,4,30),tblDaily[WardCode],"MAE"),0)</f>
        <v>0</v>
      </c>
      <c r="C75" s="4">
        <f>IFERROR(INDEX(tblWardConfig[BedComplement],MATCH("MAE",tblWardConfig[WardCode],0)),0)</f>
        <v>10</v>
      </c>
      <c r="D75" s="4">
        <f>SUMIFS(tblDaily[Admissions],tblDaily[Month],5,tblDaily[WardCode],"MAE") - SUMIFS(tblDaily[DeathsUnder24Hrs],tblDaily[Month],5,tblDaily[WardCode],"MAE")</f>
        <v>0</v>
      </c>
      <c r="E75" s="4">
        <f>SUMIFS(tblDaily[Discharges],tblDaily[Month],5,tblDaily[WardCode],"MAE")</f>
        <v>0</v>
      </c>
      <c r="F75" s="4">
        <f>SUMIFS(tblDaily[Deaths],tblDaily[Month],5,tblDaily[WardCode],"MAE")</f>
        <v>0</v>
      </c>
      <c r="G75" s="4">
        <f>SUMIFS(tblDaily[DeathsUnder24Hrs],tblDaily[Month],5,tblDaily[WardCode],"MAE")</f>
        <v>0</v>
      </c>
      <c r="H75" s="4">
        <f>SUMIFS(tblDaily[Remaining],tblDaily[Month],5,tblDaily[WardCode],"MAE")</f>
        <v>0</v>
      </c>
      <c r="I75" s="4">
        <f>SUMIFS(tblDaily[TransfersIn],tblDaily[Month],5,tblDaily[WardCode],"MAE")</f>
        <v>0</v>
      </c>
      <c r="J75" s="4">
        <f>SUMIFS(tblDaily[TransfersOut],tblDaily[Month],5,tblDaily[WardCode],"MAE")</f>
        <v>0</v>
      </c>
      <c r="K75" s="16">
        <f t="shared" si="32"/>
        <v>0</v>
      </c>
      <c r="L75" s="16">
        <f t="shared" si="33"/>
        <v>0</v>
      </c>
      <c r="M75" s="16">
        <f t="shared" si="34"/>
        <v>0</v>
      </c>
      <c r="N75" s="16">
        <f t="shared" si="35"/>
        <v>0</v>
      </c>
      <c r="O75" s="16">
        <f t="shared" si="36"/>
        <v>0</v>
      </c>
      <c r="P75" s="16">
        <f t="shared" si="37"/>
        <v>0</v>
      </c>
    </row>
    <row r="76" spans="1:16" x14ac:dyDescent="0.25">
      <c r="A76" s="15" t="s">
        <v>47</v>
      </c>
      <c r="B76" s="4">
        <f>IFERROR(SUMIFS(tblDaily[Remaining],tblDaily[EntryDate],DATE(2026,4,30),tblDaily[WardCode],"FAE"),0)</f>
        <v>0</v>
      </c>
      <c r="C76" s="4">
        <f>IFERROR(INDEX(tblWardConfig[BedComplement],MATCH("FAE",tblWardConfig[WardCode],0)),0)</f>
        <v>10</v>
      </c>
      <c r="D76" s="4">
        <f>SUMIFS(tblDaily[Admissions],tblDaily[Month],5,tblDaily[WardCode],"FAE") - SUMIFS(tblDaily[DeathsUnder24Hrs],tblDaily[Month],5,tblDaily[WardCode],"FAE")</f>
        <v>0</v>
      </c>
      <c r="E76" s="4">
        <f>SUMIFS(tblDaily[Discharges],tblDaily[Month],5,tblDaily[WardCode],"FAE")</f>
        <v>0</v>
      </c>
      <c r="F76" s="4">
        <f>SUMIFS(tblDaily[Deaths],tblDaily[Month],5,tblDaily[WardCode],"FAE")</f>
        <v>0</v>
      </c>
      <c r="G76" s="4">
        <f>SUMIFS(tblDaily[DeathsUnder24Hrs],tblDaily[Month],5,tblDaily[WardCode],"FAE")</f>
        <v>0</v>
      </c>
      <c r="H76" s="4">
        <f>SUMIFS(tblDaily[Remaining],tblDaily[Month],5,tblDaily[WardCode],"FAE")</f>
        <v>0</v>
      </c>
      <c r="I76" s="4">
        <f>SUMIFS(tblDaily[TransfersIn],tblDaily[Month],5,tblDaily[WardCode],"FAE")</f>
        <v>0</v>
      </c>
      <c r="J76" s="4">
        <f>SUMIFS(tblDaily[TransfersOut],tblDaily[Month],5,tblDaily[WardCode],"FAE")</f>
        <v>0</v>
      </c>
      <c r="K76" s="16">
        <f t="shared" si="32"/>
        <v>0</v>
      </c>
      <c r="L76" s="16">
        <f t="shared" si="33"/>
        <v>0</v>
      </c>
      <c r="M76" s="16">
        <f t="shared" si="34"/>
        <v>0</v>
      </c>
      <c r="N76" s="16">
        <f t="shared" si="35"/>
        <v>0</v>
      </c>
      <c r="O76" s="16">
        <f t="shared" si="36"/>
        <v>0</v>
      </c>
      <c r="P76" s="16">
        <f t="shared" si="37"/>
        <v>0</v>
      </c>
    </row>
    <row r="77" spans="1:16" x14ac:dyDescent="0.25">
      <c r="A77" s="17" t="s">
        <v>144</v>
      </c>
      <c r="B77" s="15">
        <f>SUMIFS(tblDaily[Remaining],tblDaily[EntryDate],DATE(2026,5,31),tblDaily[WardCode],"MAE")+SUMIFS(tblDaily[Remaining],tblDaily[EntryDate],DATE(2026,5,31),tblDaily[WardCode],"FAE")</f>
        <v>0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</row>
    <row r="78" spans="1:16" x14ac:dyDescent="0.25">
      <c r="A78" s="9" t="s">
        <v>112</v>
      </c>
      <c r="B78" s="9">
        <f t="shared" ref="B78:J78" si="38">SUM(B68:B76)</f>
        <v>0</v>
      </c>
      <c r="C78" s="9">
        <f t="shared" si="38"/>
        <v>178</v>
      </c>
      <c r="D78" s="9">
        <f t="shared" si="38"/>
        <v>0</v>
      </c>
      <c r="E78" s="9">
        <f t="shared" si="38"/>
        <v>0</v>
      </c>
      <c r="F78" s="9">
        <f t="shared" si="38"/>
        <v>0</v>
      </c>
      <c r="G78" s="9">
        <f t="shared" si="38"/>
        <v>0</v>
      </c>
      <c r="H78" s="9">
        <f t="shared" si="38"/>
        <v>0</v>
      </c>
      <c r="I78" s="9">
        <f t="shared" si="38"/>
        <v>0</v>
      </c>
      <c r="J78" s="9">
        <f t="shared" si="38"/>
        <v>0</v>
      </c>
      <c r="K78" s="19">
        <f>IFERROR(H78/31,0)</f>
        <v>0</v>
      </c>
      <c r="L78" s="19">
        <f>IFERROR(H78/(E78+F78),0)</f>
        <v>0</v>
      </c>
      <c r="M78" s="19">
        <f>IFERROR((C78*31-H78)/(E78+F78),0)</f>
        <v>0</v>
      </c>
      <c r="N78" s="19">
        <f>IFERROR((E78+F78)/C78,0)</f>
        <v>0</v>
      </c>
      <c r="O78" s="19">
        <f>IFERROR((H78/(C78*31))*100,0)</f>
        <v>0</v>
      </c>
      <c r="P78" s="19">
        <f>IFERROR((F78/(D78+B78))*100,0)</f>
        <v>0</v>
      </c>
    </row>
    <row r="79" spans="1:16" x14ac:dyDescent="0.25">
      <c r="A79" s="20" t="s">
        <v>145</v>
      </c>
      <c r="B79" s="20">
        <f t="shared" ref="B79:J79" si="39">B75+B76</f>
        <v>0</v>
      </c>
      <c r="C79" s="20">
        <f t="shared" si="39"/>
        <v>20</v>
      </c>
      <c r="D79" s="20">
        <f t="shared" si="39"/>
        <v>0</v>
      </c>
      <c r="E79" s="20">
        <f t="shared" si="39"/>
        <v>0</v>
      </c>
      <c r="F79" s="20">
        <f t="shared" si="39"/>
        <v>0</v>
      </c>
      <c r="G79" s="20">
        <f t="shared" si="39"/>
        <v>0</v>
      </c>
      <c r="H79" s="20">
        <f t="shared" si="39"/>
        <v>0</v>
      </c>
      <c r="I79" s="20">
        <f t="shared" si="39"/>
        <v>0</v>
      </c>
      <c r="J79" s="20">
        <f t="shared" si="39"/>
        <v>0</v>
      </c>
      <c r="K79" s="21">
        <f>IFERROR(H79/31,0)</f>
        <v>0</v>
      </c>
      <c r="L79" s="21">
        <f>IFERROR(H79/(E79+F79),0)</f>
        <v>0</v>
      </c>
      <c r="M79" s="21">
        <f>IFERROR((C79*31-H79)/(E79+F79),0)</f>
        <v>0</v>
      </c>
      <c r="N79" s="21">
        <f>IFERROR((E79+F79)/C79,0)</f>
        <v>0</v>
      </c>
      <c r="O79" s="21">
        <f>IFERROR((H79/(C79*31))*100,0)</f>
        <v>0</v>
      </c>
      <c r="P79" s="21">
        <f>IFERROR((F79/(D79+B79))*100,0)</f>
        <v>0</v>
      </c>
    </row>
    <row r="81" spans="1:16" ht="18.75" x14ac:dyDescent="0.25">
      <c r="A81" s="28" t="s">
        <v>0</v>
      </c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1:16" ht="15.75" x14ac:dyDescent="0.25">
      <c r="A82" s="35" t="s">
        <v>150</v>
      </c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</row>
    <row r="83" spans="1:16" ht="38.25" x14ac:dyDescent="0.25">
      <c r="A83" s="8" t="s">
        <v>132</v>
      </c>
      <c r="B83" s="8" t="s">
        <v>133</v>
      </c>
      <c r="C83" s="8" t="s">
        <v>134</v>
      </c>
      <c r="D83" s="8" t="s">
        <v>74</v>
      </c>
      <c r="E83" s="8" t="s">
        <v>75</v>
      </c>
      <c r="F83" s="8" t="s">
        <v>76</v>
      </c>
      <c r="G83" s="8" t="s">
        <v>108</v>
      </c>
      <c r="H83" s="8" t="s">
        <v>135</v>
      </c>
      <c r="I83" s="8" t="s">
        <v>136</v>
      </c>
      <c r="J83" s="8" t="s">
        <v>137</v>
      </c>
      <c r="K83" s="8" t="s">
        <v>138</v>
      </c>
      <c r="L83" s="8" t="s">
        <v>139</v>
      </c>
      <c r="M83" s="8" t="s">
        <v>140</v>
      </c>
      <c r="N83" s="8" t="s">
        <v>141</v>
      </c>
      <c r="O83" s="8" t="s">
        <v>142</v>
      </c>
      <c r="P83" s="8" t="s">
        <v>143</v>
      </c>
    </row>
    <row r="84" spans="1:16" x14ac:dyDescent="0.25">
      <c r="A84" s="15" t="s">
        <v>31</v>
      </c>
      <c r="B84" s="4">
        <f>IFERROR(SUMIFS(tblDaily[Remaining],tblDaily[EntryDate],DATE(2026,5,31),tblDaily[WardCode],"MW"),0)</f>
        <v>0</v>
      </c>
      <c r="C84" s="4">
        <f>IFERROR(INDEX(tblWardConfig[BedComplement],MATCH("MW",tblWardConfig[WardCode],0)),0)</f>
        <v>32</v>
      </c>
      <c r="D84" s="4">
        <f>SUMIFS(tblDaily[Admissions],tblDaily[Month],6,tblDaily[WardCode],"MW") - SUMIFS(tblDaily[DeathsUnder24Hrs],tblDaily[Month],6,tblDaily[WardCode],"MW")</f>
        <v>0</v>
      </c>
      <c r="E84" s="4">
        <f>SUMIFS(tblDaily[Discharges],tblDaily[Month],6,tblDaily[WardCode],"MW")</f>
        <v>0</v>
      </c>
      <c r="F84" s="4">
        <f>SUMIFS(tblDaily[Deaths],tblDaily[Month],6,tblDaily[WardCode],"MW")</f>
        <v>0</v>
      </c>
      <c r="G84" s="4">
        <f>SUMIFS(tblDaily[DeathsUnder24Hrs],tblDaily[Month],6,tblDaily[WardCode],"MW")</f>
        <v>0</v>
      </c>
      <c r="H84" s="4">
        <f>SUMIFS(tblDaily[Remaining],tblDaily[Month],6,tblDaily[WardCode],"MW")</f>
        <v>0</v>
      </c>
      <c r="I84" s="4">
        <f>SUMIFS(tblDaily[TransfersIn],tblDaily[Month],6,tblDaily[WardCode],"MW")</f>
        <v>0</v>
      </c>
      <c r="J84" s="4">
        <f>SUMIFS(tblDaily[TransfersOut],tblDaily[Month],6,tblDaily[WardCode],"MW")</f>
        <v>0</v>
      </c>
      <c r="K84" s="16">
        <f t="shared" ref="K84:K92" si="40">IFERROR(H84/30,0)</f>
        <v>0</v>
      </c>
      <c r="L84" s="16">
        <f t="shared" ref="L84:L92" si="41">IFERROR(H84/(E84+F84),0)</f>
        <v>0</v>
      </c>
      <c r="M84" s="16">
        <f t="shared" ref="M84:M92" si="42">IFERROR((C84*30-H84)/(E84+F84),0)</f>
        <v>0</v>
      </c>
      <c r="N84" s="16">
        <f t="shared" ref="N84:N92" si="43">IFERROR((E84+F84)/C84,0)</f>
        <v>0</v>
      </c>
      <c r="O84" s="16">
        <f t="shared" ref="O84:O92" si="44">IFERROR((H84/(C84*30))*100,0)</f>
        <v>0</v>
      </c>
      <c r="P84" s="16">
        <f t="shared" ref="P84:P92" si="45">IFERROR((F84/(D84+B84))*100,0)</f>
        <v>0</v>
      </c>
    </row>
    <row r="85" spans="1:16" x14ac:dyDescent="0.25">
      <c r="A85" s="15" t="s">
        <v>33</v>
      </c>
      <c r="B85" s="4">
        <f>IFERROR(SUMIFS(tblDaily[Remaining],tblDaily[EntryDate],DATE(2026,5,31),tblDaily[WardCode],"FW"),0)</f>
        <v>0</v>
      </c>
      <c r="C85" s="4">
        <f>IFERROR(INDEX(tblWardConfig[BedComplement],MATCH("FW",tblWardConfig[WardCode],0)),0)</f>
        <v>28</v>
      </c>
      <c r="D85" s="4">
        <f>SUMIFS(tblDaily[Admissions],tblDaily[Month],6,tblDaily[WardCode],"FW") - SUMIFS(tblDaily[DeathsUnder24Hrs],tblDaily[Month],6,tblDaily[WardCode],"FW")</f>
        <v>0</v>
      </c>
      <c r="E85" s="4">
        <f>SUMIFS(tblDaily[Discharges],tblDaily[Month],6,tblDaily[WardCode],"FW")</f>
        <v>0</v>
      </c>
      <c r="F85" s="4">
        <f>SUMIFS(tblDaily[Deaths],tblDaily[Month],6,tblDaily[WardCode],"FW")</f>
        <v>0</v>
      </c>
      <c r="G85" s="4">
        <f>SUMIFS(tblDaily[DeathsUnder24Hrs],tblDaily[Month],6,tblDaily[WardCode],"FW")</f>
        <v>0</v>
      </c>
      <c r="H85" s="4">
        <f>SUMIFS(tblDaily[Remaining],tblDaily[Month],6,tblDaily[WardCode],"FW")</f>
        <v>0</v>
      </c>
      <c r="I85" s="4">
        <f>SUMIFS(tblDaily[TransfersIn],tblDaily[Month],6,tblDaily[WardCode],"FW")</f>
        <v>0</v>
      </c>
      <c r="J85" s="4">
        <f>SUMIFS(tblDaily[TransfersOut],tblDaily[Month],6,tblDaily[WardCode],"FW")</f>
        <v>0</v>
      </c>
      <c r="K85" s="16">
        <f t="shared" si="40"/>
        <v>0</v>
      </c>
      <c r="L85" s="16">
        <f t="shared" si="41"/>
        <v>0</v>
      </c>
      <c r="M85" s="16">
        <f t="shared" si="42"/>
        <v>0</v>
      </c>
      <c r="N85" s="16">
        <f t="shared" si="43"/>
        <v>0</v>
      </c>
      <c r="O85" s="16">
        <f t="shared" si="44"/>
        <v>0</v>
      </c>
      <c r="P85" s="16">
        <f t="shared" si="45"/>
        <v>0</v>
      </c>
    </row>
    <row r="86" spans="1:16" x14ac:dyDescent="0.25">
      <c r="A86" s="15" t="s">
        <v>35</v>
      </c>
      <c r="B86" s="4">
        <f>IFERROR(SUMIFS(tblDaily[Remaining],tblDaily[EntryDate],DATE(2026,5,31),tblDaily[WardCode],"CW"),0)</f>
        <v>0</v>
      </c>
      <c r="C86" s="4">
        <f>IFERROR(INDEX(tblWardConfig[BedComplement],MATCH("CW",tblWardConfig[WardCode],0)),0)</f>
        <v>27</v>
      </c>
      <c r="D86" s="4">
        <f>SUMIFS(tblDaily[Admissions],tblDaily[Month],6,tblDaily[WardCode],"CW") - SUMIFS(tblDaily[DeathsUnder24Hrs],tblDaily[Month],6,tblDaily[WardCode],"CW")</f>
        <v>0</v>
      </c>
      <c r="E86" s="4">
        <f>SUMIFS(tblDaily[Discharges],tblDaily[Month],6,tblDaily[WardCode],"CW")</f>
        <v>0</v>
      </c>
      <c r="F86" s="4">
        <f>SUMIFS(tblDaily[Deaths],tblDaily[Month],6,tblDaily[WardCode],"CW")</f>
        <v>0</v>
      </c>
      <c r="G86" s="4">
        <f>SUMIFS(tblDaily[DeathsUnder24Hrs],tblDaily[Month],6,tblDaily[WardCode],"CW")</f>
        <v>0</v>
      </c>
      <c r="H86" s="4">
        <f>SUMIFS(tblDaily[Remaining],tblDaily[Month],6,tblDaily[WardCode],"CW")</f>
        <v>0</v>
      </c>
      <c r="I86" s="4">
        <f>SUMIFS(tblDaily[TransfersIn],tblDaily[Month],6,tblDaily[WardCode],"CW")</f>
        <v>0</v>
      </c>
      <c r="J86" s="4">
        <f>SUMIFS(tblDaily[TransfersOut],tblDaily[Month],6,tblDaily[WardCode],"CW")</f>
        <v>0</v>
      </c>
      <c r="K86" s="16">
        <f t="shared" si="40"/>
        <v>0</v>
      </c>
      <c r="L86" s="16">
        <f t="shared" si="41"/>
        <v>0</v>
      </c>
      <c r="M86" s="16">
        <f t="shared" si="42"/>
        <v>0</v>
      </c>
      <c r="N86" s="16">
        <f t="shared" si="43"/>
        <v>0</v>
      </c>
      <c r="O86" s="16">
        <f t="shared" si="44"/>
        <v>0</v>
      </c>
      <c r="P86" s="16">
        <f t="shared" si="45"/>
        <v>0</v>
      </c>
    </row>
    <row r="87" spans="1:16" x14ac:dyDescent="0.25">
      <c r="A87" s="15" t="s">
        <v>37</v>
      </c>
      <c r="B87" s="4">
        <f>IFERROR(SUMIFS(tblDaily[Remaining],tblDaily[EntryDate],DATE(2026,5,31),tblDaily[WardCode],"BF"),0)</f>
        <v>0</v>
      </c>
      <c r="C87" s="4">
        <f>IFERROR(INDEX(tblWardConfig[BedComplement],MATCH("BF",tblWardConfig[WardCode],0)),0)</f>
        <v>20</v>
      </c>
      <c r="D87" s="4">
        <f>SUMIFS(tblDaily[Admissions],tblDaily[Month],6,tblDaily[WardCode],"BF") - SUMIFS(tblDaily[DeathsUnder24Hrs],tblDaily[Month],6,tblDaily[WardCode],"BF")</f>
        <v>0</v>
      </c>
      <c r="E87" s="4">
        <f>SUMIFS(tblDaily[Discharges],tblDaily[Month],6,tblDaily[WardCode],"BF")</f>
        <v>0</v>
      </c>
      <c r="F87" s="4">
        <f>SUMIFS(tblDaily[Deaths],tblDaily[Month],6,tblDaily[WardCode],"BF")</f>
        <v>0</v>
      </c>
      <c r="G87" s="4">
        <f>SUMIFS(tblDaily[DeathsUnder24Hrs],tblDaily[Month],6,tblDaily[WardCode],"BF")</f>
        <v>0</v>
      </c>
      <c r="H87" s="4">
        <f>SUMIFS(tblDaily[Remaining],tblDaily[Month],6,tblDaily[WardCode],"BF")</f>
        <v>0</v>
      </c>
      <c r="I87" s="4">
        <f>SUMIFS(tblDaily[TransfersIn],tblDaily[Month],6,tblDaily[WardCode],"BF")</f>
        <v>0</v>
      </c>
      <c r="J87" s="4">
        <f>SUMIFS(tblDaily[TransfersOut],tblDaily[Month],6,tblDaily[WardCode],"BF")</f>
        <v>0</v>
      </c>
      <c r="K87" s="16">
        <f t="shared" si="40"/>
        <v>0</v>
      </c>
      <c r="L87" s="16">
        <f t="shared" si="41"/>
        <v>0</v>
      </c>
      <c r="M87" s="16">
        <f t="shared" si="42"/>
        <v>0</v>
      </c>
      <c r="N87" s="16">
        <f t="shared" si="43"/>
        <v>0</v>
      </c>
      <c r="O87" s="16">
        <f t="shared" si="44"/>
        <v>0</v>
      </c>
      <c r="P87" s="16">
        <f t="shared" si="45"/>
        <v>0</v>
      </c>
    </row>
    <row r="88" spans="1:16" x14ac:dyDescent="0.25">
      <c r="A88" s="15" t="s">
        <v>39</v>
      </c>
      <c r="B88" s="4">
        <f>IFERROR(SUMIFS(tblDaily[Remaining],tblDaily[EntryDate],DATE(2026,5,31),tblDaily[WardCode],"BG"),0)</f>
        <v>0</v>
      </c>
      <c r="C88" s="4">
        <f>IFERROR(INDEX(tblWardConfig[BedComplement],MATCH("BG",tblWardConfig[WardCode],0)),0)</f>
        <v>14</v>
      </c>
      <c r="D88" s="4">
        <f>SUMIFS(tblDaily[Admissions],tblDaily[Month],6,tblDaily[WardCode],"BG") - SUMIFS(tblDaily[DeathsUnder24Hrs],tblDaily[Month],6,tblDaily[WardCode],"BG")</f>
        <v>0</v>
      </c>
      <c r="E88" s="4">
        <f>SUMIFS(tblDaily[Discharges],tblDaily[Month],6,tblDaily[WardCode],"BG")</f>
        <v>0</v>
      </c>
      <c r="F88" s="4">
        <f>SUMIFS(tblDaily[Deaths],tblDaily[Month],6,tblDaily[WardCode],"BG")</f>
        <v>0</v>
      </c>
      <c r="G88" s="4">
        <f>SUMIFS(tblDaily[DeathsUnder24Hrs],tblDaily[Month],6,tblDaily[WardCode],"BG")</f>
        <v>0</v>
      </c>
      <c r="H88" s="4">
        <f>SUMIFS(tblDaily[Remaining],tblDaily[Month],6,tblDaily[WardCode],"BG")</f>
        <v>0</v>
      </c>
      <c r="I88" s="4">
        <f>SUMIFS(tblDaily[TransfersIn],tblDaily[Month],6,tblDaily[WardCode],"BG")</f>
        <v>0</v>
      </c>
      <c r="J88" s="4">
        <f>SUMIFS(tblDaily[TransfersOut],tblDaily[Month],6,tblDaily[WardCode],"BG")</f>
        <v>0</v>
      </c>
      <c r="K88" s="16">
        <f t="shared" si="40"/>
        <v>0</v>
      </c>
      <c r="L88" s="16">
        <f t="shared" si="41"/>
        <v>0</v>
      </c>
      <c r="M88" s="16">
        <f t="shared" si="42"/>
        <v>0</v>
      </c>
      <c r="N88" s="16">
        <f t="shared" si="43"/>
        <v>0</v>
      </c>
      <c r="O88" s="16">
        <f t="shared" si="44"/>
        <v>0</v>
      </c>
      <c r="P88" s="16">
        <f t="shared" si="45"/>
        <v>0</v>
      </c>
    </row>
    <row r="89" spans="1:16" x14ac:dyDescent="0.25">
      <c r="A89" s="15" t="s">
        <v>41</v>
      </c>
      <c r="B89" s="4">
        <f>IFERROR(SUMIFS(tblDaily[Remaining],tblDaily[EntryDate],DATE(2026,5,31),tblDaily[WardCode],"BH"),0)</f>
        <v>0</v>
      </c>
      <c r="C89" s="4">
        <f>IFERROR(INDEX(tblWardConfig[BedComplement],MATCH("BH",tblWardConfig[WardCode],0)),0)</f>
        <v>22</v>
      </c>
      <c r="D89" s="4">
        <f>SUMIFS(tblDaily[Admissions],tblDaily[Month],6,tblDaily[WardCode],"BH") - SUMIFS(tblDaily[DeathsUnder24Hrs],tblDaily[Month],6,tblDaily[WardCode],"BH")</f>
        <v>0</v>
      </c>
      <c r="E89" s="4">
        <f>SUMIFS(tblDaily[Discharges],tblDaily[Month],6,tblDaily[WardCode],"BH")</f>
        <v>0</v>
      </c>
      <c r="F89" s="4">
        <f>SUMIFS(tblDaily[Deaths],tblDaily[Month],6,tblDaily[WardCode],"BH")</f>
        <v>0</v>
      </c>
      <c r="G89" s="4">
        <f>SUMIFS(tblDaily[DeathsUnder24Hrs],tblDaily[Month],6,tblDaily[WardCode],"BH")</f>
        <v>0</v>
      </c>
      <c r="H89" s="4">
        <f>SUMIFS(tblDaily[Remaining],tblDaily[Month],6,tblDaily[WardCode],"BH")</f>
        <v>0</v>
      </c>
      <c r="I89" s="4">
        <f>SUMIFS(tblDaily[TransfersIn],tblDaily[Month],6,tblDaily[WardCode],"BH")</f>
        <v>0</v>
      </c>
      <c r="J89" s="4">
        <f>SUMIFS(tblDaily[TransfersOut],tblDaily[Month],6,tblDaily[WardCode],"BH")</f>
        <v>0</v>
      </c>
      <c r="K89" s="16">
        <f t="shared" si="40"/>
        <v>0</v>
      </c>
      <c r="L89" s="16">
        <f t="shared" si="41"/>
        <v>0</v>
      </c>
      <c r="M89" s="16">
        <f t="shared" si="42"/>
        <v>0</v>
      </c>
      <c r="N89" s="16">
        <f t="shared" si="43"/>
        <v>0</v>
      </c>
      <c r="O89" s="16">
        <f t="shared" si="44"/>
        <v>0</v>
      </c>
      <c r="P89" s="16">
        <f t="shared" si="45"/>
        <v>0</v>
      </c>
    </row>
    <row r="90" spans="1:16" x14ac:dyDescent="0.25">
      <c r="A90" s="15" t="s">
        <v>43</v>
      </c>
      <c r="B90" s="4">
        <f>IFERROR(SUMIFS(tblDaily[Remaining],tblDaily[EntryDate],DATE(2026,5,31),tblDaily[WardCode],"NICU"),0)</f>
        <v>0</v>
      </c>
      <c r="C90" s="4">
        <f>IFERROR(INDEX(tblWardConfig[BedComplement],MATCH("NICU",tblWardConfig[WardCode],0)),0)</f>
        <v>15</v>
      </c>
      <c r="D90" s="4">
        <f>SUMIFS(tblDaily[Admissions],tblDaily[Month],6,tblDaily[WardCode],"NICU") - SUMIFS(tblDaily[DeathsUnder24Hrs],tblDaily[Month],6,tblDaily[WardCode],"NICU")</f>
        <v>0</v>
      </c>
      <c r="E90" s="4">
        <f>SUMIFS(tblDaily[Discharges],tblDaily[Month],6,tblDaily[WardCode],"NICU")</f>
        <v>0</v>
      </c>
      <c r="F90" s="4">
        <f>SUMIFS(tblDaily[Deaths],tblDaily[Month],6,tblDaily[WardCode],"NICU")</f>
        <v>0</v>
      </c>
      <c r="G90" s="4">
        <f>SUMIFS(tblDaily[DeathsUnder24Hrs],tblDaily[Month],6,tblDaily[WardCode],"NICU")</f>
        <v>0</v>
      </c>
      <c r="H90" s="4">
        <f>SUMIFS(tblDaily[Remaining],tblDaily[Month],6,tblDaily[WardCode],"NICU")</f>
        <v>0</v>
      </c>
      <c r="I90" s="4">
        <f>SUMIFS(tblDaily[TransfersIn],tblDaily[Month],6,tblDaily[WardCode],"NICU")</f>
        <v>0</v>
      </c>
      <c r="J90" s="4">
        <f>SUMIFS(tblDaily[TransfersOut],tblDaily[Month],6,tblDaily[WardCode],"NICU")</f>
        <v>0</v>
      </c>
      <c r="K90" s="16">
        <f t="shared" si="40"/>
        <v>0</v>
      </c>
      <c r="L90" s="16">
        <f t="shared" si="41"/>
        <v>0</v>
      </c>
      <c r="M90" s="16">
        <f t="shared" si="42"/>
        <v>0</v>
      </c>
      <c r="N90" s="16">
        <f t="shared" si="43"/>
        <v>0</v>
      </c>
      <c r="O90" s="16">
        <f t="shared" si="44"/>
        <v>0</v>
      </c>
      <c r="P90" s="16">
        <f t="shared" si="45"/>
        <v>0</v>
      </c>
    </row>
    <row r="91" spans="1:16" x14ac:dyDescent="0.25">
      <c r="A91" s="15" t="s">
        <v>45</v>
      </c>
      <c r="B91" s="4">
        <f>IFERROR(SUMIFS(tblDaily[Remaining],tblDaily[EntryDate],DATE(2026,5,31),tblDaily[WardCode],"MAE"),0)</f>
        <v>0</v>
      </c>
      <c r="C91" s="4">
        <f>IFERROR(INDEX(tblWardConfig[BedComplement],MATCH("MAE",tblWardConfig[WardCode],0)),0)</f>
        <v>10</v>
      </c>
      <c r="D91" s="4">
        <f>SUMIFS(tblDaily[Admissions],tblDaily[Month],6,tblDaily[WardCode],"MAE") - SUMIFS(tblDaily[DeathsUnder24Hrs],tblDaily[Month],6,tblDaily[WardCode],"MAE")</f>
        <v>0</v>
      </c>
      <c r="E91" s="4">
        <f>SUMIFS(tblDaily[Discharges],tblDaily[Month],6,tblDaily[WardCode],"MAE")</f>
        <v>0</v>
      </c>
      <c r="F91" s="4">
        <f>SUMIFS(tblDaily[Deaths],tblDaily[Month],6,tblDaily[WardCode],"MAE")</f>
        <v>0</v>
      </c>
      <c r="G91" s="4">
        <f>SUMIFS(tblDaily[DeathsUnder24Hrs],tblDaily[Month],6,tblDaily[WardCode],"MAE")</f>
        <v>0</v>
      </c>
      <c r="H91" s="4">
        <f>SUMIFS(tblDaily[Remaining],tblDaily[Month],6,tblDaily[WardCode],"MAE")</f>
        <v>0</v>
      </c>
      <c r="I91" s="4">
        <f>SUMIFS(tblDaily[TransfersIn],tblDaily[Month],6,tblDaily[WardCode],"MAE")</f>
        <v>0</v>
      </c>
      <c r="J91" s="4">
        <f>SUMIFS(tblDaily[TransfersOut],tblDaily[Month],6,tblDaily[WardCode],"MAE")</f>
        <v>0</v>
      </c>
      <c r="K91" s="16">
        <f t="shared" si="40"/>
        <v>0</v>
      </c>
      <c r="L91" s="16">
        <f t="shared" si="41"/>
        <v>0</v>
      </c>
      <c r="M91" s="16">
        <f t="shared" si="42"/>
        <v>0</v>
      </c>
      <c r="N91" s="16">
        <f t="shared" si="43"/>
        <v>0</v>
      </c>
      <c r="O91" s="16">
        <f t="shared" si="44"/>
        <v>0</v>
      </c>
      <c r="P91" s="16">
        <f t="shared" si="45"/>
        <v>0</v>
      </c>
    </row>
    <row r="92" spans="1:16" x14ac:dyDescent="0.25">
      <c r="A92" s="15" t="s">
        <v>47</v>
      </c>
      <c r="B92" s="4">
        <f>IFERROR(SUMIFS(tblDaily[Remaining],tblDaily[EntryDate],DATE(2026,5,31),tblDaily[WardCode],"FAE"),0)</f>
        <v>0</v>
      </c>
      <c r="C92" s="4">
        <f>IFERROR(INDEX(tblWardConfig[BedComplement],MATCH("FAE",tblWardConfig[WardCode],0)),0)</f>
        <v>10</v>
      </c>
      <c r="D92" s="4">
        <f>SUMIFS(tblDaily[Admissions],tblDaily[Month],6,tblDaily[WardCode],"FAE") - SUMIFS(tblDaily[DeathsUnder24Hrs],tblDaily[Month],6,tblDaily[WardCode],"FAE")</f>
        <v>0</v>
      </c>
      <c r="E92" s="4">
        <f>SUMIFS(tblDaily[Discharges],tblDaily[Month],6,tblDaily[WardCode],"FAE")</f>
        <v>0</v>
      </c>
      <c r="F92" s="4">
        <f>SUMIFS(tblDaily[Deaths],tblDaily[Month],6,tblDaily[WardCode],"FAE")</f>
        <v>0</v>
      </c>
      <c r="G92" s="4">
        <f>SUMIFS(tblDaily[DeathsUnder24Hrs],tblDaily[Month],6,tblDaily[WardCode],"FAE")</f>
        <v>0</v>
      </c>
      <c r="H92" s="4">
        <f>SUMIFS(tblDaily[Remaining],tblDaily[Month],6,tblDaily[WardCode],"FAE")</f>
        <v>0</v>
      </c>
      <c r="I92" s="4">
        <f>SUMIFS(tblDaily[TransfersIn],tblDaily[Month],6,tblDaily[WardCode],"FAE")</f>
        <v>0</v>
      </c>
      <c r="J92" s="4">
        <f>SUMIFS(tblDaily[TransfersOut],tblDaily[Month],6,tblDaily[WardCode],"FAE")</f>
        <v>0</v>
      </c>
      <c r="K92" s="16">
        <f t="shared" si="40"/>
        <v>0</v>
      </c>
      <c r="L92" s="16">
        <f t="shared" si="41"/>
        <v>0</v>
      </c>
      <c r="M92" s="16">
        <f t="shared" si="42"/>
        <v>0</v>
      </c>
      <c r="N92" s="16">
        <f t="shared" si="43"/>
        <v>0</v>
      </c>
      <c r="O92" s="16">
        <f t="shared" si="44"/>
        <v>0</v>
      </c>
      <c r="P92" s="16">
        <f t="shared" si="45"/>
        <v>0</v>
      </c>
    </row>
    <row r="93" spans="1:16" x14ac:dyDescent="0.25">
      <c r="A93" s="17" t="s">
        <v>144</v>
      </c>
      <c r="B93" s="15">
        <f>SUMIFS(tblDaily[Remaining],tblDaily[EntryDate],DATE(2026,6,30),tblDaily[WardCode],"MAE")+SUMIFS(tblDaily[Remaining],tblDaily[EntryDate],DATE(2026,6,30),tblDaily[WardCode],"FAE")</f>
        <v>0</v>
      </c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</row>
    <row r="94" spans="1:16" x14ac:dyDescent="0.25">
      <c r="A94" s="9" t="s">
        <v>112</v>
      </c>
      <c r="B94" s="9">
        <f t="shared" ref="B94:J94" si="46">SUM(B84:B92)</f>
        <v>0</v>
      </c>
      <c r="C94" s="9">
        <f t="shared" si="46"/>
        <v>178</v>
      </c>
      <c r="D94" s="9">
        <f t="shared" si="46"/>
        <v>0</v>
      </c>
      <c r="E94" s="9">
        <f t="shared" si="46"/>
        <v>0</v>
      </c>
      <c r="F94" s="9">
        <f t="shared" si="46"/>
        <v>0</v>
      </c>
      <c r="G94" s="9">
        <f t="shared" si="46"/>
        <v>0</v>
      </c>
      <c r="H94" s="9">
        <f t="shared" si="46"/>
        <v>0</v>
      </c>
      <c r="I94" s="9">
        <f t="shared" si="46"/>
        <v>0</v>
      </c>
      <c r="J94" s="9">
        <f t="shared" si="46"/>
        <v>0</v>
      </c>
      <c r="K94" s="19">
        <f>IFERROR(H94/30,0)</f>
        <v>0</v>
      </c>
      <c r="L94" s="19">
        <f>IFERROR(H94/(E94+F94),0)</f>
        <v>0</v>
      </c>
      <c r="M94" s="19">
        <f>IFERROR((C94*30-H94)/(E94+F94),0)</f>
        <v>0</v>
      </c>
      <c r="N94" s="19">
        <f>IFERROR((E94+F94)/C94,0)</f>
        <v>0</v>
      </c>
      <c r="O94" s="19">
        <f>IFERROR((H94/(C94*30))*100,0)</f>
        <v>0</v>
      </c>
      <c r="P94" s="19">
        <f>IFERROR((F94/(D94+B94))*100,0)</f>
        <v>0</v>
      </c>
    </row>
    <row r="95" spans="1:16" x14ac:dyDescent="0.25">
      <c r="A95" s="20" t="s">
        <v>145</v>
      </c>
      <c r="B95" s="20">
        <f t="shared" ref="B95:J95" si="47">B91+B92</f>
        <v>0</v>
      </c>
      <c r="C95" s="20">
        <f t="shared" si="47"/>
        <v>20</v>
      </c>
      <c r="D95" s="20">
        <f t="shared" si="47"/>
        <v>0</v>
      </c>
      <c r="E95" s="20">
        <f t="shared" si="47"/>
        <v>0</v>
      </c>
      <c r="F95" s="20">
        <f t="shared" si="47"/>
        <v>0</v>
      </c>
      <c r="G95" s="20">
        <f t="shared" si="47"/>
        <v>0</v>
      </c>
      <c r="H95" s="20">
        <f t="shared" si="47"/>
        <v>0</v>
      </c>
      <c r="I95" s="20">
        <f t="shared" si="47"/>
        <v>0</v>
      </c>
      <c r="J95" s="20">
        <f t="shared" si="47"/>
        <v>0</v>
      </c>
      <c r="K95" s="21">
        <f>IFERROR(H95/30,0)</f>
        <v>0</v>
      </c>
      <c r="L95" s="21">
        <f>IFERROR(H95/(E95+F95),0)</f>
        <v>0</v>
      </c>
      <c r="M95" s="21">
        <f>IFERROR((C95*30-H95)/(E95+F95),0)</f>
        <v>0</v>
      </c>
      <c r="N95" s="21">
        <f>IFERROR((E95+F95)/C95,0)</f>
        <v>0</v>
      </c>
      <c r="O95" s="21">
        <f>IFERROR((H95/(C95*30))*100,0)</f>
        <v>0</v>
      </c>
      <c r="P95" s="21">
        <f>IFERROR((F95/(D95+B95))*100,0)</f>
        <v>0</v>
      </c>
    </row>
    <row r="97" spans="1:16" ht="18.75" x14ac:dyDescent="0.25">
      <c r="A97" s="28" t="s">
        <v>0</v>
      </c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</row>
    <row r="98" spans="1:16" ht="15.75" x14ac:dyDescent="0.25">
      <c r="A98" s="35" t="s">
        <v>151</v>
      </c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</row>
    <row r="99" spans="1:16" ht="38.25" x14ac:dyDescent="0.25">
      <c r="A99" s="8" t="s">
        <v>132</v>
      </c>
      <c r="B99" s="8" t="s">
        <v>133</v>
      </c>
      <c r="C99" s="8" t="s">
        <v>134</v>
      </c>
      <c r="D99" s="8" t="s">
        <v>74</v>
      </c>
      <c r="E99" s="8" t="s">
        <v>75</v>
      </c>
      <c r="F99" s="8" t="s">
        <v>76</v>
      </c>
      <c r="G99" s="8" t="s">
        <v>108</v>
      </c>
      <c r="H99" s="8" t="s">
        <v>135</v>
      </c>
      <c r="I99" s="8" t="s">
        <v>136</v>
      </c>
      <c r="J99" s="8" t="s">
        <v>137</v>
      </c>
      <c r="K99" s="8" t="s">
        <v>138</v>
      </c>
      <c r="L99" s="8" t="s">
        <v>139</v>
      </c>
      <c r="M99" s="8" t="s">
        <v>140</v>
      </c>
      <c r="N99" s="8" t="s">
        <v>141</v>
      </c>
      <c r="O99" s="8" t="s">
        <v>142</v>
      </c>
      <c r="P99" s="8" t="s">
        <v>143</v>
      </c>
    </row>
    <row r="100" spans="1:16" x14ac:dyDescent="0.25">
      <c r="A100" s="15" t="s">
        <v>31</v>
      </c>
      <c r="B100" s="4">
        <f>IFERROR(SUMIFS(tblDaily[Remaining],tblDaily[EntryDate],DATE(2026,6,30),tblDaily[WardCode],"MW"),0)</f>
        <v>0</v>
      </c>
      <c r="C100" s="4">
        <f>IFERROR(INDEX(tblWardConfig[BedComplement],MATCH("MW",tblWardConfig[WardCode],0)),0)</f>
        <v>32</v>
      </c>
      <c r="D100" s="4">
        <f>SUMIFS(tblDaily[Admissions],tblDaily[Month],7,tblDaily[WardCode],"MW") - SUMIFS(tblDaily[DeathsUnder24Hrs],tblDaily[Month],7,tblDaily[WardCode],"MW")</f>
        <v>0</v>
      </c>
      <c r="E100" s="4">
        <f>SUMIFS(tblDaily[Discharges],tblDaily[Month],7,tblDaily[WardCode],"MW")</f>
        <v>0</v>
      </c>
      <c r="F100" s="4">
        <f>SUMIFS(tblDaily[Deaths],tblDaily[Month],7,tblDaily[WardCode],"MW")</f>
        <v>0</v>
      </c>
      <c r="G100" s="4">
        <f>SUMIFS(tblDaily[DeathsUnder24Hrs],tblDaily[Month],7,tblDaily[WardCode],"MW")</f>
        <v>0</v>
      </c>
      <c r="H100" s="4">
        <f>SUMIFS(tblDaily[Remaining],tblDaily[Month],7,tblDaily[WardCode],"MW")</f>
        <v>0</v>
      </c>
      <c r="I100" s="4">
        <f>SUMIFS(tblDaily[TransfersIn],tblDaily[Month],7,tblDaily[WardCode],"MW")</f>
        <v>0</v>
      </c>
      <c r="J100" s="4">
        <f>SUMIFS(tblDaily[TransfersOut],tblDaily[Month],7,tblDaily[WardCode],"MW")</f>
        <v>0</v>
      </c>
      <c r="K100" s="16">
        <f t="shared" ref="K100:K108" si="48">IFERROR(H100/31,0)</f>
        <v>0</v>
      </c>
      <c r="L100" s="16">
        <f t="shared" ref="L100:L108" si="49">IFERROR(H100/(E100+F100),0)</f>
        <v>0</v>
      </c>
      <c r="M100" s="16">
        <f t="shared" ref="M100:M108" si="50">IFERROR((C100*31-H100)/(E100+F100),0)</f>
        <v>0</v>
      </c>
      <c r="N100" s="16">
        <f t="shared" ref="N100:N108" si="51">IFERROR((E100+F100)/C100,0)</f>
        <v>0</v>
      </c>
      <c r="O100" s="16">
        <f t="shared" ref="O100:O108" si="52">IFERROR((H100/(C100*31))*100,0)</f>
        <v>0</v>
      </c>
      <c r="P100" s="16">
        <f t="shared" ref="P100:P108" si="53">IFERROR((F100/(D100+B100))*100,0)</f>
        <v>0</v>
      </c>
    </row>
    <row r="101" spans="1:16" x14ac:dyDescent="0.25">
      <c r="A101" s="15" t="s">
        <v>33</v>
      </c>
      <c r="B101" s="4">
        <f>IFERROR(SUMIFS(tblDaily[Remaining],tblDaily[EntryDate],DATE(2026,6,30),tblDaily[WardCode],"FW"),0)</f>
        <v>0</v>
      </c>
      <c r="C101" s="4">
        <f>IFERROR(INDEX(tblWardConfig[BedComplement],MATCH("FW",tblWardConfig[WardCode],0)),0)</f>
        <v>28</v>
      </c>
      <c r="D101" s="4">
        <f>SUMIFS(tblDaily[Admissions],tblDaily[Month],7,tblDaily[WardCode],"FW") - SUMIFS(tblDaily[DeathsUnder24Hrs],tblDaily[Month],7,tblDaily[WardCode],"FW")</f>
        <v>0</v>
      </c>
      <c r="E101" s="4">
        <f>SUMIFS(tblDaily[Discharges],tblDaily[Month],7,tblDaily[WardCode],"FW")</f>
        <v>0</v>
      </c>
      <c r="F101" s="4">
        <f>SUMIFS(tblDaily[Deaths],tblDaily[Month],7,tblDaily[WardCode],"FW")</f>
        <v>0</v>
      </c>
      <c r="G101" s="4">
        <f>SUMIFS(tblDaily[DeathsUnder24Hrs],tblDaily[Month],7,tblDaily[WardCode],"FW")</f>
        <v>0</v>
      </c>
      <c r="H101" s="4">
        <f>SUMIFS(tblDaily[Remaining],tblDaily[Month],7,tblDaily[WardCode],"FW")</f>
        <v>0</v>
      </c>
      <c r="I101" s="4">
        <f>SUMIFS(tblDaily[TransfersIn],tblDaily[Month],7,tblDaily[WardCode],"FW")</f>
        <v>0</v>
      </c>
      <c r="J101" s="4">
        <f>SUMIFS(tblDaily[TransfersOut],tblDaily[Month],7,tblDaily[WardCode],"FW")</f>
        <v>0</v>
      </c>
      <c r="K101" s="16">
        <f t="shared" si="48"/>
        <v>0</v>
      </c>
      <c r="L101" s="16">
        <f t="shared" si="49"/>
        <v>0</v>
      </c>
      <c r="M101" s="16">
        <f t="shared" si="50"/>
        <v>0</v>
      </c>
      <c r="N101" s="16">
        <f t="shared" si="51"/>
        <v>0</v>
      </c>
      <c r="O101" s="16">
        <f t="shared" si="52"/>
        <v>0</v>
      </c>
      <c r="P101" s="16">
        <f t="shared" si="53"/>
        <v>0</v>
      </c>
    </row>
    <row r="102" spans="1:16" x14ac:dyDescent="0.25">
      <c r="A102" s="15" t="s">
        <v>35</v>
      </c>
      <c r="B102" s="4">
        <f>IFERROR(SUMIFS(tblDaily[Remaining],tblDaily[EntryDate],DATE(2026,6,30),tblDaily[WardCode],"CW"),0)</f>
        <v>0</v>
      </c>
      <c r="C102" s="4">
        <f>IFERROR(INDEX(tblWardConfig[BedComplement],MATCH("CW",tblWardConfig[WardCode],0)),0)</f>
        <v>27</v>
      </c>
      <c r="D102" s="4">
        <f>SUMIFS(tblDaily[Admissions],tblDaily[Month],7,tblDaily[WardCode],"CW") - SUMIFS(tblDaily[DeathsUnder24Hrs],tblDaily[Month],7,tblDaily[WardCode],"CW")</f>
        <v>0</v>
      </c>
      <c r="E102" s="4">
        <f>SUMIFS(tblDaily[Discharges],tblDaily[Month],7,tblDaily[WardCode],"CW")</f>
        <v>0</v>
      </c>
      <c r="F102" s="4">
        <f>SUMIFS(tblDaily[Deaths],tblDaily[Month],7,tblDaily[WardCode],"CW")</f>
        <v>0</v>
      </c>
      <c r="G102" s="4">
        <f>SUMIFS(tblDaily[DeathsUnder24Hrs],tblDaily[Month],7,tblDaily[WardCode],"CW")</f>
        <v>0</v>
      </c>
      <c r="H102" s="4">
        <f>SUMIFS(tblDaily[Remaining],tblDaily[Month],7,tblDaily[WardCode],"CW")</f>
        <v>0</v>
      </c>
      <c r="I102" s="4">
        <f>SUMIFS(tblDaily[TransfersIn],tblDaily[Month],7,tblDaily[WardCode],"CW")</f>
        <v>0</v>
      </c>
      <c r="J102" s="4">
        <f>SUMIFS(tblDaily[TransfersOut],tblDaily[Month],7,tblDaily[WardCode],"CW")</f>
        <v>0</v>
      </c>
      <c r="K102" s="16">
        <f t="shared" si="48"/>
        <v>0</v>
      </c>
      <c r="L102" s="16">
        <f t="shared" si="49"/>
        <v>0</v>
      </c>
      <c r="M102" s="16">
        <f t="shared" si="50"/>
        <v>0</v>
      </c>
      <c r="N102" s="16">
        <f t="shared" si="51"/>
        <v>0</v>
      </c>
      <c r="O102" s="16">
        <f t="shared" si="52"/>
        <v>0</v>
      </c>
      <c r="P102" s="16">
        <f t="shared" si="53"/>
        <v>0</v>
      </c>
    </row>
    <row r="103" spans="1:16" x14ac:dyDescent="0.25">
      <c r="A103" s="15" t="s">
        <v>37</v>
      </c>
      <c r="B103" s="4">
        <f>IFERROR(SUMIFS(tblDaily[Remaining],tblDaily[EntryDate],DATE(2026,6,30),tblDaily[WardCode],"BF"),0)</f>
        <v>0</v>
      </c>
      <c r="C103" s="4">
        <f>IFERROR(INDEX(tblWardConfig[BedComplement],MATCH("BF",tblWardConfig[WardCode],0)),0)</f>
        <v>20</v>
      </c>
      <c r="D103" s="4">
        <f>SUMIFS(tblDaily[Admissions],tblDaily[Month],7,tblDaily[WardCode],"BF") - SUMIFS(tblDaily[DeathsUnder24Hrs],tblDaily[Month],7,tblDaily[WardCode],"BF")</f>
        <v>0</v>
      </c>
      <c r="E103" s="4">
        <f>SUMIFS(tblDaily[Discharges],tblDaily[Month],7,tblDaily[WardCode],"BF")</f>
        <v>0</v>
      </c>
      <c r="F103" s="4">
        <f>SUMIFS(tblDaily[Deaths],tblDaily[Month],7,tblDaily[WardCode],"BF")</f>
        <v>0</v>
      </c>
      <c r="G103" s="4">
        <f>SUMIFS(tblDaily[DeathsUnder24Hrs],tblDaily[Month],7,tblDaily[WardCode],"BF")</f>
        <v>0</v>
      </c>
      <c r="H103" s="4">
        <f>SUMIFS(tblDaily[Remaining],tblDaily[Month],7,tblDaily[WardCode],"BF")</f>
        <v>0</v>
      </c>
      <c r="I103" s="4">
        <f>SUMIFS(tblDaily[TransfersIn],tblDaily[Month],7,tblDaily[WardCode],"BF")</f>
        <v>0</v>
      </c>
      <c r="J103" s="4">
        <f>SUMIFS(tblDaily[TransfersOut],tblDaily[Month],7,tblDaily[WardCode],"BF")</f>
        <v>0</v>
      </c>
      <c r="K103" s="16">
        <f t="shared" si="48"/>
        <v>0</v>
      </c>
      <c r="L103" s="16">
        <f t="shared" si="49"/>
        <v>0</v>
      </c>
      <c r="M103" s="16">
        <f t="shared" si="50"/>
        <v>0</v>
      </c>
      <c r="N103" s="16">
        <f t="shared" si="51"/>
        <v>0</v>
      </c>
      <c r="O103" s="16">
        <f t="shared" si="52"/>
        <v>0</v>
      </c>
      <c r="P103" s="16">
        <f t="shared" si="53"/>
        <v>0</v>
      </c>
    </row>
    <row r="104" spans="1:16" x14ac:dyDescent="0.25">
      <c r="A104" s="15" t="s">
        <v>39</v>
      </c>
      <c r="B104" s="4">
        <f>IFERROR(SUMIFS(tblDaily[Remaining],tblDaily[EntryDate],DATE(2026,6,30),tblDaily[WardCode],"BG"),0)</f>
        <v>0</v>
      </c>
      <c r="C104" s="4">
        <f>IFERROR(INDEX(tblWardConfig[BedComplement],MATCH("BG",tblWardConfig[WardCode],0)),0)</f>
        <v>14</v>
      </c>
      <c r="D104" s="4">
        <f>SUMIFS(tblDaily[Admissions],tblDaily[Month],7,tblDaily[WardCode],"BG") - SUMIFS(tblDaily[DeathsUnder24Hrs],tblDaily[Month],7,tblDaily[WardCode],"BG")</f>
        <v>0</v>
      </c>
      <c r="E104" s="4">
        <f>SUMIFS(tblDaily[Discharges],tblDaily[Month],7,tblDaily[WardCode],"BG")</f>
        <v>0</v>
      </c>
      <c r="F104" s="4">
        <f>SUMIFS(tblDaily[Deaths],tblDaily[Month],7,tblDaily[WardCode],"BG")</f>
        <v>0</v>
      </c>
      <c r="G104" s="4">
        <f>SUMIFS(tblDaily[DeathsUnder24Hrs],tblDaily[Month],7,tblDaily[WardCode],"BG")</f>
        <v>0</v>
      </c>
      <c r="H104" s="4">
        <f>SUMIFS(tblDaily[Remaining],tblDaily[Month],7,tblDaily[WardCode],"BG")</f>
        <v>0</v>
      </c>
      <c r="I104" s="4">
        <f>SUMIFS(tblDaily[TransfersIn],tblDaily[Month],7,tblDaily[WardCode],"BG")</f>
        <v>0</v>
      </c>
      <c r="J104" s="4">
        <f>SUMIFS(tblDaily[TransfersOut],tblDaily[Month],7,tblDaily[WardCode],"BG")</f>
        <v>0</v>
      </c>
      <c r="K104" s="16">
        <f t="shared" si="48"/>
        <v>0</v>
      </c>
      <c r="L104" s="16">
        <f t="shared" si="49"/>
        <v>0</v>
      </c>
      <c r="M104" s="16">
        <f t="shared" si="50"/>
        <v>0</v>
      </c>
      <c r="N104" s="16">
        <f t="shared" si="51"/>
        <v>0</v>
      </c>
      <c r="O104" s="16">
        <f t="shared" si="52"/>
        <v>0</v>
      </c>
      <c r="P104" s="16">
        <f t="shared" si="53"/>
        <v>0</v>
      </c>
    </row>
    <row r="105" spans="1:16" x14ac:dyDescent="0.25">
      <c r="A105" s="15" t="s">
        <v>41</v>
      </c>
      <c r="B105" s="4">
        <f>IFERROR(SUMIFS(tblDaily[Remaining],tblDaily[EntryDate],DATE(2026,6,30),tblDaily[WardCode],"BH"),0)</f>
        <v>0</v>
      </c>
      <c r="C105" s="4">
        <f>IFERROR(INDEX(tblWardConfig[BedComplement],MATCH("BH",tblWardConfig[WardCode],0)),0)</f>
        <v>22</v>
      </c>
      <c r="D105" s="4">
        <f>SUMIFS(tblDaily[Admissions],tblDaily[Month],7,tblDaily[WardCode],"BH") - SUMIFS(tblDaily[DeathsUnder24Hrs],tblDaily[Month],7,tblDaily[WardCode],"BH")</f>
        <v>0</v>
      </c>
      <c r="E105" s="4">
        <f>SUMIFS(tblDaily[Discharges],tblDaily[Month],7,tblDaily[WardCode],"BH")</f>
        <v>0</v>
      </c>
      <c r="F105" s="4">
        <f>SUMIFS(tblDaily[Deaths],tblDaily[Month],7,tblDaily[WardCode],"BH")</f>
        <v>0</v>
      </c>
      <c r="G105" s="4">
        <f>SUMIFS(tblDaily[DeathsUnder24Hrs],tblDaily[Month],7,tblDaily[WardCode],"BH")</f>
        <v>0</v>
      </c>
      <c r="H105" s="4">
        <f>SUMIFS(tblDaily[Remaining],tblDaily[Month],7,tblDaily[WardCode],"BH")</f>
        <v>0</v>
      </c>
      <c r="I105" s="4">
        <f>SUMIFS(tblDaily[TransfersIn],tblDaily[Month],7,tblDaily[WardCode],"BH")</f>
        <v>0</v>
      </c>
      <c r="J105" s="4">
        <f>SUMIFS(tblDaily[TransfersOut],tblDaily[Month],7,tblDaily[WardCode],"BH")</f>
        <v>0</v>
      </c>
      <c r="K105" s="16">
        <f t="shared" si="48"/>
        <v>0</v>
      </c>
      <c r="L105" s="16">
        <f t="shared" si="49"/>
        <v>0</v>
      </c>
      <c r="M105" s="16">
        <f t="shared" si="50"/>
        <v>0</v>
      </c>
      <c r="N105" s="16">
        <f t="shared" si="51"/>
        <v>0</v>
      </c>
      <c r="O105" s="16">
        <f t="shared" si="52"/>
        <v>0</v>
      </c>
      <c r="P105" s="16">
        <f t="shared" si="53"/>
        <v>0</v>
      </c>
    </row>
    <row r="106" spans="1:16" x14ac:dyDescent="0.25">
      <c r="A106" s="15" t="s">
        <v>43</v>
      </c>
      <c r="B106" s="4">
        <f>IFERROR(SUMIFS(tblDaily[Remaining],tblDaily[EntryDate],DATE(2026,6,30),tblDaily[WardCode],"NICU"),0)</f>
        <v>0</v>
      </c>
      <c r="C106" s="4">
        <f>IFERROR(INDEX(tblWardConfig[BedComplement],MATCH("NICU",tblWardConfig[WardCode],0)),0)</f>
        <v>15</v>
      </c>
      <c r="D106" s="4">
        <f>SUMIFS(tblDaily[Admissions],tblDaily[Month],7,tblDaily[WardCode],"NICU") - SUMIFS(tblDaily[DeathsUnder24Hrs],tblDaily[Month],7,tblDaily[WardCode],"NICU")</f>
        <v>0</v>
      </c>
      <c r="E106" s="4">
        <f>SUMIFS(tblDaily[Discharges],tblDaily[Month],7,tblDaily[WardCode],"NICU")</f>
        <v>0</v>
      </c>
      <c r="F106" s="4">
        <f>SUMIFS(tblDaily[Deaths],tblDaily[Month],7,tblDaily[WardCode],"NICU")</f>
        <v>0</v>
      </c>
      <c r="G106" s="4">
        <f>SUMIFS(tblDaily[DeathsUnder24Hrs],tblDaily[Month],7,tblDaily[WardCode],"NICU")</f>
        <v>0</v>
      </c>
      <c r="H106" s="4">
        <f>SUMIFS(tblDaily[Remaining],tblDaily[Month],7,tblDaily[WardCode],"NICU")</f>
        <v>0</v>
      </c>
      <c r="I106" s="4">
        <f>SUMIFS(tblDaily[TransfersIn],tblDaily[Month],7,tblDaily[WardCode],"NICU")</f>
        <v>0</v>
      </c>
      <c r="J106" s="4">
        <f>SUMIFS(tblDaily[TransfersOut],tblDaily[Month],7,tblDaily[WardCode],"NICU")</f>
        <v>0</v>
      </c>
      <c r="K106" s="16">
        <f t="shared" si="48"/>
        <v>0</v>
      </c>
      <c r="L106" s="16">
        <f t="shared" si="49"/>
        <v>0</v>
      </c>
      <c r="M106" s="16">
        <f t="shared" si="50"/>
        <v>0</v>
      </c>
      <c r="N106" s="16">
        <f t="shared" si="51"/>
        <v>0</v>
      </c>
      <c r="O106" s="16">
        <f t="shared" si="52"/>
        <v>0</v>
      </c>
      <c r="P106" s="16">
        <f t="shared" si="53"/>
        <v>0</v>
      </c>
    </row>
    <row r="107" spans="1:16" x14ac:dyDescent="0.25">
      <c r="A107" s="15" t="s">
        <v>45</v>
      </c>
      <c r="B107" s="4">
        <f>IFERROR(SUMIFS(tblDaily[Remaining],tblDaily[EntryDate],DATE(2026,6,30),tblDaily[WardCode],"MAE"),0)</f>
        <v>0</v>
      </c>
      <c r="C107" s="4">
        <f>IFERROR(INDEX(tblWardConfig[BedComplement],MATCH("MAE",tblWardConfig[WardCode],0)),0)</f>
        <v>10</v>
      </c>
      <c r="D107" s="4">
        <f>SUMIFS(tblDaily[Admissions],tblDaily[Month],7,tblDaily[WardCode],"MAE") - SUMIFS(tblDaily[DeathsUnder24Hrs],tblDaily[Month],7,tblDaily[WardCode],"MAE")</f>
        <v>0</v>
      </c>
      <c r="E107" s="4">
        <f>SUMIFS(tblDaily[Discharges],tblDaily[Month],7,tblDaily[WardCode],"MAE")</f>
        <v>0</v>
      </c>
      <c r="F107" s="4">
        <f>SUMIFS(tblDaily[Deaths],tblDaily[Month],7,tblDaily[WardCode],"MAE")</f>
        <v>0</v>
      </c>
      <c r="G107" s="4">
        <f>SUMIFS(tblDaily[DeathsUnder24Hrs],tblDaily[Month],7,tblDaily[WardCode],"MAE")</f>
        <v>0</v>
      </c>
      <c r="H107" s="4">
        <f>SUMIFS(tblDaily[Remaining],tblDaily[Month],7,tblDaily[WardCode],"MAE")</f>
        <v>0</v>
      </c>
      <c r="I107" s="4">
        <f>SUMIFS(tblDaily[TransfersIn],tblDaily[Month],7,tblDaily[WardCode],"MAE")</f>
        <v>0</v>
      </c>
      <c r="J107" s="4">
        <f>SUMIFS(tblDaily[TransfersOut],tblDaily[Month],7,tblDaily[WardCode],"MAE")</f>
        <v>0</v>
      </c>
      <c r="K107" s="16">
        <f t="shared" si="48"/>
        <v>0</v>
      </c>
      <c r="L107" s="16">
        <f t="shared" si="49"/>
        <v>0</v>
      </c>
      <c r="M107" s="16">
        <f t="shared" si="50"/>
        <v>0</v>
      </c>
      <c r="N107" s="16">
        <f t="shared" si="51"/>
        <v>0</v>
      </c>
      <c r="O107" s="16">
        <f t="shared" si="52"/>
        <v>0</v>
      </c>
      <c r="P107" s="16">
        <f t="shared" si="53"/>
        <v>0</v>
      </c>
    </row>
    <row r="108" spans="1:16" x14ac:dyDescent="0.25">
      <c r="A108" s="15" t="s">
        <v>47</v>
      </c>
      <c r="B108" s="4">
        <f>IFERROR(SUMIFS(tblDaily[Remaining],tblDaily[EntryDate],DATE(2026,6,30),tblDaily[WardCode],"FAE"),0)</f>
        <v>0</v>
      </c>
      <c r="C108" s="4">
        <f>IFERROR(INDEX(tblWardConfig[BedComplement],MATCH("FAE",tblWardConfig[WardCode],0)),0)</f>
        <v>10</v>
      </c>
      <c r="D108" s="4">
        <f>SUMIFS(tblDaily[Admissions],tblDaily[Month],7,tblDaily[WardCode],"FAE") - SUMIFS(tblDaily[DeathsUnder24Hrs],tblDaily[Month],7,tblDaily[WardCode],"FAE")</f>
        <v>0</v>
      </c>
      <c r="E108" s="4">
        <f>SUMIFS(tblDaily[Discharges],tblDaily[Month],7,tblDaily[WardCode],"FAE")</f>
        <v>0</v>
      </c>
      <c r="F108" s="4">
        <f>SUMIFS(tblDaily[Deaths],tblDaily[Month],7,tblDaily[WardCode],"FAE")</f>
        <v>0</v>
      </c>
      <c r="G108" s="4">
        <f>SUMIFS(tblDaily[DeathsUnder24Hrs],tblDaily[Month],7,tblDaily[WardCode],"FAE")</f>
        <v>0</v>
      </c>
      <c r="H108" s="4">
        <f>SUMIFS(tblDaily[Remaining],tblDaily[Month],7,tblDaily[WardCode],"FAE")</f>
        <v>0</v>
      </c>
      <c r="I108" s="4">
        <f>SUMIFS(tblDaily[TransfersIn],tblDaily[Month],7,tblDaily[WardCode],"FAE")</f>
        <v>0</v>
      </c>
      <c r="J108" s="4">
        <f>SUMIFS(tblDaily[TransfersOut],tblDaily[Month],7,tblDaily[WardCode],"FAE")</f>
        <v>0</v>
      </c>
      <c r="K108" s="16">
        <f t="shared" si="48"/>
        <v>0</v>
      </c>
      <c r="L108" s="16">
        <f t="shared" si="49"/>
        <v>0</v>
      </c>
      <c r="M108" s="16">
        <f t="shared" si="50"/>
        <v>0</v>
      </c>
      <c r="N108" s="16">
        <f t="shared" si="51"/>
        <v>0</v>
      </c>
      <c r="O108" s="16">
        <f t="shared" si="52"/>
        <v>0</v>
      </c>
      <c r="P108" s="16">
        <f t="shared" si="53"/>
        <v>0</v>
      </c>
    </row>
    <row r="109" spans="1:16" x14ac:dyDescent="0.25">
      <c r="A109" s="17" t="s">
        <v>144</v>
      </c>
      <c r="B109" s="15">
        <f>SUMIFS(tblDaily[Remaining],tblDaily[EntryDate],DATE(2026,7,31),tblDaily[WardCode],"MAE")+SUMIFS(tblDaily[Remaining],tblDaily[EntryDate],DATE(2026,7,31),tblDaily[WardCode],"FAE")</f>
        <v>0</v>
      </c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</row>
    <row r="110" spans="1:16" x14ac:dyDescent="0.25">
      <c r="A110" s="9" t="s">
        <v>112</v>
      </c>
      <c r="B110" s="9">
        <f t="shared" ref="B110:J110" si="54">SUM(B100:B108)</f>
        <v>0</v>
      </c>
      <c r="C110" s="9">
        <f t="shared" si="54"/>
        <v>178</v>
      </c>
      <c r="D110" s="9">
        <f t="shared" si="54"/>
        <v>0</v>
      </c>
      <c r="E110" s="9">
        <f t="shared" si="54"/>
        <v>0</v>
      </c>
      <c r="F110" s="9">
        <f t="shared" si="54"/>
        <v>0</v>
      </c>
      <c r="G110" s="9">
        <f t="shared" si="54"/>
        <v>0</v>
      </c>
      <c r="H110" s="9">
        <f t="shared" si="54"/>
        <v>0</v>
      </c>
      <c r="I110" s="9">
        <f t="shared" si="54"/>
        <v>0</v>
      </c>
      <c r="J110" s="9">
        <f t="shared" si="54"/>
        <v>0</v>
      </c>
      <c r="K110" s="19">
        <f>IFERROR(H110/31,0)</f>
        <v>0</v>
      </c>
      <c r="L110" s="19">
        <f>IFERROR(H110/(E110+F110),0)</f>
        <v>0</v>
      </c>
      <c r="M110" s="19">
        <f>IFERROR((C110*31-H110)/(E110+F110),0)</f>
        <v>0</v>
      </c>
      <c r="N110" s="19">
        <f>IFERROR((E110+F110)/C110,0)</f>
        <v>0</v>
      </c>
      <c r="O110" s="19">
        <f>IFERROR((H110/(C110*31))*100,0)</f>
        <v>0</v>
      </c>
      <c r="P110" s="19">
        <f>IFERROR((F110/(D110+B110))*100,0)</f>
        <v>0</v>
      </c>
    </row>
    <row r="111" spans="1:16" x14ac:dyDescent="0.25">
      <c r="A111" s="20" t="s">
        <v>145</v>
      </c>
      <c r="B111" s="20">
        <f t="shared" ref="B111:J111" si="55">B107+B108</f>
        <v>0</v>
      </c>
      <c r="C111" s="20">
        <f t="shared" si="55"/>
        <v>20</v>
      </c>
      <c r="D111" s="20">
        <f t="shared" si="55"/>
        <v>0</v>
      </c>
      <c r="E111" s="20">
        <f t="shared" si="55"/>
        <v>0</v>
      </c>
      <c r="F111" s="20">
        <f t="shared" si="55"/>
        <v>0</v>
      </c>
      <c r="G111" s="20">
        <f t="shared" si="55"/>
        <v>0</v>
      </c>
      <c r="H111" s="20">
        <f t="shared" si="55"/>
        <v>0</v>
      </c>
      <c r="I111" s="20">
        <f t="shared" si="55"/>
        <v>0</v>
      </c>
      <c r="J111" s="20">
        <f t="shared" si="55"/>
        <v>0</v>
      </c>
      <c r="K111" s="21">
        <f>IFERROR(H111/31,0)</f>
        <v>0</v>
      </c>
      <c r="L111" s="21">
        <f>IFERROR(H111/(E111+F111),0)</f>
        <v>0</v>
      </c>
      <c r="M111" s="21">
        <f>IFERROR((C111*31-H111)/(E111+F111),0)</f>
        <v>0</v>
      </c>
      <c r="N111" s="21">
        <f>IFERROR((E111+F111)/C111,0)</f>
        <v>0</v>
      </c>
      <c r="O111" s="21">
        <f>IFERROR((H111/(C111*31))*100,0)</f>
        <v>0</v>
      </c>
      <c r="P111" s="21">
        <f>IFERROR((F111/(D111+B111))*100,0)</f>
        <v>0</v>
      </c>
    </row>
    <row r="113" spans="1:16" ht="18.75" x14ac:dyDescent="0.25">
      <c r="A113" s="28" t="s">
        <v>0</v>
      </c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</row>
    <row r="114" spans="1:16" ht="15.75" x14ac:dyDescent="0.25">
      <c r="A114" s="35" t="s">
        <v>152</v>
      </c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</row>
    <row r="115" spans="1:16" ht="38.25" x14ac:dyDescent="0.25">
      <c r="A115" s="8" t="s">
        <v>132</v>
      </c>
      <c r="B115" s="8" t="s">
        <v>133</v>
      </c>
      <c r="C115" s="8" t="s">
        <v>134</v>
      </c>
      <c r="D115" s="8" t="s">
        <v>74</v>
      </c>
      <c r="E115" s="8" t="s">
        <v>75</v>
      </c>
      <c r="F115" s="8" t="s">
        <v>76</v>
      </c>
      <c r="G115" s="8" t="s">
        <v>108</v>
      </c>
      <c r="H115" s="8" t="s">
        <v>135</v>
      </c>
      <c r="I115" s="8" t="s">
        <v>136</v>
      </c>
      <c r="J115" s="8" t="s">
        <v>137</v>
      </c>
      <c r="K115" s="8" t="s">
        <v>138</v>
      </c>
      <c r="L115" s="8" t="s">
        <v>139</v>
      </c>
      <c r="M115" s="8" t="s">
        <v>140</v>
      </c>
      <c r="N115" s="8" t="s">
        <v>141</v>
      </c>
      <c r="O115" s="8" t="s">
        <v>142</v>
      </c>
      <c r="P115" s="8" t="s">
        <v>143</v>
      </c>
    </row>
    <row r="116" spans="1:16" x14ac:dyDescent="0.25">
      <c r="A116" s="15" t="s">
        <v>31</v>
      </c>
      <c r="B116" s="4">
        <f>IFERROR(SUMIFS(tblDaily[Remaining],tblDaily[EntryDate],DATE(2026,7,31),tblDaily[WardCode],"MW"),0)</f>
        <v>0</v>
      </c>
      <c r="C116" s="4">
        <f>IFERROR(INDEX(tblWardConfig[BedComplement],MATCH("MW",tblWardConfig[WardCode],0)),0)</f>
        <v>32</v>
      </c>
      <c r="D116" s="4">
        <f>SUMIFS(tblDaily[Admissions],tblDaily[Month],8,tblDaily[WardCode],"MW") - SUMIFS(tblDaily[DeathsUnder24Hrs],tblDaily[Month],8,tblDaily[WardCode],"MW")</f>
        <v>0</v>
      </c>
      <c r="E116" s="4">
        <f>SUMIFS(tblDaily[Discharges],tblDaily[Month],8,tblDaily[WardCode],"MW")</f>
        <v>0</v>
      </c>
      <c r="F116" s="4">
        <f>SUMIFS(tblDaily[Deaths],tblDaily[Month],8,tblDaily[WardCode],"MW")</f>
        <v>0</v>
      </c>
      <c r="G116" s="4">
        <f>SUMIFS(tblDaily[DeathsUnder24Hrs],tblDaily[Month],8,tblDaily[WardCode],"MW")</f>
        <v>0</v>
      </c>
      <c r="H116" s="4">
        <f>SUMIFS(tblDaily[Remaining],tblDaily[Month],8,tblDaily[WardCode],"MW")</f>
        <v>0</v>
      </c>
      <c r="I116" s="4">
        <f>SUMIFS(tblDaily[TransfersIn],tblDaily[Month],8,tblDaily[WardCode],"MW")</f>
        <v>0</v>
      </c>
      <c r="J116" s="4">
        <f>SUMIFS(tblDaily[TransfersOut],tblDaily[Month],8,tblDaily[WardCode],"MW")</f>
        <v>0</v>
      </c>
      <c r="K116" s="16">
        <f t="shared" ref="K116:K124" si="56">IFERROR(H116/31,0)</f>
        <v>0</v>
      </c>
      <c r="L116" s="16">
        <f t="shared" ref="L116:L124" si="57">IFERROR(H116/(E116+F116),0)</f>
        <v>0</v>
      </c>
      <c r="M116" s="16">
        <f t="shared" ref="M116:M124" si="58">IFERROR((C116*31-H116)/(E116+F116),0)</f>
        <v>0</v>
      </c>
      <c r="N116" s="16">
        <f t="shared" ref="N116:N124" si="59">IFERROR((E116+F116)/C116,0)</f>
        <v>0</v>
      </c>
      <c r="O116" s="16">
        <f t="shared" ref="O116:O124" si="60">IFERROR((H116/(C116*31))*100,0)</f>
        <v>0</v>
      </c>
      <c r="P116" s="16">
        <f t="shared" ref="P116:P124" si="61">IFERROR((F116/(D116+B116))*100,0)</f>
        <v>0</v>
      </c>
    </row>
    <row r="117" spans="1:16" x14ac:dyDescent="0.25">
      <c r="A117" s="15" t="s">
        <v>33</v>
      </c>
      <c r="B117" s="4">
        <f>IFERROR(SUMIFS(tblDaily[Remaining],tblDaily[EntryDate],DATE(2026,7,31),tblDaily[WardCode],"FW"),0)</f>
        <v>0</v>
      </c>
      <c r="C117" s="4">
        <f>IFERROR(INDEX(tblWardConfig[BedComplement],MATCH("FW",tblWardConfig[WardCode],0)),0)</f>
        <v>28</v>
      </c>
      <c r="D117" s="4">
        <f>SUMIFS(tblDaily[Admissions],tblDaily[Month],8,tblDaily[WardCode],"FW") - SUMIFS(tblDaily[DeathsUnder24Hrs],tblDaily[Month],8,tblDaily[WardCode],"FW")</f>
        <v>0</v>
      </c>
      <c r="E117" s="4">
        <f>SUMIFS(tblDaily[Discharges],tblDaily[Month],8,tblDaily[WardCode],"FW")</f>
        <v>0</v>
      </c>
      <c r="F117" s="4">
        <f>SUMIFS(tblDaily[Deaths],tblDaily[Month],8,tblDaily[WardCode],"FW")</f>
        <v>0</v>
      </c>
      <c r="G117" s="4">
        <f>SUMIFS(tblDaily[DeathsUnder24Hrs],tblDaily[Month],8,tblDaily[WardCode],"FW")</f>
        <v>0</v>
      </c>
      <c r="H117" s="4">
        <f>SUMIFS(tblDaily[Remaining],tblDaily[Month],8,tblDaily[WardCode],"FW")</f>
        <v>0</v>
      </c>
      <c r="I117" s="4">
        <f>SUMIFS(tblDaily[TransfersIn],tblDaily[Month],8,tblDaily[WardCode],"FW")</f>
        <v>0</v>
      </c>
      <c r="J117" s="4">
        <f>SUMIFS(tblDaily[TransfersOut],tblDaily[Month],8,tblDaily[WardCode],"FW")</f>
        <v>0</v>
      </c>
      <c r="K117" s="16">
        <f t="shared" si="56"/>
        <v>0</v>
      </c>
      <c r="L117" s="16">
        <f t="shared" si="57"/>
        <v>0</v>
      </c>
      <c r="M117" s="16">
        <f t="shared" si="58"/>
        <v>0</v>
      </c>
      <c r="N117" s="16">
        <f t="shared" si="59"/>
        <v>0</v>
      </c>
      <c r="O117" s="16">
        <f t="shared" si="60"/>
        <v>0</v>
      </c>
      <c r="P117" s="16">
        <f t="shared" si="61"/>
        <v>0</v>
      </c>
    </row>
    <row r="118" spans="1:16" x14ac:dyDescent="0.25">
      <c r="A118" s="15" t="s">
        <v>35</v>
      </c>
      <c r="B118" s="4">
        <f>IFERROR(SUMIFS(tblDaily[Remaining],tblDaily[EntryDate],DATE(2026,7,31),tblDaily[WardCode],"CW"),0)</f>
        <v>0</v>
      </c>
      <c r="C118" s="4">
        <f>IFERROR(INDEX(tblWardConfig[BedComplement],MATCH("CW",tblWardConfig[WardCode],0)),0)</f>
        <v>27</v>
      </c>
      <c r="D118" s="4">
        <f>SUMIFS(tblDaily[Admissions],tblDaily[Month],8,tblDaily[WardCode],"CW") - SUMIFS(tblDaily[DeathsUnder24Hrs],tblDaily[Month],8,tblDaily[WardCode],"CW")</f>
        <v>0</v>
      </c>
      <c r="E118" s="4">
        <f>SUMIFS(tblDaily[Discharges],tblDaily[Month],8,tblDaily[WardCode],"CW")</f>
        <v>0</v>
      </c>
      <c r="F118" s="4">
        <f>SUMIFS(tblDaily[Deaths],tblDaily[Month],8,tblDaily[WardCode],"CW")</f>
        <v>0</v>
      </c>
      <c r="G118" s="4">
        <f>SUMIFS(tblDaily[DeathsUnder24Hrs],tblDaily[Month],8,tblDaily[WardCode],"CW")</f>
        <v>0</v>
      </c>
      <c r="H118" s="4">
        <f>SUMIFS(tblDaily[Remaining],tblDaily[Month],8,tblDaily[WardCode],"CW")</f>
        <v>0</v>
      </c>
      <c r="I118" s="4">
        <f>SUMIFS(tblDaily[TransfersIn],tblDaily[Month],8,tblDaily[WardCode],"CW")</f>
        <v>0</v>
      </c>
      <c r="J118" s="4">
        <f>SUMIFS(tblDaily[TransfersOut],tblDaily[Month],8,tblDaily[WardCode],"CW")</f>
        <v>0</v>
      </c>
      <c r="K118" s="16">
        <f t="shared" si="56"/>
        <v>0</v>
      </c>
      <c r="L118" s="16">
        <f t="shared" si="57"/>
        <v>0</v>
      </c>
      <c r="M118" s="16">
        <f t="shared" si="58"/>
        <v>0</v>
      </c>
      <c r="N118" s="16">
        <f t="shared" si="59"/>
        <v>0</v>
      </c>
      <c r="O118" s="16">
        <f t="shared" si="60"/>
        <v>0</v>
      </c>
      <c r="P118" s="16">
        <f t="shared" si="61"/>
        <v>0</v>
      </c>
    </row>
    <row r="119" spans="1:16" x14ac:dyDescent="0.25">
      <c r="A119" s="15" t="s">
        <v>37</v>
      </c>
      <c r="B119" s="4">
        <f>IFERROR(SUMIFS(tblDaily[Remaining],tblDaily[EntryDate],DATE(2026,7,31),tblDaily[WardCode],"BF"),0)</f>
        <v>0</v>
      </c>
      <c r="C119" s="4">
        <f>IFERROR(INDEX(tblWardConfig[BedComplement],MATCH("BF",tblWardConfig[WardCode],0)),0)</f>
        <v>20</v>
      </c>
      <c r="D119" s="4">
        <f>SUMIFS(tblDaily[Admissions],tblDaily[Month],8,tblDaily[WardCode],"BF") - SUMIFS(tblDaily[DeathsUnder24Hrs],tblDaily[Month],8,tblDaily[WardCode],"BF")</f>
        <v>0</v>
      </c>
      <c r="E119" s="4">
        <f>SUMIFS(tblDaily[Discharges],tblDaily[Month],8,tblDaily[WardCode],"BF")</f>
        <v>0</v>
      </c>
      <c r="F119" s="4">
        <f>SUMIFS(tblDaily[Deaths],tblDaily[Month],8,tblDaily[WardCode],"BF")</f>
        <v>0</v>
      </c>
      <c r="G119" s="4">
        <f>SUMIFS(tblDaily[DeathsUnder24Hrs],tblDaily[Month],8,tblDaily[WardCode],"BF")</f>
        <v>0</v>
      </c>
      <c r="H119" s="4">
        <f>SUMIFS(tblDaily[Remaining],tblDaily[Month],8,tblDaily[WardCode],"BF")</f>
        <v>0</v>
      </c>
      <c r="I119" s="4">
        <f>SUMIFS(tblDaily[TransfersIn],tblDaily[Month],8,tblDaily[WardCode],"BF")</f>
        <v>0</v>
      </c>
      <c r="J119" s="4">
        <f>SUMIFS(tblDaily[TransfersOut],tblDaily[Month],8,tblDaily[WardCode],"BF")</f>
        <v>0</v>
      </c>
      <c r="K119" s="16">
        <f t="shared" si="56"/>
        <v>0</v>
      </c>
      <c r="L119" s="16">
        <f t="shared" si="57"/>
        <v>0</v>
      </c>
      <c r="M119" s="16">
        <f t="shared" si="58"/>
        <v>0</v>
      </c>
      <c r="N119" s="16">
        <f t="shared" si="59"/>
        <v>0</v>
      </c>
      <c r="O119" s="16">
        <f t="shared" si="60"/>
        <v>0</v>
      </c>
      <c r="P119" s="16">
        <f t="shared" si="61"/>
        <v>0</v>
      </c>
    </row>
    <row r="120" spans="1:16" x14ac:dyDescent="0.25">
      <c r="A120" s="15" t="s">
        <v>39</v>
      </c>
      <c r="B120" s="4">
        <f>IFERROR(SUMIFS(tblDaily[Remaining],tblDaily[EntryDate],DATE(2026,7,31),tblDaily[WardCode],"BG"),0)</f>
        <v>0</v>
      </c>
      <c r="C120" s="4">
        <f>IFERROR(INDEX(tblWardConfig[BedComplement],MATCH("BG",tblWardConfig[WardCode],0)),0)</f>
        <v>14</v>
      </c>
      <c r="D120" s="4">
        <f>SUMIFS(tblDaily[Admissions],tblDaily[Month],8,tblDaily[WardCode],"BG") - SUMIFS(tblDaily[DeathsUnder24Hrs],tblDaily[Month],8,tblDaily[WardCode],"BG")</f>
        <v>0</v>
      </c>
      <c r="E120" s="4">
        <f>SUMIFS(tblDaily[Discharges],tblDaily[Month],8,tblDaily[WardCode],"BG")</f>
        <v>0</v>
      </c>
      <c r="F120" s="4">
        <f>SUMIFS(tblDaily[Deaths],tblDaily[Month],8,tblDaily[WardCode],"BG")</f>
        <v>0</v>
      </c>
      <c r="G120" s="4">
        <f>SUMIFS(tblDaily[DeathsUnder24Hrs],tblDaily[Month],8,tblDaily[WardCode],"BG")</f>
        <v>0</v>
      </c>
      <c r="H120" s="4">
        <f>SUMIFS(tblDaily[Remaining],tblDaily[Month],8,tblDaily[WardCode],"BG")</f>
        <v>0</v>
      </c>
      <c r="I120" s="4">
        <f>SUMIFS(tblDaily[TransfersIn],tblDaily[Month],8,tblDaily[WardCode],"BG")</f>
        <v>0</v>
      </c>
      <c r="J120" s="4">
        <f>SUMIFS(tblDaily[TransfersOut],tblDaily[Month],8,tblDaily[WardCode],"BG")</f>
        <v>0</v>
      </c>
      <c r="K120" s="16">
        <f t="shared" si="56"/>
        <v>0</v>
      </c>
      <c r="L120" s="16">
        <f t="shared" si="57"/>
        <v>0</v>
      </c>
      <c r="M120" s="16">
        <f t="shared" si="58"/>
        <v>0</v>
      </c>
      <c r="N120" s="16">
        <f t="shared" si="59"/>
        <v>0</v>
      </c>
      <c r="O120" s="16">
        <f t="shared" si="60"/>
        <v>0</v>
      </c>
      <c r="P120" s="16">
        <f t="shared" si="61"/>
        <v>0</v>
      </c>
    </row>
    <row r="121" spans="1:16" x14ac:dyDescent="0.25">
      <c r="A121" s="15" t="s">
        <v>41</v>
      </c>
      <c r="B121" s="4">
        <f>IFERROR(SUMIFS(tblDaily[Remaining],tblDaily[EntryDate],DATE(2026,7,31),tblDaily[WardCode],"BH"),0)</f>
        <v>0</v>
      </c>
      <c r="C121" s="4">
        <f>IFERROR(INDEX(tblWardConfig[BedComplement],MATCH("BH",tblWardConfig[WardCode],0)),0)</f>
        <v>22</v>
      </c>
      <c r="D121" s="4">
        <f>SUMIFS(tblDaily[Admissions],tblDaily[Month],8,tblDaily[WardCode],"BH") - SUMIFS(tblDaily[DeathsUnder24Hrs],tblDaily[Month],8,tblDaily[WardCode],"BH")</f>
        <v>0</v>
      </c>
      <c r="E121" s="4">
        <f>SUMIFS(tblDaily[Discharges],tblDaily[Month],8,tblDaily[WardCode],"BH")</f>
        <v>0</v>
      </c>
      <c r="F121" s="4">
        <f>SUMIFS(tblDaily[Deaths],tblDaily[Month],8,tblDaily[WardCode],"BH")</f>
        <v>0</v>
      </c>
      <c r="G121" s="4">
        <f>SUMIFS(tblDaily[DeathsUnder24Hrs],tblDaily[Month],8,tblDaily[WardCode],"BH")</f>
        <v>0</v>
      </c>
      <c r="H121" s="4">
        <f>SUMIFS(tblDaily[Remaining],tblDaily[Month],8,tblDaily[WardCode],"BH")</f>
        <v>0</v>
      </c>
      <c r="I121" s="4">
        <f>SUMIFS(tblDaily[TransfersIn],tblDaily[Month],8,tblDaily[WardCode],"BH")</f>
        <v>0</v>
      </c>
      <c r="J121" s="4">
        <f>SUMIFS(tblDaily[TransfersOut],tblDaily[Month],8,tblDaily[WardCode],"BH")</f>
        <v>0</v>
      </c>
      <c r="K121" s="16">
        <f t="shared" si="56"/>
        <v>0</v>
      </c>
      <c r="L121" s="16">
        <f t="shared" si="57"/>
        <v>0</v>
      </c>
      <c r="M121" s="16">
        <f t="shared" si="58"/>
        <v>0</v>
      </c>
      <c r="N121" s="16">
        <f t="shared" si="59"/>
        <v>0</v>
      </c>
      <c r="O121" s="16">
        <f t="shared" si="60"/>
        <v>0</v>
      </c>
      <c r="P121" s="16">
        <f t="shared" si="61"/>
        <v>0</v>
      </c>
    </row>
    <row r="122" spans="1:16" x14ac:dyDescent="0.25">
      <c r="A122" s="15" t="s">
        <v>43</v>
      </c>
      <c r="B122" s="4">
        <f>IFERROR(SUMIFS(tblDaily[Remaining],tblDaily[EntryDate],DATE(2026,7,31),tblDaily[WardCode],"NICU"),0)</f>
        <v>0</v>
      </c>
      <c r="C122" s="4">
        <f>IFERROR(INDEX(tblWardConfig[BedComplement],MATCH("NICU",tblWardConfig[WardCode],0)),0)</f>
        <v>15</v>
      </c>
      <c r="D122" s="4">
        <f>SUMIFS(tblDaily[Admissions],tblDaily[Month],8,tblDaily[WardCode],"NICU") - SUMIFS(tblDaily[DeathsUnder24Hrs],tblDaily[Month],8,tblDaily[WardCode],"NICU")</f>
        <v>0</v>
      </c>
      <c r="E122" s="4">
        <f>SUMIFS(tblDaily[Discharges],tblDaily[Month],8,tblDaily[WardCode],"NICU")</f>
        <v>0</v>
      </c>
      <c r="F122" s="4">
        <f>SUMIFS(tblDaily[Deaths],tblDaily[Month],8,tblDaily[WardCode],"NICU")</f>
        <v>0</v>
      </c>
      <c r="G122" s="4">
        <f>SUMIFS(tblDaily[DeathsUnder24Hrs],tblDaily[Month],8,tblDaily[WardCode],"NICU")</f>
        <v>0</v>
      </c>
      <c r="H122" s="4">
        <f>SUMIFS(tblDaily[Remaining],tblDaily[Month],8,tblDaily[WardCode],"NICU")</f>
        <v>0</v>
      </c>
      <c r="I122" s="4">
        <f>SUMIFS(tblDaily[TransfersIn],tblDaily[Month],8,tblDaily[WardCode],"NICU")</f>
        <v>0</v>
      </c>
      <c r="J122" s="4">
        <f>SUMIFS(tblDaily[TransfersOut],tblDaily[Month],8,tblDaily[WardCode],"NICU")</f>
        <v>0</v>
      </c>
      <c r="K122" s="16">
        <f t="shared" si="56"/>
        <v>0</v>
      </c>
      <c r="L122" s="16">
        <f t="shared" si="57"/>
        <v>0</v>
      </c>
      <c r="M122" s="16">
        <f t="shared" si="58"/>
        <v>0</v>
      </c>
      <c r="N122" s="16">
        <f t="shared" si="59"/>
        <v>0</v>
      </c>
      <c r="O122" s="16">
        <f t="shared" si="60"/>
        <v>0</v>
      </c>
      <c r="P122" s="16">
        <f t="shared" si="61"/>
        <v>0</v>
      </c>
    </row>
    <row r="123" spans="1:16" x14ac:dyDescent="0.25">
      <c r="A123" s="15" t="s">
        <v>45</v>
      </c>
      <c r="B123" s="4">
        <f>IFERROR(SUMIFS(tblDaily[Remaining],tblDaily[EntryDate],DATE(2026,7,31),tblDaily[WardCode],"MAE"),0)</f>
        <v>0</v>
      </c>
      <c r="C123" s="4">
        <f>IFERROR(INDEX(tblWardConfig[BedComplement],MATCH("MAE",tblWardConfig[WardCode],0)),0)</f>
        <v>10</v>
      </c>
      <c r="D123" s="4">
        <f>SUMIFS(tblDaily[Admissions],tblDaily[Month],8,tblDaily[WardCode],"MAE") - SUMIFS(tblDaily[DeathsUnder24Hrs],tblDaily[Month],8,tblDaily[WardCode],"MAE")</f>
        <v>0</v>
      </c>
      <c r="E123" s="4">
        <f>SUMIFS(tblDaily[Discharges],tblDaily[Month],8,tblDaily[WardCode],"MAE")</f>
        <v>0</v>
      </c>
      <c r="F123" s="4">
        <f>SUMIFS(tblDaily[Deaths],tblDaily[Month],8,tblDaily[WardCode],"MAE")</f>
        <v>0</v>
      </c>
      <c r="G123" s="4">
        <f>SUMIFS(tblDaily[DeathsUnder24Hrs],tblDaily[Month],8,tblDaily[WardCode],"MAE")</f>
        <v>0</v>
      </c>
      <c r="H123" s="4">
        <f>SUMIFS(tblDaily[Remaining],tblDaily[Month],8,tblDaily[WardCode],"MAE")</f>
        <v>0</v>
      </c>
      <c r="I123" s="4">
        <f>SUMIFS(tblDaily[TransfersIn],tblDaily[Month],8,tblDaily[WardCode],"MAE")</f>
        <v>0</v>
      </c>
      <c r="J123" s="4">
        <f>SUMIFS(tblDaily[TransfersOut],tblDaily[Month],8,tblDaily[WardCode],"MAE")</f>
        <v>0</v>
      </c>
      <c r="K123" s="16">
        <f t="shared" si="56"/>
        <v>0</v>
      </c>
      <c r="L123" s="16">
        <f t="shared" si="57"/>
        <v>0</v>
      </c>
      <c r="M123" s="16">
        <f t="shared" si="58"/>
        <v>0</v>
      </c>
      <c r="N123" s="16">
        <f t="shared" si="59"/>
        <v>0</v>
      </c>
      <c r="O123" s="16">
        <f t="shared" si="60"/>
        <v>0</v>
      </c>
      <c r="P123" s="16">
        <f t="shared" si="61"/>
        <v>0</v>
      </c>
    </row>
    <row r="124" spans="1:16" x14ac:dyDescent="0.25">
      <c r="A124" s="15" t="s">
        <v>47</v>
      </c>
      <c r="B124" s="4">
        <f>IFERROR(SUMIFS(tblDaily[Remaining],tblDaily[EntryDate],DATE(2026,7,31),tblDaily[WardCode],"FAE"),0)</f>
        <v>0</v>
      </c>
      <c r="C124" s="4">
        <f>IFERROR(INDEX(tblWardConfig[BedComplement],MATCH("FAE",tblWardConfig[WardCode],0)),0)</f>
        <v>10</v>
      </c>
      <c r="D124" s="4">
        <f>SUMIFS(tblDaily[Admissions],tblDaily[Month],8,tblDaily[WardCode],"FAE") - SUMIFS(tblDaily[DeathsUnder24Hrs],tblDaily[Month],8,tblDaily[WardCode],"FAE")</f>
        <v>0</v>
      </c>
      <c r="E124" s="4">
        <f>SUMIFS(tblDaily[Discharges],tblDaily[Month],8,tblDaily[WardCode],"FAE")</f>
        <v>0</v>
      </c>
      <c r="F124" s="4">
        <f>SUMIFS(tblDaily[Deaths],tblDaily[Month],8,tblDaily[WardCode],"FAE")</f>
        <v>0</v>
      </c>
      <c r="G124" s="4">
        <f>SUMIFS(tblDaily[DeathsUnder24Hrs],tblDaily[Month],8,tblDaily[WardCode],"FAE")</f>
        <v>0</v>
      </c>
      <c r="H124" s="4">
        <f>SUMIFS(tblDaily[Remaining],tblDaily[Month],8,tblDaily[WardCode],"FAE")</f>
        <v>0</v>
      </c>
      <c r="I124" s="4">
        <f>SUMIFS(tblDaily[TransfersIn],tblDaily[Month],8,tblDaily[WardCode],"FAE")</f>
        <v>0</v>
      </c>
      <c r="J124" s="4">
        <f>SUMIFS(tblDaily[TransfersOut],tblDaily[Month],8,tblDaily[WardCode],"FAE")</f>
        <v>0</v>
      </c>
      <c r="K124" s="16">
        <f t="shared" si="56"/>
        <v>0</v>
      </c>
      <c r="L124" s="16">
        <f t="shared" si="57"/>
        <v>0</v>
      </c>
      <c r="M124" s="16">
        <f t="shared" si="58"/>
        <v>0</v>
      </c>
      <c r="N124" s="16">
        <f t="shared" si="59"/>
        <v>0</v>
      </c>
      <c r="O124" s="16">
        <f t="shared" si="60"/>
        <v>0</v>
      </c>
      <c r="P124" s="16">
        <f t="shared" si="61"/>
        <v>0</v>
      </c>
    </row>
    <row r="125" spans="1:16" x14ac:dyDescent="0.25">
      <c r="A125" s="17" t="s">
        <v>144</v>
      </c>
      <c r="B125" s="15">
        <f>SUMIFS(tblDaily[Remaining],tblDaily[EntryDate],DATE(2026,8,31),tblDaily[WardCode],"MAE")+SUMIFS(tblDaily[Remaining],tblDaily[EntryDate],DATE(2026,8,31),tblDaily[WardCode],"FAE")</f>
        <v>0</v>
      </c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</row>
    <row r="126" spans="1:16" x14ac:dyDescent="0.25">
      <c r="A126" s="9" t="s">
        <v>112</v>
      </c>
      <c r="B126" s="9">
        <f t="shared" ref="B126:J126" si="62">SUM(B116:B124)</f>
        <v>0</v>
      </c>
      <c r="C126" s="9">
        <f t="shared" si="62"/>
        <v>178</v>
      </c>
      <c r="D126" s="9">
        <f t="shared" si="62"/>
        <v>0</v>
      </c>
      <c r="E126" s="9">
        <f t="shared" si="62"/>
        <v>0</v>
      </c>
      <c r="F126" s="9">
        <f t="shared" si="62"/>
        <v>0</v>
      </c>
      <c r="G126" s="9">
        <f t="shared" si="62"/>
        <v>0</v>
      </c>
      <c r="H126" s="9">
        <f t="shared" si="62"/>
        <v>0</v>
      </c>
      <c r="I126" s="9">
        <f t="shared" si="62"/>
        <v>0</v>
      </c>
      <c r="J126" s="9">
        <f t="shared" si="62"/>
        <v>0</v>
      </c>
      <c r="K126" s="19">
        <f>IFERROR(H126/31,0)</f>
        <v>0</v>
      </c>
      <c r="L126" s="19">
        <f>IFERROR(H126/(E126+F126),0)</f>
        <v>0</v>
      </c>
      <c r="M126" s="19">
        <f>IFERROR((C126*31-H126)/(E126+F126),0)</f>
        <v>0</v>
      </c>
      <c r="N126" s="19">
        <f>IFERROR((E126+F126)/C126,0)</f>
        <v>0</v>
      </c>
      <c r="O126" s="19">
        <f>IFERROR((H126/(C126*31))*100,0)</f>
        <v>0</v>
      </c>
      <c r="P126" s="19">
        <f>IFERROR((F126/(D126+B126))*100,0)</f>
        <v>0</v>
      </c>
    </row>
    <row r="127" spans="1:16" x14ac:dyDescent="0.25">
      <c r="A127" s="20" t="s">
        <v>145</v>
      </c>
      <c r="B127" s="20">
        <f t="shared" ref="B127:J127" si="63">B123+B124</f>
        <v>0</v>
      </c>
      <c r="C127" s="20">
        <f t="shared" si="63"/>
        <v>20</v>
      </c>
      <c r="D127" s="20">
        <f t="shared" si="63"/>
        <v>0</v>
      </c>
      <c r="E127" s="20">
        <f t="shared" si="63"/>
        <v>0</v>
      </c>
      <c r="F127" s="20">
        <f t="shared" si="63"/>
        <v>0</v>
      </c>
      <c r="G127" s="20">
        <f t="shared" si="63"/>
        <v>0</v>
      </c>
      <c r="H127" s="20">
        <f t="shared" si="63"/>
        <v>0</v>
      </c>
      <c r="I127" s="20">
        <f t="shared" si="63"/>
        <v>0</v>
      </c>
      <c r="J127" s="20">
        <f t="shared" si="63"/>
        <v>0</v>
      </c>
      <c r="K127" s="21">
        <f>IFERROR(H127/31,0)</f>
        <v>0</v>
      </c>
      <c r="L127" s="21">
        <f>IFERROR(H127/(E127+F127),0)</f>
        <v>0</v>
      </c>
      <c r="M127" s="21">
        <f>IFERROR((C127*31-H127)/(E127+F127),0)</f>
        <v>0</v>
      </c>
      <c r="N127" s="21">
        <f>IFERROR((E127+F127)/C127,0)</f>
        <v>0</v>
      </c>
      <c r="O127" s="21">
        <f>IFERROR((H127/(C127*31))*100,0)</f>
        <v>0</v>
      </c>
      <c r="P127" s="21">
        <f>IFERROR((F127/(D127+B127))*100,0)</f>
        <v>0</v>
      </c>
    </row>
    <row r="129" spans="1:16" ht="18.75" x14ac:dyDescent="0.25">
      <c r="A129" s="28" t="s">
        <v>0</v>
      </c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1:16" ht="15.75" x14ac:dyDescent="0.25">
      <c r="A130" s="35" t="s">
        <v>153</v>
      </c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1:16" ht="38.25" x14ac:dyDescent="0.25">
      <c r="A131" s="8" t="s">
        <v>132</v>
      </c>
      <c r="B131" s="8" t="s">
        <v>133</v>
      </c>
      <c r="C131" s="8" t="s">
        <v>134</v>
      </c>
      <c r="D131" s="8" t="s">
        <v>74</v>
      </c>
      <c r="E131" s="8" t="s">
        <v>75</v>
      </c>
      <c r="F131" s="8" t="s">
        <v>76</v>
      </c>
      <c r="G131" s="8" t="s">
        <v>108</v>
      </c>
      <c r="H131" s="8" t="s">
        <v>135</v>
      </c>
      <c r="I131" s="8" t="s">
        <v>136</v>
      </c>
      <c r="J131" s="8" t="s">
        <v>137</v>
      </c>
      <c r="K131" s="8" t="s">
        <v>138</v>
      </c>
      <c r="L131" s="8" t="s">
        <v>139</v>
      </c>
      <c r="M131" s="8" t="s">
        <v>140</v>
      </c>
      <c r="N131" s="8" t="s">
        <v>141</v>
      </c>
      <c r="O131" s="8" t="s">
        <v>142</v>
      </c>
      <c r="P131" s="8" t="s">
        <v>143</v>
      </c>
    </row>
    <row r="132" spans="1:16" x14ac:dyDescent="0.25">
      <c r="A132" s="15" t="s">
        <v>31</v>
      </c>
      <c r="B132" s="4">
        <f>IFERROR(SUMIFS(tblDaily[Remaining],tblDaily[EntryDate],DATE(2026,8,31),tblDaily[WardCode],"MW"),0)</f>
        <v>0</v>
      </c>
      <c r="C132" s="4">
        <f>IFERROR(INDEX(tblWardConfig[BedComplement],MATCH("MW",tblWardConfig[WardCode],0)),0)</f>
        <v>32</v>
      </c>
      <c r="D132" s="4">
        <f>SUMIFS(tblDaily[Admissions],tblDaily[Month],9,tblDaily[WardCode],"MW") - SUMIFS(tblDaily[DeathsUnder24Hrs],tblDaily[Month],9,tblDaily[WardCode],"MW")</f>
        <v>0</v>
      </c>
      <c r="E132" s="4">
        <f>SUMIFS(tblDaily[Discharges],tblDaily[Month],9,tblDaily[WardCode],"MW")</f>
        <v>0</v>
      </c>
      <c r="F132" s="4">
        <f>SUMIFS(tblDaily[Deaths],tblDaily[Month],9,tblDaily[WardCode],"MW")</f>
        <v>0</v>
      </c>
      <c r="G132" s="4">
        <f>SUMIFS(tblDaily[DeathsUnder24Hrs],tblDaily[Month],9,tblDaily[WardCode],"MW")</f>
        <v>0</v>
      </c>
      <c r="H132" s="4">
        <f>SUMIFS(tblDaily[Remaining],tblDaily[Month],9,tblDaily[WardCode],"MW")</f>
        <v>0</v>
      </c>
      <c r="I132" s="4">
        <f>SUMIFS(tblDaily[TransfersIn],tblDaily[Month],9,tblDaily[WardCode],"MW")</f>
        <v>0</v>
      </c>
      <c r="J132" s="4">
        <f>SUMIFS(tblDaily[TransfersOut],tblDaily[Month],9,tblDaily[WardCode],"MW")</f>
        <v>0</v>
      </c>
      <c r="K132" s="16">
        <f t="shared" ref="K132:K140" si="64">IFERROR(H132/30,0)</f>
        <v>0</v>
      </c>
      <c r="L132" s="16">
        <f t="shared" ref="L132:L140" si="65">IFERROR(H132/(E132+F132),0)</f>
        <v>0</v>
      </c>
      <c r="M132" s="16">
        <f t="shared" ref="M132:M140" si="66">IFERROR((C132*30-H132)/(E132+F132),0)</f>
        <v>0</v>
      </c>
      <c r="N132" s="16">
        <f t="shared" ref="N132:N140" si="67">IFERROR((E132+F132)/C132,0)</f>
        <v>0</v>
      </c>
      <c r="O132" s="16">
        <f t="shared" ref="O132:O140" si="68">IFERROR((H132/(C132*30))*100,0)</f>
        <v>0</v>
      </c>
      <c r="P132" s="16">
        <f t="shared" ref="P132:P140" si="69">IFERROR((F132/(D132+B132))*100,0)</f>
        <v>0</v>
      </c>
    </row>
    <row r="133" spans="1:16" x14ac:dyDescent="0.25">
      <c r="A133" s="15" t="s">
        <v>33</v>
      </c>
      <c r="B133" s="4">
        <f>IFERROR(SUMIFS(tblDaily[Remaining],tblDaily[EntryDate],DATE(2026,8,31),tblDaily[WardCode],"FW"),0)</f>
        <v>0</v>
      </c>
      <c r="C133" s="4">
        <f>IFERROR(INDEX(tblWardConfig[BedComplement],MATCH("FW",tblWardConfig[WardCode],0)),0)</f>
        <v>28</v>
      </c>
      <c r="D133" s="4">
        <f>SUMIFS(tblDaily[Admissions],tblDaily[Month],9,tblDaily[WardCode],"FW") - SUMIFS(tblDaily[DeathsUnder24Hrs],tblDaily[Month],9,tblDaily[WardCode],"FW")</f>
        <v>0</v>
      </c>
      <c r="E133" s="4">
        <f>SUMIFS(tblDaily[Discharges],tblDaily[Month],9,tblDaily[WardCode],"FW")</f>
        <v>0</v>
      </c>
      <c r="F133" s="4">
        <f>SUMIFS(tblDaily[Deaths],tblDaily[Month],9,tblDaily[WardCode],"FW")</f>
        <v>0</v>
      </c>
      <c r="G133" s="4">
        <f>SUMIFS(tblDaily[DeathsUnder24Hrs],tblDaily[Month],9,tblDaily[WardCode],"FW")</f>
        <v>0</v>
      </c>
      <c r="H133" s="4">
        <f>SUMIFS(tblDaily[Remaining],tblDaily[Month],9,tblDaily[WardCode],"FW")</f>
        <v>0</v>
      </c>
      <c r="I133" s="4">
        <f>SUMIFS(tblDaily[TransfersIn],tblDaily[Month],9,tblDaily[WardCode],"FW")</f>
        <v>0</v>
      </c>
      <c r="J133" s="4">
        <f>SUMIFS(tblDaily[TransfersOut],tblDaily[Month],9,tblDaily[WardCode],"FW")</f>
        <v>0</v>
      </c>
      <c r="K133" s="16">
        <f t="shared" si="64"/>
        <v>0</v>
      </c>
      <c r="L133" s="16">
        <f t="shared" si="65"/>
        <v>0</v>
      </c>
      <c r="M133" s="16">
        <f t="shared" si="66"/>
        <v>0</v>
      </c>
      <c r="N133" s="16">
        <f t="shared" si="67"/>
        <v>0</v>
      </c>
      <c r="O133" s="16">
        <f t="shared" si="68"/>
        <v>0</v>
      </c>
      <c r="P133" s="16">
        <f t="shared" si="69"/>
        <v>0</v>
      </c>
    </row>
    <row r="134" spans="1:16" x14ac:dyDescent="0.25">
      <c r="A134" s="15" t="s">
        <v>35</v>
      </c>
      <c r="B134" s="4">
        <f>IFERROR(SUMIFS(tblDaily[Remaining],tblDaily[EntryDate],DATE(2026,8,31),tblDaily[WardCode],"CW"),0)</f>
        <v>0</v>
      </c>
      <c r="C134" s="4">
        <f>IFERROR(INDEX(tblWardConfig[BedComplement],MATCH("CW",tblWardConfig[WardCode],0)),0)</f>
        <v>27</v>
      </c>
      <c r="D134" s="4">
        <f>SUMIFS(tblDaily[Admissions],tblDaily[Month],9,tblDaily[WardCode],"CW") - SUMIFS(tblDaily[DeathsUnder24Hrs],tblDaily[Month],9,tblDaily[WardCode],"CW")</f>
        <v>0</v>
      </c>
      <c r="E134" s="4">
        <f>SUMIFS(tblDaily[Discharges],tblDaily[Month],9,tblDaily[WardCode],"CW")</f>
        <v>0</v>
      </c>
      <c r="F134" s="4">
        <f>SUMIFS(tblDaily[Deaths],tblDaily[Month],9,tblDaily[WardCode],"CW")</f>
        <v>0</v>
      </c>
      <c r="G134" s="4">
        <f>SUMIFS(tblDaily[DeathsUnder24Hrs],tblDaily[Month],9,tblDaily[WardCode],"CW")</f>
        <v>0</v>
      </c>
      <c r="H134" s="4">
        <f>SUMIFS(tblDaily[Remaining],tblDaily[Month],9,tblDaily[WardCode],"CW")</f>
        <v>0</v>
      </c>
      <c r="I134" s="4">
        <f>SUMIFS(tblDaily[TransfersIn],tblDaily[Month],9,tblDaily[WardCode],"CW")</f>
        <v>0</v>
      </c>
      <c r="J134" s="4">
        <f>SUMIFS(tblDaily[TransfersOut],tblDaily[Month],9,tblDaily[WardCode],"CW")</f>
        <v>0</v>
      </c>
      <c r="K134" s="16">
        <f t="shared" si="64"/>
        <v>0</v>
      </c>
      <c r="L134" s="16">
        <f t="shared" si="65"/>
        <v>0</v>
      </c>
      <c r="M134" s="16">
        <f t="shared" si="66"/>
        <v>0</v>
      </c>
      <c r="N134" s="16">
        <f t="shared" si="67"/>
        <v>0</v>
      </c>
      <c r="O134" s="16">
        <f t="shared" si="68"/>
        <v>0</v>
      </c>
      <c r="P134" s="16">
        <f t="shared" si="69"/>
        <v>0</v>
      </c>
    </row>
    <row r="135" spans="1:16" x14ac:dyDescent="0.25">
      <c r="A135" s="15" t="s">
        <v>37</v>
      </c>
      <c r="B135" s="4">
        <f>IFERROR(SUMIFS(tblDaily[Remaining],tblDaily[EntryDate],DATE(2026,8,31),tblDaily[WardCode],"BF"),0)</f>
        <v>0</v>
      </c>
      <c r="C135" s="4">
        <f>IFERROR(INDEX(tblWardConfig[BedComplement],MATCH("BF",tblWardConfig[WardCode],0)),0)</f>
        <v>20</v>
      </c>
      <c r="D135" s="4">
        <f>SUMIFS(tblDaily[Admissions],tblDaily[Month],9,tblDaily[WardCode],"BF") - SUMIFS(tblDaily[DeathsUnder24Hrs],tblDaily[Month],9,tblDaily[WardCode],"BF")</f>
        <v>0</v>
      </c>
      <c r="E135" s="4">
        <f>SUMIFS(tblDaily[Discharges],tblDaily[Month],9,tblDaily[WardCode],"BF")</f>
        <v>0</v>
      </c>
      <c r="F135" s="4">
        <f>SUMIFS(tblDaily[Deaths],tblDaily[Month],9,tblDaily[WardCode],"BF")</f>
        <v>0</v>
      </c>
      <c r="G135" s="4">
        <f>SUMIFS(tblDaily[DeathsUnder24Hrs],tblDaily[Month],9,tblDaily[WardCode],"BF")</f>
        <v>0</v>
      </c>
      <c r="H135" s="4">
        <f>SUMIFS(tblDaily[Remaining],tblDaily[Month],9,tblDaily[WardCode],"BF")</f>
        <v>0</v>
      </c>
      <c r="I135" s="4">
        <f>SUMIFS(tblDaily[TransfersIn],tblDaily[Month],9,tblDaily[WardCode],"BF")</f>
        <v>0</v>
      </c>
      <c r="J135" s="4">
        <f>SUMIFS(tblDaily[TransfersOut],tblDaily[Month],9,tblDaily[WardCode],"BF")</f>
        <v>0</v>
      </c>
      <c r="K135" s="16">
        <f t="shared" si="64"/>
        <v>0</v>
      </c>
      <c r="L135" s="16">
        <f t="shared" si="65"/>
        <v>0</v>
      </c>
      <c r="M135" s="16">
        <f t="shared" si="66"/>
        <v>0</v>
      </c>
      <c r="N135" s="16">
        <f t="shared" si="67"/>
        <v>0</v>
      </c>
      <c r="O135" s="16">
        <f t="shared" si="68"/>
        <v>0</v>
      </c>
      <c r="P135" s="16">
        <f t="shared" si="69"/>
        <v>0</v>
      </c>
    </row>
    <row r="136" spans="1:16" x14ac:dyDescent="0.25">
      <c r="A136" s="15" t="s">
        <v>39</v>
      </c>
      <c r="B136" s="4">
        <f>IFERROR(SUMIFS(tblDaily[Remaining],tblDaily[EntryDate],DATE(2026,8,31),tblDaily[WardCode],"BG"),0)</f>
        <v>0</v>
      </c>
      <c r="C136" s="4">
        <f>IFERROR(INDEX(tblWardConfig[BedComplement],MATCH("BG",tblWardConfig[WardCode],0)),0)</f>
        <v>14</v>
      </c>
      <c r="D136" s="4">
        <f>SUMIFS(tblDaily[Admissions],tblDaily[Month],9,tblDaily[WardCode],"BG") - SUMIFS(tblDaily[DeathsUnder24Hrs],tblDaily[Month],9,tblDaily[WardCode],"BG")</f>
        <v>0</v>
      </c>
      <c r="E136" s="4">
        <f>SUMIFS(tblDaily[Discharges],tblDaily[Month],9,tblDaily[WardCode],"BG")</f>
        <v>0</v>
      </c>
      <c r="F136" s="4">
        <f>SUMIFS(tblDaily[Deaths],tblDaily[Month],9,tblDaily[WardCode],"BG")</f>
        <v>0</v>
      </c>
      <c r="G136" s="4">
        <f>SUMIFS(tblDaily[DeathsUnder24Hrs],tblDaily[Month],9,tblDaily[WardCode],"BG")</f>
        <v>0</v>
      </c>
      <c r="H136" s="4">
        <f>SUMIFS(tblDaily[Remaining],tblDaily[Month],9,tblDaily[WardCode],"BG")</f>
        <v>0</v>
      </c>
      <c r="I136" s="4">
        <f>SUMIFS(tblDaily[TransfersIn],tblDaily[Month],9,tblDaily[WardCode],"BG")</f>
        <v>0</v>
      </c>
      <c r="J136" s="4">
        <f>SUMIFS(tblDaily[TransfersOut],tblDaily[Month],9,tblDaily[WardCode],"BG")</f>
        <v>0</v>
      </c>
      <c r="K136" s="16">
        <f t="shared" si="64"/>
        <v>0</v>
      </c>
      <c r="L136" s="16">
        <f t="shared" si="65"/>
        <v>0</v>
      </c>
      <c r="M136" s="16">
        <f t="shared" si="66"/>
        <v>0</v>
      </c>
      <c r="N136" s="16">
        <f t="shared" si="67"/>
        <v>0</v>
      </c>
      <c r="O136" s="16">
        <f t="shared" si="68"/>
        <v>0</v>
      </c>
      <c r="P136" s="16">
        <f t="shared" si="69"/>
        <v>0</v>
      </c>
    </row>
    <row r="137" spans="1:16" x14ac:dyDescent="0.25">
      <c r="A137" s="15" t="s">
        <v>41</v>
      </c>
      <c r="B137" s="4">
        <f>IFERROR(SUMIFS(tblDaily[Remaining],tblDaily[EntryDate],DATE(2026,8,31),tblDaily[WardCode],"BH"),0)</f>
        <v>0</v>
      </c>
      <c r="C137" s="4">
        <f>IFERROR(INDEX(tblWardConfig[BedComplement],MATCH("BH",tblWardConfig[WardCode],0)),0)</f>
        <v>22</v>
      </c>
      <c r="D137" s="4">
        <f>SUMIFS(tblDaily[Admissions],tblDaily[Month],9,tblDaily[WardCode],"BH") - SUMIFS(tblDaily[DeathsUnder24Hrs],tblDaily[Month],9,tblDaily[WardCode],"BH")</f>
        <v>0</v>
      </c>
      <c r="E137" s="4">
        <f>SUMIFS(tblDaily[Discharges],tblDaily[Month],9,tblDaily[WardCode],"BH")</f>
        <v>0</v>
      </c>
      <c r="F137" s="4">
        <f>SUMIFS(tblDaily[Deaths],tblDaily[Month],9,tblDaily[WardCode],"BH")</f>
        <v>0</v>
      </c>
      <c r="G137" s="4">
        <f>SUMIFS(tblDaily[DeathsUnder24Hrs],tblDaily[Month],9,tblDaily[WardCode],"BH")</f>
        <v>0</v>
      </c>
      <c r="H137" s="4">
        <f>SUMIFS(tblDaily[Remaining],tblDaily[Month],9,tblDaily[WardCode],"BH")</f>
        <v>0</v>
      </c>
      <c r="I137" s="4">
        <f>SUMIFS(tblDaily[TransfersIn],tblDaily[Month],9,tblDaily[WardCode],"BH")</f>
        <v>0</v>
      </c>
      <c r="J137" s="4">
        <f>SUMIFS(tblDaily[TransfersOut],tblDaily[Month],9,tblDaily[WardCode],"BH")</f>
        <v>0</v>
      </c>
      <c r="K137" s="16">
        <f t="shared" si="64"/>
        <v>0</v>
      </c>
      <c r="L137" s="16">
        <f t="shared" si="65"/>
        <v>0</v>
      </c>
      <c r="M137" s="16">
        <f t="shared" si="66"/>
        <v>0</v>
      </c>
      <c r="N137" s="16">
        <f t="shared" si="67"/>
        <v>0</v>
      </c>
      <c r="O137" s="16">
        <f t="shared" si="68"/>
        <v>0</v>
      </c>
      <c r="P137" s="16">
        <f t="shared" si="69"/>
        <v>0</v>
      </c>
    </row>
    <row r="138" spans="1:16" x14ac:dyDescent="0.25">
      <c r="A138" s="15" t="s">
        <v>43</v>
      </c>
      <c r="B138" s="4">
        <f>IFERROR(SUMIFS(tblDaily[Remaining],tblDaily[EntryDate],DATE(2026,8,31),tblDaily[WardCode],"NICU"),0)</f>
        <v>0</v>
      </c>
      <c r="C138" s="4">
        <f>IFERROR(INDEX(tblWardConfig[BedComplement],MATCH("NICU",tblWardConfig[WardCode],0)),0)</f>
        <v>15</v>
      </c>
      <c r="D138" s="4">
        <f>SUMIFS(tblDaily[Admissions],tblDaily[Month],9,tblDaily[WardCode],"NICU") - SUMIFS(tblDaily[DeathsUnder24Hrs],tblDaily[Month],9,tblDaily[WardCode],"NICU")</f>
        <v>0</v>
      </c>
      <c r="E138" s="4">
        <f>SUMIFS(tblDaily[Discharges],tblDaily[Month],9,tblDaily[WardCode],"NICU")</f>
        <v>0</v>
      </c>
      <c r="F138" s="4">
        <f>SUMIFS(tblDaily[Deaths],tblDaily[Month],9,tblDaily[WardCode],"NICU")</f>
        <v>0</v>
      </c>
      <c r="G138" s="4">
        <f>SUMIFS(tblDaily[DeathsUnder24Hrs],tblDaily[Month],9,tblDaily[WardCode],"NICU")</f>
        <v>0</v>
      </c>
      <c r="H138" s="4">
        <f>SUMIFS(tblDaily[Remaining],tblDaily[Month],9,tblDaily[WardCode],"NICU")</f>
        <v>0</v>
      </c>
      <c r="I138" s="4">
        <f>SUMIFS(tblDaily[TransfersIn],tblDaily[Month],9,tblDaily[WardCode],"NICU")</f>
        <v>0</v>
      </c>
      <c r="J138" s="4">
        <f>SUMIFS(tblDaily[TransfersOut],tblDaily[Month],9,tblDaily[WardCode],"NICU")</f>
        <v>0</v>
      </c>
      <c r="K138" s="16">
        <f t="shared" si="64"/>
        <v>0</v>
      </c>
      <c r="L138" s="16">
        <f t="shared" si="65"/>
        <v>0</v>
      </c>
      <c r="M138" s="16">
        <f t="shared" si="66"/>
        <v>0</v>
      </c>
      <c r="N138" s="16">
        <f t="shared" si="67"/>
        <v>0</v>
      </c>
      <c r="O138" s="16">
        <f t="shared" si="68"/>
        <v>0</v>
      </c>
      <c r="P138" s="16">
        <f t="shared" si="69"/>
        <v>0</v>
      </c>
    </row>
    <row r="139" spans="1:16" x14ac:dyDescent="0.25">
      <c r="A139" s="15" t="s">
        <v>45</v>
      </c>
      <c r="B139" s="4">
        <f>IFERROR(SUMIFS(tblDaily[Remaining],tblDaily[EntryDate],DATE(2026,8,31),tblDaily[WardCode],"MAE"),0)</f>
        <v>0</v>
      </c>
      <c r="C139" s="4">
        <f>IFERROR(INDEX(tblWardConfig[BedComplement],MATCH("MAE",tblWardConfig[WardCode],0)),0)</f>
        <v>10</v>
      </c>
      <c r="D139" s="4">
        <f>SUMIFS(tblDaily[Admissions],tblDaily[Month],9,tblDaily[WardCode],"MAE") - SUMIFS(tblDaily[DeathsUnder24Hrs],tblDaily[Month],9,tblDaily[WardCode],"MAE")</f>
        <v>0</v>
      </c>
      <c r="E139" s="4">
        <f>SUMIFS(tblDaily[Discharges],tblDaily[Month],9,tblDaily[WardCode],"MAE")</f>
        <v>0</v>
      </c>
      <c r="F139" s="4">
        <f>SUMIFS(tblDaily[Deaths],tblDaily[Month],9,tblDaily[WardCode],"MAE")</f>
        <v>0</v>
      </c>
      <c r="G139" s="4">
        <f>SUMIFS(tblDaily[DeathsUnder24Hrs],tblDaily[Month],9,tblDaily[WardCode],"MAE")</f>
        <v>0</v>
      </c>
      <c r="H139" s="4">
        <f>SUMIFS(tblDaily[Remaining],tblDaily[Month],9,tblDaily[WardCode],"MAE")</f>
        <v>0</v>
      </c>
      <c r="I139" s="4">
        <f>SUMIFS(tblDaily[TransfersIn],tblDaily[Month],9,tblDaily[WardCode],"MAE")</f>
        <v>0</v>
      </c>
      <c r="J139" s="4">
        <f>SUMIFS(tblDaily[TransfersOut],tblDaily[Month],9,tblDaily[WardCode],"MAE")</f>
        <v>0</v>
      </c>
      <c r="K139" s="16">
        <f t="shared" si="64"/>
        <v>0</v>
      </c>
      <c r="L139" s="16">
        <f t="shared" si="65"/>
        <v>0</v>
      </c>
      <c r="M139" s="16">
        <f t="shared" si="66"/>
        <v>0</v>
      </c>
      <c r="N139" s="16">
        <f t="shared" si="67"/>
        <v>0</v>
      </c>
      <c r="O139" s="16">
        <f t="shared" si="68"/>
        <v>0</v>
      </c>
      <c r="P139" s="16">
        <f t="shared" si="69"/>
        <v>0</v>
      </c>
    </row>
    <row r="140" spans="1:16" x14ac:dyDescent="0.25">
      <c r="A140" s="15" t="s">
        <v>47</v>
      </c>
      <c r="B140" s="4">
        <f>IFERROR(SUMIFS(tblDaily[Remaining],tblDaily[EntryDate],DATE(2026,8,31),tblDaily[WardCode],"FAE"),0)</f>
        <v>0</v>
      </c>
      <c r="C140" s="4">
        <f>IFERROR(INDEX(tblWardConfig[BedComplement],MATCH("FAE",tblWardConfig[WardCode],0)),0)</f>
        <v>10</v>
      </c>
      <c r="D140" s="4">
        <f>SUMIFS(tblDaily[Admissions],tblDaily[Month],9,tblDaily[WardCode],"FAE") - SUMIFS(tblDaily[DeathsUnder24Hrs],tblDaily[Month],9,tblDaily[WardCode],"FAE")</f>
        <v>0</v>
      </c>
      <c r="E140" s="4">
        <f>SUMIFS(tblDaily[Discharges],tblDaily[Month],9,tblDaily[WardCode],"FAE")</f>
        <v>0</v>
      </c>
      <c r="F140" s="4">
        <f>SUMIFS(tblDaily[Deaths],tblDaily[Month],9,tblDaily[WardCode],"FAE")</f>
        <v>0</v>
      </c>
      <c r="G140" s="4">
        <f>SUMIFS(tblDaily[DeathsUnder24Hrs],tblDaily[Month],9,tblDaily[WardCode],"FAE")</f>
        <v>0</v>
      </c>
      <c r="H140" s="4">
        <f>SUMIFS(tblDaily[Remaining],tblDaily[Month],9,tblDaily[WardCode],"FAE")</f>
        <v>0</v>
      </c>
      <c r="I140" s="4">
        <f>SUMIFS(tblDaily[TransfersIn],tblDaily[Month],9,tblDaily[WardCode],"FAE")</f>
        <v>0</v>
      </c>
      <c r="J140" s="4">
        <f>SUMIFS(tblDaily[TransfersOut],tblDaily[Month],9,tblDaily[WardCode],"FAE")</f>
        <v>0</v>
      </c>
      <c r="K140" s="16">
        <f t="shared" si="64"/>
        <v>0</v>
      </c>
      <c r="L140" s="16">
        <f t="shared" si="65"/>
        <v>0</v>
      </c>
      <c r="M140" s="16">
        <f t="shared" si="66"/>
        <v>0</v>
      </c>
      <c r="N140" s="16">
        <f t="shared" si="67"/>
        <v>0</v>
      </c>
      <c r="O140" s="16">
        <f t="shared" si="68"/>
        <v>0</v>
      </c>
      <c r="P140" s="16">
        <f t="shared" si="69"/>
        <v>0</v>
      </c>
    </row>
    <row r="141" spans="1:16" x14ac:dyDescent="0.25">
      <c r="A141" s="17" t="s">
        <v>144</v>
      </c>
      <c r="B141" s="15">
        <f>SUMIFS(tblDaily[Remaining],tblDaily[EntryDate],DATE(2026,9,30),tblDaily[WardCode],"MAE")+SUMIFS(tblDaily[Remaining],tblDaily[EntryDate],DATE(2026,9,30),tblDaily[WardCode],"FAE")</f>
        <v>0</v>
      </c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</row>
    <row r="142" spans="1:16" x14ac:dyDescent="0.25">
      <c r="A142" s="9" t="s">
        <v>112</v>
      </c>
      <c r="B142" s="9">
        <f t="shared" ref="B142:J142" si="70">SUM(B132:B140)</f>
        <v>0</v>
      </c>
      <c r="C142" s="9">
        <f t="shared" si="70"/>
        <v>178</v>
      </c>
      <c r="D142" s="9">
        <f t="shared" si="70"/>
        <v>0</v>
      </c>
      <c r="E142" s="9">
        <f t="shared" si="70"/>
        <v>0</v>
      </c>
      <c r="F142" s="9">
        <f t="shared" si="70"/>
        <v>0</v>
      </c>
      <c r="G142" s="9">
        <f t="shared" si="70"/>
        <v>0</v>
      </c>
      <c r="H142" s="9">
        <f t="shared" si="70"/>
        <v>0</v>
      </c>
      <c r="I142" s="9">
        <f t="shared" si="70"/>
        <v>0</v>
      </c>
      <c r="J142" s="9">
        <f t="shared" si="70"/>
        <v>0</v>
      </c>
      <c r="K142" s="19">
        <f>IFERROR(H142/30,0)</f>
        <v>0</v>
      </c>
      <c r="L142" s="19">
        <f>IFERROR(H142/(E142+F142),0)</f>
        <v>0</v>
      </c>
      <c r="M142" s="19">
        <f>IFERROR((C142*30-H142)/(E142+F142),0)</f>
        <v>0</v>
      </c>
      <c r="N142" s="19">
        <f>IFERROR((E142+F142)/C142,0)</f>
        <v>0</v>
      </c>
      <c r="O142" s="19">
        <f>IFERROR((H142/(C142*30))*100,0)</f>
        <v>0</v>
      </c>
      <c r="P142" s="19">
        <f>IFERROR((F142/(D142+B142))*100,0)</f>
        <v>0</v>
      </c>
    </row>
    <row r="143" spans="1:16" x14ac:dyDescent="0.25">
      <c r="A143" s="20" t="s">
        <v>145</v>
      </c>
      <c r="B143" s="20">
        <f t="shared" ref="B143:J143" si="71">B139+B140</f>
        <v>0</v>
      </c>
      <c r="C143" s="20">
        <f t="shared" si="71"/>
        <v>20</v>
      </c>
      <c r="D143" s="20">
        <f t="shared" si="71"/>
        <v>0</v>
      </c>
      <c r="E143" s="20">
        <f t="shared" si="71"/>
        <v>0</v>
      </c>
      <c r="F143" s="20">
        <f t="shared" si="71"/>
        <v>0</v>
      </c>
      <c r="G143" s="20">
        <f t="shared" si="71"/>
        <v>0</v>
      </c>
      <c r="H143" s="20">
        <f t="shared" si="71"/>
        <v>0</v>
      </c>
      <c r="I143" s="20">
        <f t="shared" si="71"/>
        <v>0</v>
      </c>
      <c r="J143" s="20">
        <f t="shared" si="71"/>
        <v>0</v>
      </c>
      <c r="K143" s="21">
        <f>IFERROR(H143/30,0)</f>
        <v>0</v>
      </c>
      <c r="L143" s="21">
        <f>IFERROR(H143/(E143+F143),0)</f>
        <v>0</v>
      </c>
      <c r="M143" s="21">
        <f>IFERROR((C143*30-H143)/(E143+F143),0)</f>
        <v>0</v>
      </c>
      <c r="N143" s="21">
        <f>IFERROR((E143+F143)/C143,0)</f>
        <v>0</v>
      </c>
      <c r="O143" s="21">
        <f>IFERROR((H143/(C143*30))*100,0)</f>
        <v>0</v>
      </c>
      <c r="P143" s="21">
        <f>IFERROR((F143/(D143+B143))*100,0)</f>
        <v>0</v>
      </c>
    </row>
    <row r="145" spans="1:16" ht="18.75" x14ac:dyDescent="0.25">
      <c r="A145" s="28" t="s">
        <v>0</v>
      </c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</row>
    <row r="146" spans="1:16" ht="15.75" x14ac:dyDescent="0.25">
      <c r="A146" s="35" t="s">
        <v>154</v>
      </c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</row>
    <row r="147" spans="1:16" ht="38.25" x14ac:dyDescent="0.25">
      <c r="A147" s="8" t="s">
        <v>132</v>
      </c>
      <c r="B147" s="8" t="s">
        <v>133</v>
      </c>
      <c r="C147" s="8" t="s">
        <v>134</v>
      </c>
      <c r="D147" s="8" t="s">
        <v>74</v>
      </c>
      <c r="E147" s="8" t="s">
        <v>75</v>
      </c>
      <c r="F147" s="8" t="s">
        <v>76</v>
      </c>
      <c r="G147" s="8" t="s">
        <v>108</v>
      </c>
      <c r="H147" s="8" t="s">
        <v>135</v>
      </c>
      <c r="I147" s="8" t="s">
        <v>136</v>
      </c>
      <c r="J147" s="8" t="s">
        <v>137</v>
      </c>
      <c r="K147" s="8" t="s">
        <v>138</v>
      </c>
      <c r="L147" s="8" t="s">
        <v>139</v>
      </c>
      <c r="M147" s="8" t="s">
        <v>140</v>
      </c>
      <c r="N147" s="8" t="s">
        <v>141</v>
      </c>
      <c r="O147" s="8" t="s">
        <v>142</v>
      </c>
      <c r="P147" s="8" t="s">
        <v>143</v>
      </c>
    </row>
    <row r="148" spans="1:16" x14ac:dyDescent="0.25">
      <c r="A148" s="15" t="s">
        <v>31</v>
      </c>
      <c r="B148" s="4">
        <f>IFERROR(SUMIFS(tblDaily[Remaining],tblDaily[EntryDate],DATE(2026,9,30),tblDaily[WardCode],"MW"),0)</f>
        <v>0</v>
      </c>
      <c r="C148" s="4">
        <f>IFERROR(INDEX(tblWardConfig[BedComplement],MATCH("MW",tblWardConfig[WardCode],0)),0)</f>
        <v>32</v>
      </c>
      <c r="D148" s="4">
        <f>SUMIFS(tblDaily[Admissions],tblDaily[Month],10,tblDaily[WardCode],"MW") - SUMIFS(tblDaily[DeathsUnder24Hrs],tblDaily[Month],10,tblDaily[WardCode],"MW")</f>
        <v>0</v>
      </c>
      <c r="E148" s="4">
        <f>SUMIFS(tblDaily[Discharges],tblDaily[Month],10,tblDaily[WardCode],"MW")</f>
        <v>0</v>
      </c>
      <c r="F148" s="4">
        <f>SUMIFS(tblDaily[Deaths],tblDaily[Month],10,tblDaily[WardCode],"MW")</f>
        <v>0</v>
      </c>
      <c r="G148" s="4">
        <f>SUMIFS(tblDaily[DeathsUnder24Hrs],tblDaily[Month],10,tblDaily[WardCode],"MW")</f>
        <v>0</v>
      </c>
      <c r="H148" s="4">
        <f>SUMIFS(tblDaily[Remaining],tblDaily[Month],10,tblDaily[WardCode],"MW")</f>
        <v>0</v>
      </c>
      <c r="I148" s="4">
        <f>SUMIFS(tblDaily[TransfersIn],tblDaily[Month],10,tblDaily[WardCode],"MW")</f>
        <v>0</v>
      </c>
      <c r="J148" s="4">
        <f>SUMIFS(tblDaily[TransfersOut],tblDaily[Month],10,tblDaily[WardCode],"MW")</f>
        <v>0</v>
      </c>
      <c r="K148" s="16">
        <f t="shared" ref="K148:K156" si="72">IFERROR(H148/31,0)</f>
        <v>0</v>
      </c>
      <c r="L148" s="16">
        <f t="shared" ref="L148:L156" si="73">IFERROR(H148/(E148+F148),0)</f>
        <v>0</v>
      </c>
      <c r="M148" s="16">
        <f t="shared" ref="M148:M156" si="74">IFERROR((C148*31-H148)/(E148+F148),0)</f>
        <v>0</v>
      </c>
      <c r="N148" s="16">
        <f t="shared" ref="N148:N156" si="75">IFERROR((E148+F148)/C148,0)</f>
        <v>0</v>
      </c>
      <c r="O148" s="16">
        <f t="shared" ref="O148:O156" si="76">IFERROR((H148/(C148*31))*100,0)</f>
        <v>0</v>
      </c>
      <c r="P148" s="16">
        <f t="shared" ref="P148:P156" si="77">IFERROR((F148/(D148+B148))*100,0)</f>
        <v>0</v>
      </c>
    </row>
    <row r="149" spans="1:16" x14ac:dyDescent="0.25">
      <c r="A149" s="15" t="s">
        <v>33</v>
      </c>
      <c r="B149" s="4">
        <f>IFERROR(SUMIFS(tblDaily[Remaining],tblDaily[EntryDate],DATE(2026,9,30),tblDaily[WardCode],"FW"),0)</f>
        <v>0</v>
      </c>
      <c r="C149" s="4">
        <f>IFERROR(INDEX(tblWardConfig[BedComplement],MATCH("FW",tblWardConfig[WardCode],0)),0)</f>
        <v>28</v>
      </c>
      <c r="D149" s="4">
        <f>SUMIFS(tblDaily[Admissions],tblDaily[Month],10,tblDaily[WardCode],"FW") - SUMIFS(tblDaily[DeathsUnder24Hrs],tblDaily[Month],10,tblDaily[WardCode],"FW")</f>
        <v>0</v>
      </c>
      <c r="E149" s="4">
        <f>SUMIFS(tblDaily[Discharges],tblDaily[Month],10,tblDaily[WardCode],"FW")</f>
        <v>0</v>
      </c>
      <c r="F149" s="4">
        <f>SUMIFS(tblDaily[Deaths],tblDaily[Month],10,tblDaily[WardCode],"FW")</f>
        <v>0</v>
      </c>
      <c r="G149" s="4">
        <f>SUMIFS(tblDaily[DeathsUnder24Hrs],tblDaily[Month],10,tblDaily[WardCode],"FW")</f>
        <v>0</v>
      </c>
      <c r="H149" s="4">
        <f>SUMIFS(tblDaily[Remaining],tblDaily[Month],10,tblDaily[WardCode],"FW")</f>
        <v>0</v>
      </c>
      <c r="I149" s="4">
        <f>SUMIFS(tblDaily[TransfersIn],tblDaily[Month],10,tblDaily[WardCode],"FW")</f>
        <v>0</v>
      </c>
      <c r="J149" s="4">
        <f>SUMIFS(tblDaily[TransfersOut],tblDaily[Month],10,tblDaily[WardCode],"FW")</f>
        <v>0</v>
      </c>
      <c r="K149" s="16">
        <f t="shared" si="72"/>
        <v>0</v>
      </c>
      <c r="L149" s="16">
        <f t="shared" si="73"/>
        <v>0</v>
      </c>
      <c r="M149" s="16">
        <f t="shared" si="74"/>
        <v>0</v>
      </c>
      <c r="N149" s="16">
        <f t="shared" si="75"/>
        <v>0</v>
      </c>
      <c r="O149" s="16">
        <f t="shared" si="76"/>
        <v>0</v>
      </c>
      <c r="P149" s="16">
        <f t="shared" si="77"/>
        <v>0</v>
      </c>
    </row>
    <row r="150" spans="1:16" x14ac:dyDescent="0.25">
      <c r="A150" s="15" t="s">
        <v>35</v>
      </c>
      <c r="B150" s="4">
        <f>IFERROR(SUMIFS(tblDaily[Remaining],tblDaily[EntryDate],DATE(2026,9,30),tblDaily[WardCode],"CW"),0)</f>
        <v>0</v>
      </c>
      <c r="C150" s="4">
        <f>IFERROR(INDEX(tblWardConfig[BedComplement],MATCH("CW",tblWardConfig[WardCode],0)),0)</f>
        <v>27</v>
      </c>
      <c r="D150" s="4">
        <f>SUMIFS(tblDaily[Admissions],tblDaily[Month],10,tblDaily[WardCode],"CW") - SUMIFS(tblDaily[DeathsUnder24Hrs],tblDaily[Month],10,tblDaily[WardCode],"CW")</f>
        <v>0</v>
      </c>
      <c r="E150" s="4">
        <f>SUMIFS(tblDaily[Discharges],tblDaily[Month],10,tblDaily[WardCode],"CW")</f>
        <v>0</v>
      </c>
      <c r="F150" s="4">
        <f>SUMIFS(tblDaily[Deaths],tblDaily[Month],10,tblDaily[WardCode],"CW")</f>
        <v>0</v>
      </c>
      <c r="G150" s="4">
        <f>SUMIFS(tblDaily[DeathsUnder24Hrs],tblDaily[Month],10,tblDaily[WardCode],"CW")</f>
        <v>0</v>
      </c>
      <c r="H150" s="4">
        <f>SUMIFS(tblDaily[Remaining],tblDaily[Month],10,tblDaily[WardCode],"CW")</f>
        <v>0</v>
      </c>
      <c r="I150" s="4">
        <f>SUMIFS(tblDaily[TransfersIn],tblDaily[Month],10,tblDaily[WardCode],"CW")</f>
        <v>0</v>
      </c>
      <c r="J150" s="4">
        <f>SUMIFS(tblDaily[TransfersOut],tblDaily[Month],10,tblDaily[WardCode],"CW")</f>
        <v>0</v>
      </c>
      <c r="K150" s="16">
        <f t="shared" si="72"/>
        <v>0</v>
      </c>
      <c r="L150" s="16">
        <f t="shared" si="73"/>
        <v>0</v>
      </c>
      <c r="M150" s="16">
        <f t="shared" si="74"/>
        <v>0</v>
      </c>
      <c r="N150" s="16">
        <f t="shared" si="75"/>
        <v>0</v>
      </c>
      <c r="O150" s="16">
        <f t="shared" si="76"/>
        <v>0</v>
      </c>
      <c r="P150" s="16">
        <f t="shared" si="77"/>
        <v>0</v>
      </c>
    </row>
    <row r="151" spans="1:16" x14ac:dyDescent="0.25">
      <c r="A151" s="15" t="s">
        <v>37</v>
      </c>
      <c r="B151" s="4">
        <f>IFERROR(SUMIFS(tblDaily[Remaining],tblDaily[EntryDate],DATE(2026,9,30),tblDaily[WardCode],"BF"),0)</f>
        <v>0</v>
      </c>
      <c r="C151" s="4">
        <f>IFERROR(INDEX(tblWardConfig[BedComplement],MATCH("BF",tblWardConfig[WardCode],0)),0)</f>
        <v>20</v>
      </c>
      <c r="D151" s="4">
        <f>SUMIFS(tblDaily[Admissions],tblDaily[Month],10,tblDaily[WardCode],"BF") - SUMIFS(tblDaily[DeathsUnder24Hrs],tblDaily[Month],10,tblDaily[WardCode],"BF")</f>
        <v>0</v>
      </c>
      <c r="E151" s="4">
        <f>SUMIFS(tblDaily[Discharges],tblDaily[Month],10,tblDaily[WardCode],"BF")</f>
        <v>0</v>
      </c>
      <c r="F151" s="4">
        <f>SUMIFS(tblDaily[Deaths],tblDaily[Month],10,tblDaily[WardCode],"BF")</f>
        <v>0</v>
      </c>
      <c r="G151" s="4">
        <f>SUMIFS(tblDaily[DeathsUnder24Hrs],tblDaily[Month],10,tblDaily[WardCode],"BF")</f>
        <v>0</v>
      </c>
      <c r="H151" s="4">
        <f>SUMIFS(tblDaily[Remaining],tblDaily[Month],10,tblDaily[WardCode],"BF")</f>
        <v>0</v>
      </c>
      <c r="I151" s="4">
        <f>SUMIFS(tblDaily[TransfersIn],tblDaily[Month],10,tblDaily[WardCode],"BF")</f>
        <v>0</v>
      </c>
      <c r="J151" s="4">
        <f>SUMIFS(tblDaily[TransfersOut],tblDaily[Month],10,tblDaily[WardCode],"BF")</f>
        <v>0</v>
      </c>
      <c r="K151" s="16">
        <f t="shared" si="72"/>
        <v>0</v>
      </c>
      <c r="L151" s="16">
        <f t="shared" si="73"/>
        <v>0</v>
      </c>
      <c r="M151" s="16">
        <f t="shared" si="74"/>
        <v>0</v>
      </c>
      <c r="N151" s="16">
        <f t="shared" si="75"/>
        <v>0</v>
      </c>
      <c r="O151" s="16">
        <f t="shared" si="76"/>
        <v>0</v>
      </c>
      <c r="P151" s="16">
        <f t="shared" si="77"/>
        <v>0</v>
      </c>
    </row>
    <row r="152" spans="1:16" x14ac:dyDescent="0.25">
      <c r="A152" s="15" t="s">
        <v>39</v>
      </c>
      <c r="B152" s="4">
        <f>IFERROR(SUMIFS(tblDaily[Remaining],tblDaily[EntryDate],DATE(2026,9,30),tblDaily[WardCode],"BG"),0)</f>
        <v>0</v>
      </c>
      <c r="C152" s="4">
        <f>IFERROR(INDEX(tblWardConfig[BedComplement],MATCH("BG",tblWardConfig[WardCode],0)),0)</f>
        <v>14</v>
      </c>
      <c r="D152" s="4">
        <f>SUMIFS(tblDaily[Admissions],tblDaily[Month],10,tblDaily[WardCode],"BG") - SUMIFS(tblDaily[DeathsUnder24Hrs],tblDaily[Month],10,tblDaily[WardCode],"BG")</f>
        <v>0</v>
      </c>
      <c r="E152" s="4">
        <f>SUMIFS(tblDaily[Discharges],tblDaily[Month],10,tblDaily[WardCode],"BG")</f>
        <v>0</v>
      </c>
      <c r="F152" s="4">
        <f>SUMIFS(tblDaily[Deaths],tblDaily[Month],10,tblDaily[WardCode],"BG")</f>
        <v>0</v>
      </c>
      <c r="G152" s="4">
        <f>SUMIFS(tblDaily[DeathsUnder24Hrs],tblDaily[Month],10,tblDaily[WardCode],"BG")</f>
        <v>0</v>
      </c>
      <c r="H152" s="4">
        <f>SUMIFS(tblDaily[Remaining],tblDaily[Month],10,tblDaily[WardCode],"BG")</f>
        <v>0</v>
      </c>
      <c r="I152" s="4">
        <f>SUMIFS(tblDaily[TransfersIn],tblDaily[Month],10,tblDaily[WardCode],"BG")</f>
        <v>0</v>
      </c>
      <c r="J152" s="4">
        <f>SUMIFS(tblDaily[TransfersOut],tblDaily[Month],10,tblDaily[WardCode],"BG")</f>
        <v>0</v>
      </c>
      <c r="K152" s="16">
        <f t="shared" si="72"/>
        <v>0</v>
      </c>
      <c r="L152" s="16">
        <f t="shared" si="73"/>
        <v>0</v>
      </c>
      <c r="M152" s="16">
        <f t="shared" si="74"/>
        <v>0</v>
      </c>
      <c r="N152" s="16">
        <f t="shared" si="75"/>
        <v>0</v>
      </c>
      <c r="O152" s="16">
        <f t="shared" si="76"/>
        <v>0</v>
      </c>
      <c r="P152" s="16">
        <f t="shared" si="77"/>
        <v>0</v>
      </c>
    </row>
    <row r="153" spans="1:16" x14ac:dyDescent="0.25">
      <c r="A153" s="15" t="s">
        <v>41</v>
      </c>
      <c r="B153" s="4">
        <f>IFERROR(SUMIFS(tblDaily[Remaining],tblDaily[EntryDate],DATE(2026,9,30),tblDaily[WardCode],"BH"),0)</f>
        <v>0</v>
      </c>
      <c r="C153" s="4">
        <f>IFERROR(INDEX(tblWardConfig[BedComplement],MATCH("BH",tblWardConfig[WardCode],0)),0)</f>
        <v>22</v>
      </c>
      <c r="D153" s="4">
        <f>SUMIFS(tblDaily[Admissions],tblDaily[Month],10,tblDaily[WardCode],"BH") - SUMIFS(tblDaily[DeathsUnder24Hrs],tblDaily[Month],10,tblDaily[WardCode],"BH")</f>
        <v>0</v>
      </c>
      <c r="E153" s="4">
        <f>SUMIFS(tblDaily[Discharges],tblDaily[Month],10,tblDaily[WardCode],"BH")</f>
        <v>0</v>
      </c>
      <c r="F153" s="4">
        <f>SUMIFS(tblDaily[Deaths],tblDaily[Month],10,tblDaily[WardCode],"BH")</f>
        <v>0</v>
      </c>
      <c r="G153" s="4">
        <f>SUMIFS(tblDaily[DeathsUnder24Hrs],tblDaily[Month],10,tblDaily[WardCode],"BH")</f>
        <v>0</v>
      </c>
      <c r="H153" s="4">
        <f>SUMIFS(tblDaily[Remaining],tblDaily[Month],10,tblDaily[WardCode],"BH")</f>
        <v>0</v>
      </c>
      <c r="I153" s="4">
        <f>SUMIFS(tblDaily[TransfersIn],tblDaily[Month],10,tblDaily[WardCode],"BH")</f>
        <v>0</v>
      </c>
      <c r="J153" s="4">
        <f>SUMIFS(tblDaily[TransfersOut],tblDaily[Month],10,tblDaily[WardCode],"BH")</f>
        <v>0</v>
      </c>
      <c r="K153" s="16">
        <f t="shared" si="72"/>
        <v>0</v>
      </c>
      <c r="L153" s="16">
        <f t="shared" si="73"/>
        <v>0</v>
      </c>
      <c r="M153" s="16">
        <f t="shared" si="74"/>
        <v>0</v>
      </c>
      <c r="N153" s="16">
        <f t="shared" si="75"/>
        <v>0</v>
      </c>
      <c r="O153" s="16">
        <f t="shared" si="76"/>
        <v>0</v>
      </c>
      <c r="P153" s="16">
        <f t="shared" si="77"/>
        <v>0</v>
      </c>
    </row>
    <row r="154" spans="1:16" x14ac:dyDescent="0.25">
      <c r="A154" s="15" t="s">
        <v>43</v>
      </c>
      <c r="B154" s="4">
        <f>IFERROR(SUMIFS(tblDaily[Remaining],tblDaily[EntryDate],DATE(2026,9,30),tblDaily[WardCode],"NICU"),0)</f>
        <v>0</v>
      </c>
      <c r="C154" s="4">
        <f>IFERROR(INDEX(tblWardConfig[BedComplement],MATCH("NICU",tblWardConfig[WardCode],0)),0)</f>
        <v>15</v>
      </c>
      <c r="D154" s="4">
        <f>SUMIFS(tblDaily[Admissions],tblDaily[Month],10,tblDaily[WardCode],"NICU") - SUMIFS(tblDaily[DeathsUnder24Hrs],tblDaily[Month],10,tblDaily[WardCode],"NICU")</f>
        <v>0</v>
      </c>
      <c r="E154" s="4">
        <f>SUMIFS(tblDaily[Discharges],tblDaily[Month],10,tblDaily[WardCode],"NICU")</f>
        <v>0</v>
      </c>
      <c r="F154" s="4">
        <f>SUMIFS(tblDaily[Deaths],tblDaily[Month],10,tblDaily[WardCode],"NICU")</f>
        <v>0</v>
      </c>
      <c r="G154" s="4">
        <f>SUMIFS(tblDaily[DeathsUnder24Hrs],tblDaily[Month],10,tblDaily[WardCode],"NICU")</f>
        <v>0</v>
      </c>
      <c r="H154" s="4">
        <f>SUMIFS(tblDaily[Remaining],tblDaily[Month],10,tblDaily[WardCode],"NICU")</f>
        <v>0</v>
      </c>
      <c r="I154" s="4">
        <f>SUMIFS(tblDaily[TransfersIn],tblDaily[Month],10,tblDaily[WardCode],"NICU")</f>
        <v>0</v>
      </c>
      <c r="J154" s="4">
        <f>SUMIFS(tblDaily[TransfersOut],tblDaily[Month],10,tblDaily[WardCode],"NICU")</f>
        <v>0</v>
      </c>
      <c r="K154" s="16">
        <f t="shared" si="72"/>
        <v>0</v>
      </c>
      <c r="L154" s="16">
        <f t="shared" si="73"/>
        <v>0</v>
      </c>
      <c r="M154" s="16">
        <f t="shared" si="74"/>
        <v>0</v>
      </c>
      <c r="N154" s="16">
        <f t="shared" si="75"/>
        <v>0</v>
      </c>
      <c r="O154" s="16">
        <f t="shared" si="76"/>
        <v>0</v>
      </c>
      <c r="P154" s="16">
        <f t="shared" si="77"/>
        <v>0</v>
      </c>
    </row>
    <row r="155" spans="1:16" x14ac:dyDescent="0.25">
      <c r="A155" s="15" t="s">
        <v>45</v>
      </c>
      <c r="B155" s="4">
        <f>IFERROR(SUMIFS(tblDaily[Remaining],tblDaily[EntryDate],DATE(2026,9,30),tblDaily[WardCode],"MAE"),0)</f>
        <v>0</v>
      </c>
      <c r="C155" s="4">
        <f>IFERROR(INDEX(tblWardConfig[BedComplement],MATCH("MAE",tblWardConfig[WardCode],0)),0)</f>
        <v>10</v>
      </c>
      <c r="D155" s="4">
        <f>SUMIFS(tblDaily[Admissions],tblDaily[Month],10,tblDaily[WardCode],"MAE") - SUMIFS(tblDaily[DeathsUnder24Hrs],tblDaily[Month],10,tblDaily[WardCode],"MAE")</f>
        <v>0</v>
      </c>
      <c r="E155" s="4">
        <f>SUMIFS(tblDaily[Discharges],tblDaily[Month],10,tblDaily[WardCode],"MAE")</f>
        <v>0</v>
      </c>
      <c r="F155" s="4">
        <f>SUMIFS(tblDaily[Deaths],tblDaily[Month],10,tblDaily[WardCode],"MAE")</f>
        <v>0</v>
      </c>
      <c r="G155" s="4">
        <f>SUMIFS(tblDaily[DeathsUnder24Hrs],tblDaily[Month],10,tblDaily[WardCode],"MAE")</f>
        <v>0</v>
      </c>
      <c r="H155" s="4">
        <f>SUMIFS(tblDaily[Remaining],tblDaily[Month],10,tblDaily[WardCode],"MAE")</f>
        <v>0</v>
      </c>
      <c r="I155" s="4">
        <f>SUMIFS(tblDaily[TransfersIn],tblDaily[Month],10,tblDaily[WardCode],"MAE")</f>
        <v>0</v>
      </c>
      <c r="J155" s="4">
        <f>SUMIFS(tblDaily[TransfersOut],tblDaily[Month],10,tblDaily[WardCode],"MAE")</f>
        <v>0</v>
      </c>
      <c r="K155" s="16">
        <f t="shared" si="72"/>
        <v>0</v>
      </c>
      <c r="L155" s="16">
        <f t="shared" si="73"/>
        <v>0</v>
      </c>
      <c r="M155" s="16">
        <f t="shared" si="74"/>
        <v>0</v>
      </c>
      <c r="N155" s="16">
        <f t="shared" si="75"/>
        <v>0</v>
      </c>
      <c r="O155" s="16">
        <f t="shared" si="76"/>
        <v>0</v>
      </c>
      <c r="P155" s="16">
        <f t="shared" si="77"/>
        <v>0</v>
      </c>
    </row>
    <row r="156" spans="1:16" x14ac:dyDescent="0.25">
      <c r="A156" s="15" t="s">
        <v>47</v>
      </c>
      <c r="B156" s="4">
        <f>IFERROR(SUMIFS(tblDaily[Remaining],tblDaily[EntryDate],DATE(2026,9,30),tblDaily[WardCode],"FAE"),0)</f>
        <v>0</v>
      </c>
      <c r="C156" s="4">
        <f>IFERROR(INDEX(tblWardConfig[BedComplement],MATCH("FAE",tblWardConfig[WardCode],0)),0)</f>
        <v>10</v>
      </c>
      <c r="D156" s="4">
        <f>SUMIFS(tblDaily[Admissions],tblDaily[Month],10,tblDaily[WardCode],"FAE") - SUMIFS(tblDaily[DeathsUnder24Hrs],tblDaily[Month],10,tblDaily[WardCode],"FAE")</f>
        <v>0</v>
      </c>
      <c r="E156" s="4">
        <f>SUMIFS(tblDaily[Discharges],tblDaily[Month],10,tblDaily[WardCode],"FAE")</f>
        <v>0</v>
      </c>
      <c r="F156" s="4">
        <f>SUMIFS(tblDaily[Deaths],tblDaily[Month],10,tblDaily[WardCode],"FAE")</f>
        <v>0</v>
      </c>
      <c r="G156" s="4">
        <f>SUMIFS(tblDaily[DeathsUnder24Hrs],tblDaily[Month],10,tblDaily[WardCode],"FAE")</f>
        <v>0</v>
      </c>
      <c r="H156" s="4">
        <f>SUMIFS(tblDaily[Remaining],tblDaily[Month],10,tblDaily[WardCode],"FAE")</f>
        <v>0</v>
      </c>
      <c r="I156" s="4">
        <f>SUMIFS(tblDaily[TransfersIn],tblDaily[Month],10,tblDaily[WardCode],"FAE")</f>
        <v>0</v>
      </c>
      <c r="J156" s="4">
        <f>SUMIFS(tblDaily[TransfersOut],tblDaily[Month],10,tblDaily[WardCode],"FAE")</f>
        <v>0</v>
      </c>
      <c r="K156" s="16">
        <f t="shared" si="72"/>
        <v>0</v>
      </c>
      <c r="L156" s="16">
        <f t="shared" si="73"/>
        <v>0</v>
      </c>
      <c r="M156" s="16">
        <f t="shared" si="74"/>
        <v>0</v>
      </c>
      <c r="N156" s="16">
        <f t="shared" si="75"/>
        <v>0</v>
      </c>
      <c r="O156" s="16">
        <f t="shared" si="76"/>
        <v>0</v>
      </c>
      <c r="P156" s="16">
        <f t="shared" si="77"/>
        <v>0</v>
      </c>
    </row>
    <row r="157" spans="1:16" x14ac:dyDescent="0.25">
      <c r="A157" s="17" t="s">
        <v>144</v>
      </c>
      <c r="B157" s="15">
        <f>SUMIFS(tblDaily[Remaining],tblDaily[EntryDate],DATE(2026,10,31),tblDaily[WardCode],"MAE")+SUMIFS(tblDaily[Remaining],tblDaily[EntryDate],DATE(2026,10,31),tblDaily[WardCode],"FAE")</f>
        <v>0</v>
      </c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</row>
    <row r="158" spans="1:16" x14ac:dyDescent="0.25">
      <c r="A158" s="9" t="s">
        <v>112</v>
      </c>
      <c r="B158" s="9">
        <f t="shared" ref="B158:J158" si="78">SUM(B148:B156)</f>
        <v>0</v>
      </c>
      <c r="C158" s="9">
        <f t="shared" si="78"/>
        <v>178</v>
      </c>
      <c r="D158" s="9">
        <f t="shared" si="78"/>
        <v>0</v>
      </c>
      <c r="E158" s="9">
        <f t="shared" si="78"/>
        <v>0</v>
      </c>
      <c r="F158" s="9">
        <f t="shared" si="78"/>
        <v>0</v>
      </c>
      <c r="G158" s="9">
        <f t="shared" si="78"/>
        <v>0</v>
      </c>
      <c r="H158" s="9">
        <f t="shared" si="78"/>
        <v>0</v>
      </c>
      <c r="I158" s="9">
        <f t="shared" si="78"/>
        <v>0</v>
      </c>
      <c r="J158" s="9">
        <f t="shared" si="78"/>
        <v>0</v>
      </c>
      <c r="K158" s="19">
        <f>IFERROR(H158/31,0)</f>
        <v>0</v>
      </c>
      <c r="L158" s="19">
        <f>IFERROR(H158/(E158+F158),0)</f>
        <v>0</v>
      </c>
      <c r="M158" s="19">
        <f>IFERROR((C158*31-H158)/(E158+F158),0)</f>
        <v>0</v>
      </c>
      <c r="N158" s="19">
        <f>IFERROR((E158+F158)/C158,0)</f>
        <v>0</v>
      </c>
      <c r="O158" s="19">
        <f>IFERROR((H158/(C158*31))*100,0)</f>
        <v>0</v>
      </c>
      <c r="P158" s="19">
        <f>IFERROR((F158/(D158+B158))*100,0)</f>
        <v>0</v>
      </c>
    </row>
    <row r="159" spans="1:16" x14ac:dyDescent="0.25">
      <c r="A159" s="20" t="s">
        <v>145</v>
      </c>
      <c r="B159" s="20">
        <f t="shared" ref="B159:J159" si="79">B155+B156</f>
        <v>0</v>
      </c>
      <c r="C159" s="20">
        <f t="shared" si="79"/>
        <v>20</v>
      </c>
      <c r="D159" s="20">
        <f t="shared" si="79"/>
        <v>0</v>
      </c>
      <c r="E159" s="20">
        <f t="shared" si="79"/>
        <v>0</v>
      </c>
      <c r="F159" s="20">
        <f t="shared" si="79"/>
        <v>0</v>
      </c>
      <c r="G159" s="20">
        <f t="shared" si="79"/>
        <v>0</v>
      </c>
      <c r="H159" s="20">
        <f t="shared" si="79"/>
        <v>0</v>
      </c>
      <c r="I159" s="20">
        <f t="shared" si="79"/>
        <v>0</v>
      </c>
      <c r="J159" s="20">
        <f t="shared" si="79"/>
        <v>0</v>
      </c>
      <c r="K159" s="21">
        <f>IFERROR(H159/31,0)</f>
        <v>0</v>
      </c>
      <c r="L159" s="21">
        <f>IFERROR(H159/(E159+F159),0)</f>
        <v>0</v>
      </c>
      <c r="M159" s="21">
        <f>IFERROR((C159*31-H159)/(E159+F159),0)</f>
        <v>0</v>
      </c>
      <c r="N159" s="21">
        <f>IFERROR((E159+F159)/C159,0)</f>
        <v>0</v>
      </c>
      <c r="O159" s="21">
        <f>IFERROR((H159/(C159*31))*100,0)</f>
        <v>0</v>
      </c>
      <c r="P159" s="21">
        <f>IFERROR((F159/(D159+B159))*100,0)</f>
        <v>0</v>
      </c>
    </row>
    <row r="161" spans="1:16" ht="18.75" x14ac:dyDescent="0.25">
      <c r="A161" s="28" t="s">
        <v>0</v>
      </c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</row>
    <row r="162" spans="1:16" ht="15.75" x14ac:dyDescent="0.25">
      <c r="A162" s="35" t="s">
        <v>155</v>
      </c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</row>
    <row r="163" spans="1:16" ht="38.25" x14ac:dyDescent="0.25">
      <c r="A163" s="8" t="s">
        <v>132</v>
      </c>
      <c r="B163" s="8" t="s">
        <v>133</v>
      </c>
      <c r="C163" s="8" t="s">
        <v>134</v>
      </c>
      <c r="D163" s="8" t="s">
        <v>74</v>
      </c>
      <c r="E163" s="8" t="s">
        <v>75</v>
      </c>
      <c r="F163" s="8" t="s">
        <v>76</v>
      </c>
      <c r="G163" s="8" t="s">
        <v>108</v>
      </c>
      <c r="H163" s="8" t="s">
        <v>135</v>
      </c>
      <c r="I163" s="8" t="s">
        <v>136</v>
      </c>
      <c r="J163" s="8" t="s">
        <v>137</v>
      </c>
      <c r="K163" s="8" t="s">
        <v>138</v>
      </c>
      <c r="L163" s="8" t="s">
        <v>139</v>
      </c>
      <c r="M163" s="8" t="s">
        <v>140</v>
      </c>
      <c r="N163" s="8" t="s">
        <v>141</v>
      </c>
      <c r="O163" s="8" t="s">
        <v>142</v>
      </c>
      <c r="P163" s="8" t="s">
        <v>143</v>
      </c>
    </row>
    <row r="164" spans="1:16" x14ac:dyDescent="0.25">
      <c r="A164" s="15" t="s">
        <v>31</v>
      </c>
      <c r="B164" s="4">
        <f>IFERROR(SUMIFS(tblDaily[Remaining],tblDaily[EntryDate],DATE(2026,10,31),tblDaily[WardCode],"MW"),0)</f>
        <v>0</v>
      </c>
      <c r="C164" s="4">
        <f>IFERROR(INDEX(tblWardConfig[BedComplement],MATCH("MW",tblWardConfig[WardCode],0)),0)</f>
        <v>32</v>
      </c>
      <c r="D164" s="4">
        <f>SUMIFS(tblDaily[Admissions],tblDaily[Month],11,tblDaily[WardCode],"MW") - SUMIFS(tblDaily[DeathsUnder24Hrs],tblDaily[Month],11,tblDaily[WardCode],"MW")</f>
        <v>0</v>
      </c>
      <c r="E164" s="4">
        <f>SUMIFS(tblDaily[Discharges],tblDaily[Month],11,tblDaily[WardCode],"MW")</f>
        <v>0</v>
      </c>
      <c r="F164" s="4">
        <f>SUMIFS(tblDaily[Deaths],tblDaily[Month],11,tblDaily[WardCode],"MW")</f>
        <v>0</v>
      </c>
      <c r="G164" s="4">
        <f>SUMIFS(tblDaily[DeathsUnder24Hrs],tblDaily[Month],11,tblDaily[WardCode],"MW")</f>
        <v>0</v>
      </c>
      <c r="H164" s="4">
        <f>SUMIFS(tblDaily[Remaining],tblDaily[Month],11,tblDaily[WardCode],"MW")</f>
        <v>0</v>
      </c>
      <c r="I164" s="4">
        <f>SUMIFS(tblDaily[TransfersIn],tblDaily[Month],11,tblDaily[WardCode],"MW")</f>
        <v>0</v>
      </c>
      <c r="J164" s="4">
        <f>SUMIFS(tblDaily[TransfersOut],tblDaily[Month],11,tblDaily[WardCode],"MW")</f>
        <v>0</v>
      </c>
      <c r="K164" s="16">
        <f t="shared" ref="K164:K172" si="80">IFERROR(H164/30,0)</f>
        <v>0</v>
      </c>
      <c r="L164" s="16">
        <f t="shared" ref="L164:L172" si="81">IFERROR(H164/(E164+F164),0)</f>
        <v>0</v>
      </c>
      <c r="M164" s="16">
        <f t="shared" ref="M164:M172" si="82">IFERROR((C164*30-H164)/(E164+F164),0)</f>
        <v>0</v>
      </c>
      <c r="N164" s="16">
        <f t="shared" ref="N164:N172" si="83">IFERROR((E164+F164)/C164,0)</f>
        <v>0</v>
      </c>
      <c r="O164" s="16">
        <f t="shared" ref="O164:O172" si="84">IFERROR((H164/(C164*30))*100,0)</f>
        <v>0</v>
      </c>
      <c r="P164" s="16">
        <f t="shared" ref="P164:P172" si="85">IFERROR((F164/(D164+B164))*100,0)</f>
        <v>0</v>
      </c>
    </row>
    <row r="165" spans="1:16" x14ac:dyDescent="0.25">
      <c r="A165" s="15" t="s">
        <v>33</v>
      </c>
      <c r="B165" s="4">
        <f>IFERROR(SUMIFS(tblDaily[Remaining],tblDaily[EntryDate],DATE(2026,10,31),tblDaily[WardCode],"FW"),0)</f>
        <v>0</v>
      </c>
      <c r="C165" s="4">
        <f>IFERROR(INDEX(tblWardConfig[BedComplement],MATCH("FW",tblWardConfig[WardCode],0)),0)</f>
        <v>28</v>
      </c>
      <c r="D165" s="4">
        <f>SUMIFS(tblDaily[Admissions],tblDaily[Month],11,tblDaily[WardCode],"FW") - SUMIFS(tblDaily[DeathsUnder24Hrs],tblDaily[Month],11,tblDaily[WardCode],"FW")</f>
        <v>0</v>
      </c>
      <c r="E165" s="4">
        <f>SUMIFS(tblDaily[Discharges],tblDaily[Month],11,tblDaily[WardCode],"FW")</f>
        <v>0</v>
      </c>
      <c r="F165" s="4">
        <f>SUMIFS(tblDaily[Deaths],tblDaily[Month],11,tblDaily[WardCode],"FW")</f>
        <v>0</v>
      </c>
      <c r="G165" s="4">
        <f>SUMIFS(tblDaily[DeathsUnder24Hrs],tblDaily[Month],11,tblDaily[WardCode],"FW")</f>
        <v>0</v>
      </c>
      <c r="H165" s="4">
        <f>SUMIFS(tblDaily[Remaining],tblDaily[Month],11,tblDaily[WardCode],"FW")</f>
        <v>0</v>
      </c>
      <c r="I165" s="4">
        <f>SUMIFS(tblDaily[TransfersIn],tblDaily[Month],11,tblDaily[WardCode],"FW")</f>
        <v>0</v>
      </c>
      <c r="J165" s="4">
        <f>SUMIFS(tblDaily[TransfersOut],tblDaily[Month],11,tblDaily[WardCode],"FW")</f>
        <v>0</v>
      </c>
      <c r="K165" s="16">
        <f t="shared" si="80"/>
        <v>0</v>
      </c>
      <c r="L165" s="16">
        <f t="shared" si="81"/>
        <v>0</v>
      </c>
      <c r="M165" s="16">
        <f t="shared" si="82"/>
        <v>0</v>
      </c>
      <c r="N165" s="16">
        <f t="shared" si="83"/>
        <v>0</v>
      </c>
      <c r="O165" s="16">
        <f t="shared" si="84"/>
        <v>0</v>
      </c>
      <c r="P165" s="16">
        <f t="shared" si="85"/>
        <v>0</v>
      </c>
    </row>
    <row r="166" spans="1:16" x14ac:dyDescent="0.25">
      <c r="A166" s="15" t="s">
        <v>35</v>
      </c>
      <c r="B166" s="4">
        <f>IFERROR(SUMIFS(tblDaily[Remaining],tblDaily[EntryDate],DATE(2026,10,31),tblDaily[WardCode],"CW"),0)</f>
        <v>0</v>
      </c>
      <c r="C166" s="4">
        <f>IFERROR(INDEX(tblWardConfig[BedComplement],MATCH("CW",tblWardConfig[WardCode],0)),0)</f>
        <v>27</v>
      </c>
      <c r="D166" s="4">
        <f>SUMIFS(tblDaily[Admissions],tblDaily[Month],11,tblDaily[WardCode],"CW") - SUMIFS(tblDaily[DeathsUnder24Hrs],tblDaily[Month],11,tblDaily[WardCode],"CW")</f>
        <v>0</v>
      </c>
      <c r="E166" s="4">
        <f>SUMIFS(tblDaily[Discharges],tblDaily[Month],11,tblDaily[WardCode],"CW")</f>
        <v>0</v>
      </c>
      <c r="F166" s="4">
        <f>SUMIFS(tblDaily[Deaths],tblDaily[Month],11,tblDaily[WardCode],"CW")</f>
        <v>0</v>
      </c>
      <c r="G166" s="4">
        <f>SUMIFS(tblDaily[DeathsUnder24Hrs],tblDaily[Month],11,tblDaily[WardCode],"CW")</f>
        <v>0</v>
      </c>
      <c r="H166" s="4">
        <f>SUMIFS(tblDaily[Remaining],tblDaily[Month],11,tblDaily[WardCode],"CW")</f>
        <v>0</v>
      </c>
      <c r="I166" s="4">
        <f>SUMIFS(tblDaily[TransfersIn],tblDaily[Month],11,tblDaily[WardCode],"CW")</f>
        <v>0</v>
      </c>
      <c r="J166" s="4">
        <f>SUMIFS(tblDaily[TransfersOut],tblDaily[Month],11,tblDaily[WardCode],"CW")</f>
        <v>0</v>
      </c>
      <c r="K166" s="16">
        <f t="shared" si="80"/>
        <v>0</v>
      </c>
      <c r="L166" s="16">
        <f t="shared" si="81"/>
        <v>0</v>
      </c>
      <c r="M166" s="16">
        <f t="shared" si="82"/>
        <v>0</v>
      </c>
      <c r="N166" s="16">
        <f t="shared" si="83"/>
        <v>0</v>
      </c>
      <c r="O166" s="16">
        <f t="shared" si="84"/>
        <v>0</v>
      </c>
      <c r="P166" s="16">
        <f t="shared" si="85"/>
        <v>0</v>
      </c>
    </row>
    <row r="167" spans="1:16" x14ac:dyDescent="0.25">
      <c r="A167" s="15" t="s">
        <v>37</v>
      </c>
      <c r="B167" s="4">
        <f>IFERROR(SUMIFS(tblDaily[Remaining],tblDaily[EntryDate],DATE(2026,10,31),tblDaily[WardCode],"BF"),0)</f>
        <v>0</v>
      </c>
      <c r="C167" s="4">
        <f>IFERROR(INDEX(tblWardConfig[BedComplement],MATCH("BF",tblWardConfig[WardCode],0)),0)</f>
        <v>20</v>
      </c>
      <c r="D167" s="4">
        <f>SUMIFS(tblDaily[Admissions],tblDaily[Month],11,tblDaily[WardCode],"BF") - SUMIFS(tblDaily[DeathsUnder24Hrs],tblDaily[Month],11,tblDaily[WardCode],"BF")</f>
        <v>0</v>
      </c>
      <c r="E167" s="4">
        <f>SUMIFS(tblDaily[Discharges],tblDaily[Month],11,tblDaily[WardCode],"BF")</f>
        <v>0</v>
      </c>
      <c r="F167" s="4">
        <f>SUMIFS(tblDaily[Deaths],tblDaily[Month],11,tblDaily[WardCode],"BF")</f>
        <v>0</v>
      </c>
      <c r="G167" s="4">
        <f>SUMIFS(tblDaily[DeathsUnder24Hrs],tblDaily[Month],11,tblDaily[WardCode],"BF")</f>
        <v>0</v>
      </c>
      <c r="H167" s="4">
        <f>SUMIFS(tblDaily[Remaining],tblDaily[Month],11,tblDaily[WardCode],"BF")</f>
        <v>0</v>
      </c>
      <c r="I167" s="4">
        <f>SUMIFS(tblDaily[TransfersIn],tblDaily[Month],11,tblDaily[WardCode],"BF")</f>
        <v>0</v>
      </c>
      <c r="J167" s="4">
        <f>SUMIFS(tblDaily[TransfersOut],tblDaily[Month],11,tblDaily[WardCode],"BF")</f>
        <v>0</v>
      </c>
      <c r="K167" s="16">
        <f t="shared" si="80"/>
        <v>0</v>
      </c>
      <c r="L167" s="16">
        <f t="shared" si="81"/>
        <v>0</v>
      </c>
      <c r="M167" s="16">
        <f t="shared" si="82"/>
        <v>0</v>
      </c>
      <c r="N167" s="16">
        <f t="shared" si="83"/>
        <v>0</v>
      </c>
      <c r="O167" s="16">
        <f t="shared" si="84"/>
        <v>0</v>
      </c>
      <c r="P167" s="16">
        <f t="shared" si="85"/>
        <v>0</v>
      </c>
    </row>
    <row r="168" spans="1:16" x14ac:dyDescent="0.25">
      <c r="A168" s="15" t="s">
        <v>39</v>
      </c>
      <c r="B168" s="4">
        <f>IFERROR(SUMIFS(tblDaily[Remaining],tblDaily[EntryDate],DATE(2026,10,31),tblDaily[WardCode],"BG"),0)</f>
        <v>0</v>
      </c>
      <c r="C168" s="4">
        <f>IFERROR(INDEX(tblWardConfig[BedComplement],MATCH("BG",tblWardConfig[WardCode],0)),0)</f>
        <v>14</v>
      </c>
      <c r="D168" s="4">
        <f>SUMIFS(tblDaily[Admissions],tblDaily[Month],11,tblDaily[WardCode],"BG") - SUMIFS(tblDaily[DeathsUnder24Hrs],tblDaily[Month],11,tblDaily[WardCode],"BG")</f>
        <v>0</v>
      </c>
      <c r="E168" s="4">
        <f>SUMIFS(tblDaily[Discharges],tblDaily[Month],11,tblDaily[WardCode],"BG")</f>
        <v>0</v>
      </c>
      <c r="F168" s="4">
        <f>SUMIFS(tblDaily[Deaths],tblDaily[Month],11,tblDaily[WardCode],"BG")</f>
        <v>0</v>
      </c>
      <c r="G168" s="4">
        <f>SUMIFS(tblDaily[DeathsUnder24Hrs],tblDaily[Month],11,tblDaily[WardCode],"BG")</f>
        <v>0</v>
      </c>
      <c r="H168" s="4">
        <f>SUMIFS(tblDaily[Remaining],tblDaily[Month],11,tblDaily[WardCode],"BG")</f>
        <v>0</v>
      </c>
      <c r="I168" s="4">
        <f>SUMIFS(tblDaily[TransfersIn],tblDaily[Month],11,tblDaily[WardCode],"BG")</f>
        <v>0</v>
      </c>
      <c r="J168" s="4">
        <f>SUMIFS(tblDaily[TransfersOut],tblDaily[Month],11,tblDaily[WardCode],"BG")</f>
        <v>0</v>
      </c>
      <c r="K168" s="16">
        <f t="shared" si="80"/>
        <v>0</v>
      </c>
      <c r="L168" s="16">
        <f t="shared" si="81"/>
        <v>0</v>
      </c>
      <c r="M168" s="16">
        <f t="shared" si="82"/>
        <v>0</v>
      </c>
      <c r="N168" s="16">
        <f t="shared" si="83"/>
        <v>0</v>
      </c>
      <c r="O168" s="16">
        <f t="shared" si="84"/>
        <v>0</v>
      </c>
      <c r="P168" s="16">
        <f t="shared" si="85"/>
        <v>0</v>
      </c>
    </row>
    <row r="169" spans="1:16" x14ac:dyDescent="0.25">
      <c r="A169" s="15" t="s">
        <v>41</v>
      </c>
      <c r="B169" s="4">
        <f>IFERROR(SUMIFS(tblDaily[Remaining],tblDaily[EntryDate],DATE(2026,10,31),tblDaily[WardCode],"BH"),0)</f>
        <v>0</v>
      </c>
      <c r="C169" s="4">
        <f>IFERROR(INDEX(tblWardConfig[BedComplement],MATCH("BH",tblWardConfig[WardCode],0)),0)</f>
        <v>22</v>
      </c>
      <c r="D169" s="4">
        <f>SUMIFS(tblDaily[Admissions],tblDaily[Month],11,tblDaily[WardCode],"BH") - SUMIFS(tblDaily[DeathsUnder24Hrs],tblDaily[Month],11,tblDaily[WardCode],"BH")</f>
        <v>0</v>
      </c>
      <c r="E169" s="4">
        <f>SUMIFS(tblDaily[Discharges],tblDaily[Month],11,tblDaily[WardCode],"BH")</f>
        <v>0</v>
      </c>
      <c r="F169" s="4">
        <f>SUMIFS(tblDaily[Deaths],tblDaily[Month],11,tblDaily[WardCode],"BH")</f>
        <v>0</v>
      </c>
      <c r="G169" s="4">
        <f>SUMIFS(tblDaily[DeathsUnder24Hrs],tblDaily[Month],11,tblDaily[WardCode],"BH")</f>
        <v>0</v>
      </c>
      <c r="H169" s="4">
        <f>SUMIFS(tblDaily[Remaining],tblDaily[Month],11,tblDaily[WardCode],"BH")</f>
        <v>0</v>
      </c>
      <c r="I169" s="4">
        <f>SUMIFS(tblDaily[TransfersIn],tblDaily[Month],11,tblDaily[WardCode],"BH")</f>
        <v>0</v>
      </c>
      <c r="J169" s="4">
        <f>SUMIFS(tblDaily[TransfersOut],tblDaily[Month],11,tblDaily[WardCode],"BH")</f>
        <v>0</v>
      </c>
      <c r="K169" s="16">
        <f t="shared" si="80"/>
        <v>0</v>
      </c>
      <c r="L169" s="16">
        <f t="shared" si="81"/>
        <v>0</v>
      </c>
      <c r="M169" s="16">
        <f t="shared" si="82"/>
        <v>0</v>
      </c>
      <c r="N169" s="16">
        <f t="shared" si="83"/>
        <v>0</v>
      </c>
      <c r="O169" s="16">
        <f t="shared" si="84"/>
        <v>0</v>
      </c>
      <c r="P169" s="16">
        <f t="shared" si="85"/>
        <v>0</v>
      </c>
    </row>
    <row r="170" spans="1:16" x14ac:dyDescent="0.25">
      <c r="A170" s="15" t="s">
        <v>43</v>
      </c>
      <c r="B170" s="4">
        <f>IFERROR(SUMIFS(tblDaily[Remaining],tblDaily[EntryDate],DATE(2026,10,31),tblDaily[WardCode],"NICU"),0)</f>
        <v>0</v>
      </c>
      <c r="C170" s="4">
        <f>IFERROR(INDEX(tblWardConfig[BedComplement],MATCH("NICU",tblWardConfig[WardCode],0)),0)</f>
        <v>15</v>
      </c>
      <c r="D170" s="4">
        <f>SUMIFS(tblDaily[Admissions],tblDaily[Month],11,tblDaily[WardCode],"NICU") - SUMIFS(tblDaily[DeathsUnder24Hrs],tblDaily[Month],11,tblDaily[WardCode],"NICU")</f>
        <v>0</v>
      </c>
      <c r="E170" s="4">
        <f>SUMIFS(tblDaily[Discharges],tblDaily[Month],11,tblDaily[WardCode],"NICU")</f>
        <v>0</v>
      </c>
      <c r="F170" s="4">
        <f>SUMIFS(tblDaily[Deaths],tblDaily[Month],11,tblDaily[WardCode],"NICU")</f>
        <v>0</v>
      </c>
      <c r="G170" s="4">
        <f>SUMIFS(tblDaily[DeathsUnder24Hrs],tblDaily[Month],11,tblDaily[WardCode],"NICU")</f>
        <v>0</v>
      </c>
      <c r="H170" s="4">
        <f>SUMIFS(tblDaily[Remaining],tblDaily[Month],11,tblDaily[WardCode],"NICU")</f>
        <v>0</v>
      </c>
      <c r="I170" s="4">
        <f>SUMIFS(tblDaily[TransfersIn],tblDaily[Month],11,tblDaily[WardCode],"NICU")</f>
        <v>0</v>
      </c>
      <c r="J170" s="4">
        <f>SUMIFS(tblDaily[TransfersOut],tblDaily[Month],11,tblDaily[WardCode],"NICU")</f>
        <v>0</v>
      </c>
      <c r="K170" s="16">
        <f t="shared" si="80"/>
        <v>0</v>
      </c>
      <c r="L170" s="16">
        <f t="shared" si="81"/>
        <v>0</v>
      </c>
      <c r="M170" s="16">
        <f t="shared" si="82"/>
        <v>0</v>
      </c>
      <c r="N170" s="16">
        <f t="shared" si="83"/>
        <v>0</v>
      </c>
      <c r="O170" s="16">
        <f t="shared" si="84"/>
        <v>0</v>
      </c>
      <c r="P170" s="16">
        <f t="shared" si="85"/>
        <v>0</v>
      </c>
    </row>
    <row r="171" spans="1:16" x14ac:dyDescent="0.25">
      <c r="A171" s="15" t="s">
        <v>45</v>
      </c>
      <c r="B171" s="4">
        <f>IFERROR(SUMIFS(tblDaily[Remaining],tblDaily[EntryDate],DATE(2026,10,31),tblDaily[WardCode],"MAE"),0)</f>
        <v>0</v>
      </c>
      <c r="C171" s="4">
        <f>IFERROR(INDEX(tblWardConfig[BedComplement],MATCH("MAE",tblWardConfig[WardCode],0)),0)</f>
        <v>10</v>
      </c>
      <c r="D171" s="4">
        <f>SUMIFS(tblDaily[Admissions],tblDaily[Month],11,tblDaily[WardCode],"MAE") - SUMIFS(tblDaily[DeathsUnder24Hrs],tblDaily[Month],11,tblDaily[WardCode],"MAE")</f>
        <v>0</v>
      </c>
      <c r="E171" s="4">
        <f>SUMIFS(tblDaily[Discharges],tblDaily[Month],11,tblDaily[WardCode],"MAE")</f>
        <v>0</v>
      </c>
      <c r="F171" s="4">
        <f>SUMIFS(tblDaily[Deaths],tblDaily[Month],11,tblDaily[WardCode],"MAE")</f>
        <v>0</v>
      </c>
      <c r="G171" s="4">
        <f>SUMIFS(tblDaily[DeathsUnder24Hrs],tblDaily[Month],11,tblDaily[WardCode],"MAE")</f>
        <v>0</v>
      </c>
      <c r="H171" s="4">
        <f>SUMIFS(tblDaily[Remaining],tblDaily[Month],11,tblDaily[WardCode],"MAE")</f>
        <v>0</v>
      </c>
      <c r="I171" s="4">
        <f>SUMIFS(tblDaily[TransfersIn],tblDaily[Month],11,tblDaily[WardCode],"MAE")</f>
        <v>0</v>
      </c>
      <c r="J171" s="4">
        <f>SUMIFS(tblDaily[TransfersOut],tblDaily[Month],11,tblDaily[WardCode],"MAE")</f>
        <v>0</v>
      </c>
      <c r="K171" s="16">
        <f t="shared" si="80"/>
        <v>0</v>
      </c>
      <c r="L171" s="16">
        <f t="shared" si="81"/>
        <v>0</v>
      </c>
      <c r="M171" s="16">
        <f t="shared" si="82"/>
        <v>0</v>
      </c>
      <c r="N171" s="16">
        <f t="shared" si="83"/>
        <v>0</v>
      </c>
      <c r="O171" s="16">
        <f t="shared" si="84"/>
        <v>0</v>
      </c>
      <c r="P171" s="16">
        <f t="shared" si="85"/>
        <v>0</v>
      </c>
    </row>
    <row r="172" spans="1:16" x14ac:dyDescent="0.25">
      <c r="A172" s="15" t="s">
        <v>47</v>
      </c>
      <c r="B172" s="4">
        <f>IFERROR(SUMIFS(tblDaily[Remaining],tblDaily[EntryDate],DATE(2026,10,31),tblDaily[WardCode],"FAE"),0)</f>
        <v>0</v>
      </c>
      <c r="C172" s="4">
        <f>IFERROR(INDEX(tblWardConfig[BedComplement],MATCH("FAE",tblWardConfig[WardCode],0)),0)</f>
        <v>10</v>
      </c>
      <c r="D172" s="4">
        <f>SUMIFS(tblDaily[Admissions],tblDaily[Month],11,tblDaily[WardCode],"FAE") - SUMIFS(tblDaily[DeathsUnder24Hrs],tblDaily[Month],11,tblDaily[WardCode],"FAE")</f>
        <v>0</v>
      </c>
      <c r="E172" s="4">
        <f>SUMIFS(tblDaily[Discharges],tblDaily[Month],11,tblDaily[WardCode],"FAE")</f>
        <v>0</v>
      </c>
      <c r="F172" s="4">
        <f>SUMIFS(tblDaily[Deaths],tblDaily[Month],11,tblDaily[WardCode],"FAE")</f>
        <v>0</v>
      </c>
      <c r="G172" s="4">
        <f>SUMIFS(tblDaily[DeathsUnder24Hrs],tblDaily[Month],11,tblDaily[WardCode],"FAE")</f>
        <v>0</v>
      </c>
      <c r="H172" s="4">
        <f>SUMIFS(tblDaily[Remaining],tblDaily[Month],11,tblDaily[WardCode],"FAE")</f>
        <v>0</v>
      </c>
      <c r="I172" s="4">
        <f>SUMIFS(tblDaily[TransfersIn],tblDaily[Month],11,tblDaily[WardCode],"FAE")</f>
        <v>0</v>
      </c>
      <c r="J172" s="4">
        <f>SUMIFS(tblDaily[TransfersOut],tblDaily[Month],11,tblDaily[WardCode],"FAE")</f>
        <v>0</v>
      </c>
      <c r="K172" s="16">
        <f t="shared" si="80"/>
        <v>0</v>
      </c>
      <c r="L172" s="16">
        <f t="shared" si="81"/>
        <v>0</v>
      </c>
      <c r="M172" s="16">
        <f t="shared" si="82"/>
        <v>0</v>
      </c>
      <c r="N172" s="16">
        <f t="shared" si="83"/>
        <v>0</v>
      </c>
      <c r="O172" s="16">
        <f t="shared" si="84"/>
        <v>0</v>
      </c>
      <c r="P172" s="16">
        <f t="shared" si="85"/>
        <v>0</v>
      </c>
    </row>
    <row r="173" spans="1:16" x14ac:dyDescent="0.25">
      <c r="A173" s="17" t="s">
        <v>144</v>
      </c>
      <c r="B173" s="15">
        <f>SUMIFS(tblDaily[Remaining],tblDaily[EntryDate],DATE(2026,11,30),tblDaily[WardCode],"MAE")+SUMIFS(tblDaily[Remaining],tblDaily[EntryDate],DATE(2026,11,30),tblDaily[WardCode],"FAE")</f>
        <v>0</v>
      </c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</row>
    <row r="174" spans="1:16" x14ac:dyDescent="0.25">
      <c r="A174" s="9" t="s">
        <v>112</v>
      </c>
      <c r="B174" s="9">
        <f t="shared" ref="B174:J174" si="86">SUM(B164:B172)</f>
        <v>0</v>
      </c>
      <c r="C174" s="9">
        <f t="shared" si="86"/>
        <v>178</v>
      </c>
      <c r="D174" s="9">
        <f t="shared" si="86"/>
        <v>0</v>
      </c>
      <c r="E174" s="9">
        <f t="shared" si="86"/>
        <v>0</v>
      </c>
      <c r="F174" s="9">
        <f t="shared" si="86"/>
        <v>0</v>
      </c>
      <c r="G174" s="9">
        <f t="shared" si="86"/>
        <v>0</v>
      </c>
      <c r="H174" s="9">
        <f t="shared" si="86"/>
        <v>0</v>
      </c>
      <c r="I174" s="9">
        <f t="shared" si="86"/>
        <v>0</v>
      </c>
      <c r="J174" s="9">
        <f t="shared" si="86"/>
        <v>0</v>
      </c>
      <c r="K174" s="19">
        <f>IFERROR(H174/30,0)</f>
        <v>0</v>
      </c>
      <c r="L174" s="19">
        <f>IFERROR(H174/(E174+F174),0)</f>
        <v>0</v>
      </c>
      <c r="M174" s="19">
        <f>IFERROR((C174*30-H174)/(E174+F174),0)</f>
        <v>0</v>
      </c>
      <c r="N174" s="19">
        <f>IFERROR((E174+F174)/C174,0)</f>
        <v>0</v>
      </c>
      <c r="O174" s="19">
        <f>IFERROR((H174/(C174*30))*100,0)</f>
        <v>0</v>
      </c>
      <c r="P174" s="19">
        <f>IFERROR((F174/(D174+B174))*100,0)</f>
        <v>0</v>
      </c>
    </row>
    <row r="175" spans="1:16" x14ac:dyDescent="0.25">
      <c r="A175" s="20" t="s">
        <v>145</v>
      </c>
      <c r="B175" s="20">
        <f t="shared" ref="B175:J175" si="87">B171+B172</f>
        <v>0</v>
      </c>
      <c r="C175" s="20">
        <f t="shared" si="87"/>
        <v>20</v>
      </c>
      <c r="D175" s="20">
        <f t="shared" si="87"/>
        <v>0</v>
      </c>
      <c r="E175" s="20">
        <f t="shared" si="87"/>
        <v>0</v>
      </c>
      <c r="F175" s="20">
        <f t="shared" si="87"/>
        <v>0</v>
      </c>
      <c r="G175" s="20">
        <f t="shared" si="87"/>
        <v>0</v>
      </c>
      <c r="H175" s="20">
        <f t="shared" si="87"/>
        <v>0</v>
      </c>
      <c r="I175" s="20">
        <f t="shared" si="87"/>
        <v>0</v>
      </c>
      <c r="J175" s="20">
        <f t="shared" si="87"/>
        <v>0</v>
      </c>
      <c r="K175" s="21">
        <f>IFERROR(H175/30,0)</f>
        <v>0</v>
      </c>
      <c r="L175" s="21">
        <f>IFERROR(H175/(E175+F175),0)</f>
        <v>0</v>
      </c>
      <c r="M175" s="21">
        <f>IFERROR((C175*30-H175)/(E175+F175),0)</f>
        <v>0</v>
      </c>
      <c r="N175" s="21">
        <f>IFERROR((E175+F175)/C175,0)</f>
        <v>0</v>
      </c>
      <c r="O175" s="21">
        <f>IFERROR((H175/(C175*30))*100,0)</f>
        <v>0</v>
      </c>
      <c r="P175" s="21">
        <f>IFERROR((F175/(D175+B175))*100,0)</f>
        <v>0</v>
      </c>
    </row>
    <row r="177" spans="1:16" ht="18.75" x14ac:dyDescent="0.25">
      <c r="A177" s="28" t="s">
        <v>0</v>
      </c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</row>
    <row r="178" spans="1:16" ht="15.75" x14ac:dyDescent="0.25">
      <c r="A178" s="35" t="s">
        <v>156</v>
      </c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</row>
    <row r="179" spans="1:16" ht="38.25" x14ac:dyDescent="0.25">
      <c r="A179" s="8" t="s">
        <v>132</v>
      </c>
      <c r="B179" s="8" t="s">
        <v>133</v>
      </c>
      <c r="C179" s="8" t="s">
        <v>134</v>
      </c>
      <c r="D179" s="8" t="s">
        <v>74</v>
      </c>
      <c r="E179" s="8" t="s">
        <v>75</v>
      </c>
      <c r="F179" s="8" t="s">
        <v>76</v>
      </c>
      <c r="G179" s="8" t="s">
        <v>108</v>
      </c>
      <c r="H179" s="8" t="s">
        <v>135</v>
      </c>
      <c r="I179" s="8" t="s">
        <v>136</v>
      </c>
      <c r="J179" s="8" t="s">
        <v>137</v>
      </c>
      <c r="K179" s="8" t="s">
        <v>138</v>
      </c>
      <c r="L179" s="8" t="s">
        <v>139</v>
      </c>
      <c r="M179" s="8" t="s">
        <v>140</v>
      </c>
      <c r="N179" s="8" t="s">
        <v>141</v>
      </c>
      <c r="O179" s="8" t="s">
        <v>142</v>
      </c>
      <c r="P179" s="8" t="s">
        <v>143</v>
      </c>
    </row>
    <row r="180" spans="1:16" x14ac:dyDescent="0.25">
      <c r="A180" s="15" t="s">
        <v>31</v>
      </c>
      <c r="B180" s="4">
        <f>IFERROR(SUMIFS(tblDaily[Remaining],tblDaily[EntryDate],DATE(2026,11,30),tblDaily[WardCode],"MW"),0)</f>
        <v>0</v>
      </c>
      <c r="C180" s="4">
        <f>IFERROR(INDEX(tblWardConfig[BedComplement],MATCH("MW",tblWardConfig[WardCode],0)),0)</f>
        <v>32</v>
      </c>
      <c r="D180" s="4">
        <f>SUMIFS(tblDaily[Admissions],tblDaily[Month],12,tblDaily[WardCode],"MW") - SUMIFS(tblDaily[DeathsUnder24Hrs],tblDaily[Month],12,tblDaily[WardCode],"MW")</f>
        <v>0</v>
      </c>
      <c r="E180" s="4">
        <f>SUMIFS(tblDaily[Discharges],tblDaily[Month],12,tblDaily[WardCode],"MW")</f>
        <v>0</v>
      </c>
      <c r="F180" s="4">
        <f>SUMIFS(tblDaily[Deaths],tblDaily[Month],12,tblDaily[WardCode],"MW")</f>
        <v>0</v>
      </c>
      <c r="G180" s="4">
        <f>SUMIFS(tblDaily[DeathsUnder24Hrs],tblDaily[Month],12,tblDaily[WardCode],"MW")</f>
        <v>0</v>
      </c>
      <c r="H180" s="4">
        <f>SUMIFS(tblDaily[Remaining],tblDaily[Month],12,tblDaily[WardCode],"MW")</f>
        <v>0</v>
      </c>
      <c r="I180" s="4">
        <f>SUMIFS(tblDaily[TransfersIn],tblDaily[Month],12,tblDaily[WardCode],"MW")</f>
        <v>0</v>
      </c>
      <c r="J180" s="4">
        <f>SUMIFS(tblDaily[TransfersOut],tblDaily[Month],12,tblDaily[WardCode],"MW")</f>
        <v>0</v>
      </c>
      <c r="K180" s="16">
        <f t="shared" ref="K180:K188" si="88">IFERROR(H180/31,0)</f>
        <v>0</v>
      </c>
      <c r="L180" s="16">
        <f t="shared" ref="L180:L188" si="89">IFERROR(H180/(E180+F180),0)</f>
        <v>0</v>
      </c>
      <c r="M180" s="16">
        <f t="shared" ref="M180:M188" si="90">IFERROR((C180*31-H180)/(E180+F180),0)</f>
        <v>0</v>
      </c>
      <c r="N180" s="16">
        <f t="shared" ref="N180:N188" si="91">IFERROR((E180+F180)/C180,0)</f>
        <v>0</v>
      </c>
      <c r="O180" s="16">
        <f t="shared" ref="O180:O188" si="92">IFERROR((H180/(C180*31))*100,0)</f>
        <v>0</v>
      </c>
      <c r="P180" s="16">
        <f t="shared" ref="P180:P188" si="93">IFERROR((F180/(D180+B180))*100,0)</f>
        <v>0</v>
      </c>
    </row>
    <row r="181" spans="1:16" x14ac:dyDescent="0.25">
      <c r="A181" s="15" t="s">
        <v>33</v>
      </c>
      <c r="B181" s="4">
        <f>IFERROR(SUMIFS(tblDaily[Remaining],tblDaily[EntryDate],DATE(2026,11,30),tblDaily[WardCode],"FW"),0)</f>
        <v>0</v>
      </c>
      <c r="C181" s="4">
        <f>IFERROR(INDEX(tblWardConfig[BedComplement],MATCH("FW",tblWardConfig[WardCode],0)),0)</f>
        <v>28</v>
      </c>
      <c r="D181" s="4">
        <f>SUMIFS(tblDaily[Admissions],tblDaily[Month],12,tblDaily[WardCode],"FW") - SUMIFS(tblDaily[DeathsUnder24Hrs],tblDaily[Month],12,tblDaily[WardCode],"FW")</f>
        <v>0</v>
      </c>
      <c r="E181" s="4">
        <f>SUMIFS(tblDaily[Discharges],tblDaily[Month],12,tblDaily[WardCode],"FW")</f>
        <v>0</v>
      </c>
      <c r="F181" s="4">
        <f>SUMIFS(tblDaily[Deaths],tblDaily[Month],12,tblDaily[WardCode],"FW")</f>
        <v>0</v>
      </c>
      <c r="G181" s="4">
        <f>SUMIFS(tblDaily[DeathsUnder24Hrs],tblDaily[Month],12,tblDaily[WardCode],"FW")</f>
        <v>0</v>
      </c>
      <c r="H181" s="4">
        <f>SUMIFS(tblDaily[Remaining],tblDaily[Month],12,tblDaily[WardCode],"FW")</f>
        <v>0</v>
      </c>
      <c r="I181" s="4">
        <f>SUMIFS(tblDaily[TransfersIn],tblDaily[Month],12,tblDaily[WardCode],"FW")</f>
        <v>0</v>
      </c>
      <c r="J181" s="4">
        <f>SUMIFS(tblDaily[TransfersOut],tblDaily[Month],12,tblDaily[WardCode],"FW")</f>
        <v>0</v>
      </c>
      <c r="K181" s="16">
        <f t="shared" si="88"/>
        <v>0</v>
      </c>
      <c r="L181" s="16">
        <f t="shared" si="89"/>
        <v>0</v>
      </c>
      <c r="M181" s="16">
        <f t="shared" si="90"/>
        <v>0</v>
      </c>
      <c r="N181" s="16">
        <f t="shared" si="91"/>
        <v>0</v>
      </c>
      <c r="O181" s="16">
        <f t="shared" si="92"/>
        <v>0</v>
      </c>
      <c r="P181" s="16">
        <f t="shared" si="93"/>
        <v>0</v>
      </c>
    </row>
    <row r="182" spans="1:16" x14ac:dyDescent="0.25">
      <c r="A182" s="15" t="s">
        <v>35</v>
      </c>
      <c r="B182" s="4">
        <f>IFERROR(SUMIFS(tblDaily[Remaining],tblDaily[EntryDate],DATE(2026,11,30),tblDaily[WardCode],"CW"),0)</f>
        <v>0</v>
      </c>
      <c r="C182" s="4">
        <f>IFERROR(INDEX(tblWardConfig[BedComplement],MATCH("CW",tblWardConfig[WardCode],0)),0)</f>
        <v>27</v>
      </c>
      <c r="D182" s="4">
        <f>SUMIFS(tblDaily[Admissions],tblDaily[Month],12,tblDaily[WardCode],"CW") - SUMIFS(tblDaily[DeathsUnder24Hrs],tblDaily[Month],12,tblDaily[WardCode],"CW")</f>
        <v>0</v>
      </c>
      <c r="E182" s="4">
        <f>SUMIFS(tblDaily[Discharges],tblDaily[Month],12,tblDaily[WardCode],"CW")</f>
        <v>0</v>
      </c>
      <c r="F182" s="4">
        <f>SUMIFS(tblDaily[Deaths],tblDaily[Month],12,tblDaily[WardCode],"CW")</f>
        <v>0</v>
      </c>
      <c r="G182" s="4">
        <f>SUMIFS(tblDaily[DeathsUnder24Hrs],tblDaily[Month],12,tblDaily[WardCode],"CW")</f>
        <v>0</v>
      </c>
      <c r="H182" s="4">
        <f>SUMIFS(tblDaily[Remaining],tblDaily[Month],12,tblDaily[WardCode],"CW")</f>
        <v>0</v>
      </c>
      <c r="I182" s="4">
        <f>SUMIFS(tblDaily[TransfersIn],tblDaily[Month],12,tblDaily[WardCode],"CW")</f>
        <v>0</v>
      </c>
      <c r="J182" s="4">
        <f>SUMIFS(tblDaily[TransfersOut],tblDaily[Month],12,tblDaily[WardCode],"CW")</f>
        <v>0</v>
      </c>
      <c r="K182" s="16">
        <f t="shared" si="88"/>
        <v>0</v>
      </c>
      <c r="L182" s="16">
        <f t="shared" si="89"/>
        <v>0</v>
      </c>
      <c r="M182" s="16">
        <f t="shared" si="90"/>
        <v>0</v>
      </c>
      <c r="N182" s="16">
        <f t="shared" si="91"/>
        <v>0</v>
      </c>
      <c r="O182" s="16">
        <f t="shared" si="92"/>
        <v>0</v>
      </c>
      <c r="P182" s="16">
        <f t="shared" si="93"/>
        <v>0</v>
      </c>
    </row>
    <row r="183" spans="1:16" x14ac:dyDescent="0.25">
      <c r="A183" s="15" t="s">
        <v>37</v>
      </c>
      <c r="B183" s="4">
        <f>IFERROR(SUMIFS(tblDaily[Remaining],tblDaily[EntryDate],DATE(2026,11,30),tblDaily[WardCode],"BF"),0)</f>
        <v>0</v>
      </c>
      <c r="C183" s="4">
        <f>IFERROR(INDEX(tblWardConfig[BedComplement],MATCH("BF",tblWardConfig[WardCode],0)),0)</f>
        <v>20</v>
      </c>
      <c r="D183" s="4">
        <f>SUMIFS(tblDaily[Admissions],tblDaily[Month],12,tblDaily[WardCode],"BF") - SUMIFS(tblDaily[DeathsUnder24Hrs],tblDaily[Month],12,tblDaily[WardCode],"BF")</f>
        <v>0</v>
      </c>
      <c r="E183" s="4">
        <f>SUMIFS(tblDaily[Discharges],tblDaily[Month],12,tblDaily[WardCode],"BF")</f>
        <v>0</v>
      </c>
      <c r="F183" s="4">
        <f>SUMIFS(tblDaily[Deaths],tblDaily[Month],12,tblDaily[WardCode],"BF")</f>
        <v>0</v>
      </c>
      <c r="G183" s="4">
        <f>SUMIFS(tblDaily[DeathsUnder24Hrs],tblDaily[Month],12,tblDaily[WardCode],"BF")</f>
        <v>0</v>
      </c>
      <c r="H183" s="4">
        <f>SUMIFS(tblDaily[Remaining],tblDaily[Month],12,tblDaily[WardCode],"BF")</f>
        <v>0</v>
      </c>
      <c r="I183" s="4">
        <f>SUMIFS(tblDaily[TransfersIn],tblDaily[Month],12,tblDaily[WardCode],"BF")</f>
        <v>0</v>
      </c>
      <c r="J183" s="4">
        <f>SUMIFS(tblDaily[TransfersOut],tblDaily[Month],12,tblDaily[WardCode],"BF")</f>
        <v>0</v>
      </c>
      <c r="K183" s="16">
        <f t="shared" si="88"/>
        <v>0</v>
      </c>
      <c r="L183" s="16">
        <f t="shared" si="89"/>
        <v>0</v>
      </c>
      <c r="M183" s="16">
        <f t="shared" si="90"/>
        <v>0</v>
      </c>
      <c r="N183" s="16">
        <f t="shared" si="91"/>
        <v>0</v>
      </c>
      <c r="O183" s="16">
        <f t="shared" si="92"/>
        <v>0</v>
      </c>
      <c r="P183" s="16">
        <f t="shared" si="93"/>
        <v>0</v>
      </c>
    </row>
    <row r="184" spans="1:16" x14ac:dyDescent="0.25">
      <c r="A184" s="15" t="s">
        <v>39</v>
      </c>
      <c r="B184" s="4">
        <f>IFERROR(SUMIFS(tblDaily[Remaining],tblDaily[EntryDate],DATE(2026,11,30),tblDaily[WardCode],"BG"),0)</f>
        <v>0</v>
      </c>
      <c r="C184" s="4">
        <f>IFERROR(INDEX(tblWardConfig[BedComplement],MATCH("BG",tblWardConfig[WardCode],0)),0)</f>
        <v>14</v>
      </c>
      <c r="D184" s="4">
        <f>SUMIFS(tblDaily[Admissions],tblDaily[Month],12,tblDaily[WardCode],"BG") - SUMIFS(tblDaily[DeathsUnder24Hrs],tblDaily[Month],12,tblDaily[WardCode],"BG")</f>
        <v>0</v>
      </c>
      <c r="E184" s="4">
        <f>SUMIFS(tblDaily[Discharges],tblDaily[Month],12,tblDaily[WardCode],"BG")</f>
        <v>0</v>
      </c>
      <c r="F184" s="4">
        <f>SUMIFS(tblDaily[Deaths],tblDaily[Month],12,tblDaily[WardCode],"BG")</f>
        <v>0</v>
      </c>
      <c r="G184" s="4">
        <f>SUMIFS(tblDaily[DeathsUnder24Hrs],tblDaily[Month],12,tblDaily[WardCode],"BG")</f>
        <v>0</v>
      </c>
      <c r="H184" s="4">
        <f>SUMIFS(tblDaily[Remaining],tblDaily[Month],12,tblDaily[WardCode],"BG")</f>
        <v>0</v>
      </c>
      <c r="I184" s="4">
        <f>SUMIFS(tblDaily[TransfersIn],tblDaily[Month],12,tblDaily[WardCode],"BG")</f>
        <v>0</v>
      </c>
      <c r="J184" s="4">
        <f>SUMIFS(tblDaily[TransfersOut],tblDaily[Month],12,tblDaily[WardCode],"BG")</f>
        <v>0</v>
      </c>
      <c r="K184" s="16">
        <f t="shared" si="88"/>
        <v>0</v>
      </c>
      <c r="L184" s="16">
        <f t="shared" si="89"/>
        <v>0</v>
      </c>
      <c r="M184" s="16">
        <f t="shared" si="90"/>
        <v>0</v>
      </c>
      <c r="N184" s="16">
        <f t="shared" si="91"/>
        <v>0</v>
      </c>
      <c r="O184" s="16">
        <f t="shared" si="92"/>
        <v>0</v>
      </c>
      <c r="P184" s="16">
        <f t="shared" si="93"/>
        <v>0</v>
      </c>
    </row>
    <row r="185" spans="1:16" x14ac:dyDescent="0.25">
      <c r="A185" s="15" t="s">
        <v>41</v>
      </c>
      <c r="B185" s="4">
        <f>IFERROR(SUMIFS(tblDaily[Remaining],tblDaily[EntryDate],DATE(2026,11,30),tblDaily[WardCode],"BH"),0)</f>
        <v>0</v>
      </c>
      <c r="C185" s="4">
        <f>IFERROR(INDEX(tblWardConfig[BedComplement],MATCH("BH",tblWardConfig[WardCode],0)),0)</f>
        <v>22</v>
      </c>
      <c r="D185" s="4">
        <f>SUMIFS(tblDaily[Admissions],tblDaily[Month],12,tblDaily[WardCode],"BH") - SUMIFS(tblDaily[DeathsUnder24Hrs],tblDaily[Month],12,tblDaily[WardCode],"BH")</f>
        <v>0</v>
      </c>
      <c r="E185" s="4">
        <f>SUMIFS(tblDaily[Discharges],tblDaily[Month],12,tblDaily[WardCode],"BH")</f>
        <v>0</v>
      </c>
      <c r="F185" s="4">
        <f>SUMIFS(tblDaily[Deaths],tblDaily[Month],12,tblDaily[WardCode],"BH")</f>
        <v>0</v>
      </c>
      <c r="G185" s="4">
        <f>SUMIFS(tblDaily[DeathsUnder24Hrs],tblDaily[Month],12,tblDaily[WardCode],"BH")</f>
        <v>0</v>
      </c>
      <c r="H185" s="4">
        <f>SUMIFS(tblDaily[Remaining],tblDaily[Month],12,tblDaily[WardCode],"BH")</f>
        <v>0</v>
      </c>
      <c r="I185" s="4">
        <f>SUMIFS(tblDaily[TransfersIn],tblDaily[Month],12,tblDaily[WardCode],"BH")</f>
        <v>0</v>
      </c>
      <c r="J185" s="4">
        <f>SUMIFS(tblDaily[TransfersOut],tblDaily[Month],12,tblDaily[WardCode],"BH")</f>
        <v>0</v>
      </c>
      <c r="K185" s="16">
        <f t="shared" si="88"/>
        <v>0</v>
      </c>
      <c r="L185" s="16">
        <f t="shared" si="89"/>
        <v>0</v>
      </c>
      <c r="M185" s="16">
        <f t="shared" si="90"/>
        <v>0</v>
      </c>
      <c r="N185" s="16">
        <f t="shared" si="91"/>
        <v>0</v>
      </c>
      <c r="O185" s="16">
        <f t="shared" si="92"/>
        <v>0</v>
      </c>
      <c r="P185" s="16">
        <f t="shared" si="93"/>
        <v>0</v>
      </c>
    </row>
    <row r="186" spans="1:16" x14ac:dyDescent="0.25">
      <c r="A186" s="15" t="s">
        <v>43</v>
      </c>
      <c r="B186" s="4">
        <f>IFERROR(SUMIFS(tblDaily[Remaining],tblDaily[EntryDate],DATE(2026,11,30),tblDaily[WardCode],"NICU"),0)</f>
        <v>0</v>
      </c>
      <c r="C186" s="4">
        <f>IFERROR(INDEX(tblWardConfig[BedComplement],MATCH("NICU",tblWardConfig[WardCode],0)),0)</f>
        <v>15</v>
      </c>
      <c r="D186" s="4">
        <f>SUMIFS(tblDaily[Admissions],tblDaily[Month],12,tblDaily[WardCode],"NICU") - SUMIFS(tblDaily[DeathsUnder24Hrs],tblDaily[Month],12,tblDaily[WardCode],"NICU")</f>
        <v>0</v>
      </c>
      <c r="E186" s="4">
        <f>SUMIFS(tblDaily[Discharges],tblDaily[Month],12,tblDaily[WardCode],"NICU")</f>
        <v>0</v>
      </c>
      <c r="F186" s="4">
        <f>SUMIFS(tblDaily[Deaths],tblDaily[Month],12,tblDaily[WardCode],"NICU")</f>
        <v>0</v>
      </c>
      <c r="G186" s="4">
        <f>SUMIFS(tblDaily[DeathsUnder24Hrs],tblDaily[Month],12,tblDaily[WardCode],"NICU")</f>
        <v>0</v>
      </c>
      <c r="H186" s="4">
        <f>SUMIFS(tblDaily[Remaining],tblDaily[Month],12,tblDaily[WardCode],"NICU")</f>
        <v>0</v>
      </c>
      <c r="I186" s="4">
        <f>SUMIFS(tblDaily[TransfersIn],tblDaily[Month],12,tblDaily[WardCode],"NICU")</f>
        <v>0</v>
      </c>
      <c r="J186" s="4">
        <f>SUMIFS(tblDaily[TransfersOut],tblDaily[Month],12,tblDaily[WardCode],"NICU")</f>
        <v>0</v>
      </c>
      <c r="K186" s="16">
        <f t="shared" si="88"/>
        <v>0</v>
      </c>
      <c r="L186" s="16">
        <f t="shared" si="89"/>
        <v>0</v>
      </c>
      <c r="M186" s="16">
        <f t="shared" si="90"/>
        <v>0</v>
      </c>
      <c r="N186" s="16">
        <f t="shared" si="91"/>
        <v>0</v>
      </c>
      <c r="O186" s="16">
        <f t="shared" si="92"/>
        <v>0</v>
      </c>
      <c r="P186" s="16">
        <f t="shared" si="93"/>
        <v>0</v>
      </c>
    </row>
    <row r="187" spans="1:16" x14ac:dyDescent="0.25">
      <c r="A187" s="15" t="s">
        <v>45</v>
      </c>
      <c r="B187" s="4">
        <f>IFERROR(SUMIFS(tblDaily[Remaining],tblDaily[EntryDate],DATE(2026,11,30),tblDaily[WardCode],"MAE"),0)</f>
        <v>0</v>
      </c>
      <c r="C187" s="4">
        <f>IFERROR(INDEX(tblWardConfig[BedComplement],MATCH("MAE",tblWardConfig[WardCode],0)),0)</f>
        <v>10</v>
      </c>
      <c r="D187" s="4">
        <f>SUMIFS(tblDaily[Admissions],tblDaily[Month],12,tblDaily[WardCode],"MAE") - SUMIFS(tblDaily[DeathsUnder24Hrs],tblDaily[Month],12,tblDaily[WardCode],"MAE")</f>
        <v>0</v>
      </c>
      <c r="E187" s="4">
        <f>SUMIFS(tblDaily[Discharges],tblDaily[Month],12,tblDaily[WardCode],"MAE")</f>
        <v>0</v>
      </c>
      <c r="F187" s="4">
        <f>SUMIFS(tblDaily[Deaths],tblDaily[Month],12,tblDaily[WardCode],"MAE")</f>
        <v>0</v>
      </c>
      <c r="G187" s="4">
        <f>SUMIFS(tblDaily[DeathsUnder24Hrs],tblDaily[Month],12,tblDaily[WardCode],"MAE")</f>
        <v>0</v>
      </c>
      <c r="H187" s="4">
        <f>SUMIFS(tblDaily[Remaining],tblDaily[Month],12,tblDaily[WardCode],"MAE")</f>
        <v>0</v>
      </c>
      <c r="I187" s="4">
        <f>SUMIFS(tblDaily[TransfersIn],tblDaily[Month],12,tblDaily[WardCode],"MAE")</f>
        <v>0</v>
      </c>
      <c r="J187" s="4">
        <f>SUMIFS(tblDaily[TransfersOut],tblDaily[Month],12,tblDaily[WardCode],"MAE")</f>
        <v>0</v>
      </c>
      <c r="K187" s="16">
        <f t="shared" si="88"/>
        <v>0</v>
      </c>
      <c r="L187" s="16">
        <f t="shared" si="89"/>
        <v>0</v>
      </c>
      <c r="M187" s="16">
        <f t="shared" si="90"/>
        <v>0</v>
      </c>
      <c r="N187" s="16">
        <f t="shared" si="91"/>
        <v>0</v>
      </c>
      <c r="O187" s="16">
        <f t="shared" si="92"/>
        <v>0</v>
      </c>
      <c r="P187" s="16">
        <f t="shared" si="93"/>
        <v>0</v>
      </c>
    </row>
    <row r="188" spans="1:16" x14ac:dyDescent="0.25">
      <c r="A188" s="15" t="s">
        <v>47</v>
      </c>
      <c r="B188" s="4">
        <f>IFERROR(SUMIFS(tblDaily[Remaining],tblDaily[EntryDate],DATE(2026,11,30),tblDaily[WardCode],"FAE"),0)</f>
        <v>0</v>
      </c>
      <c r="C188" s="4">
        <f>IFERROR(INDEX(tblWardConfig[BedComplement],MATCH("FAE",tblWardConfig[WardCode],0)),0)</f>
        <v>10</v>
      </c>
      <c r="D188" s="4">
        <f>SUMIFS(tblDaily[Admissions],tblDaily[Month],12,tblDaily[WardCode],"FAE") - SUMIFS(tblDaily[DeathsUnder24Hrs],tblDaily[Month],12,tblDaily[WardCode],"FAE")</f>
        <v>0</v>
      </c>
      <c r="E188" s="4">
        <f>SUMIFS(tblDaily[Discharges],tblDaily[Month],12,tblDaily[WardCode],"FAE")</f>
        <v>0</v>
      </c>
      <c r="F188" s="4">
        <f>SUMIFS(tblDaily[Deaths],tblDaily[Month],12,tblDaily[WardCode],"FAE")</f>
        <v>0</v>
      </c>
      <c r="G188" s="4">
        <f>SUMIFS(tblDaily[DeathsUnder24Hrs],tblDaily[Month],12,tblDaily[WardCode],"FAE")</f>
        <v>0</v>
      </c>
      <c r="H188" s="4">
        <f>SUMIFS(tblDaily[Remaining],tblDaily[Month],12,tblDaily[WardCode],"FAE")</f>
        <v>0</v>
      </c>
      <c r="I188" s="4">
        <f>SUMIFS(tblDaily[TransfersIn],tblDaily[Month],12,tblDaily[WardCode],"FAE")</f>
        <v>0</v>
      </c>
      <c r="J188" s="4">
        <f>SUMIFS(tblDaily[TransfersOut],tblDaily[Month],12,tblDaily[WardCode],"FAE")</f>
        <v>0</v>
      </c>
      <c r="K188" s="16">
        <f t="shared" si="88"/>
        <v>0</v>
      </c>
      <c r="L188" s="16">
        <f t="shared" si="89"/>
        <v>0</v>
      </c>
      <c r="M188" s="16">
        <f t="shared" si="90"/>
        <v>0</v>
      </c>
      <c r="N188" s="16">
        <f t="shared" si="91"/>
        <v>0</v>
      </c>
      <c r="O188" s="16">
        <f t="shared" si="92"/>
        <v>0</v>
      </c>
      <c r="P188" s="16">
        <f t="shared" si="93"/>
        <v>0</v>
      </c>
    </row>
    <row r="189" spans="1:16" x14ac:dyDescent="0.25">
      <c r="A189" s="17" t="s">
        <v>144</v>
      </c>
      <c r="B189" s="15">
        <f>SUMIFS(tblDaily[Remaining],tblDaily[EntryDate],DATE(2026,12,31),tblDaily[WardCode],"MAE")+SUMIFS(tblDaily[Remaining],tblDaily[EntryDate],DATE(2026,12,31),tblDaily[WardCode],"FAE")</f>
        <v>0</v>
      </c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</row>
    <row r="190" spans="1:16" x14ac:dyDescent="0.25">
      <c r="A190" s="9" t="s">
        <v>112</v>
      </c>
      <c r="B190" s="9">
        <f t="shared" ref="B190:J190" si="94">SUM(B180:B188)</f>
        <v>0</v>
      </c>
      <c r="C190" s="9">
        <f t="shared" si="94"/>
        <v>178</v>
      </c>
      <c r="D190" s="9">
        <f t="shared" si="94"/>
        <v>0</v>
      </c>
      <c r="E190" s="9">
        <f t="shared" si="94"/>
        <v>0</v>
      </c>
      <c r="F190" s="9">
        <f t="shared" si="94"/>
        <v>0</v>
      </c>
      <c r="G190" s="9">
        <f t="shared" si="94"/>
        <v>0</v>
      </c>
      <c r="H190" s="9">
        <f t="shared" si="94"/>
        <v>0</v>
      </c>
      <c r="I190" s="9">
        <f t="shared" si="94"/>
        <v>0</v>
      </c>
      <c r="J190" s="9">
        <f t="shared" si="94"/>
        <v>0</v>
      </c>
      <c r="K190" s="19">
        <f>IFERROR(H190/31,0)</f>
        <v>0</v>
      </c>
      <c r="L190" s="19">
        <f>IFERROR(H190/(E190+F190),0)</f>
        <v>0</v>
      </c>
      <c r="M190" s="19">
        <f>IFERROR((C190*31-H190)/(E190+F190),0)</f>
        <v>0</v>
      </c>
      <c r="N190" s="19">
        <f>IFERROR((E190+F190)/C190,0)</f>
        <v>0</v>
      </c>
      <c r="O190" s="19">
        <f>IFERROR((H190/(C190*31))*100,0)</f>
        <v>0</v>
      </c>
      <c r="P190" s="19">
        <f>IFERROR((F190/(D190+B190))*100,0)</f>
        <v>0</v>
      </c>
    </row>
    <row r="191" spans="1:16" x14ac:dyDescent="0.25">
      <c r="A191" s="20" t="s">
        <v>145</v>
      </c>
      <c r="B191" s="20">
        <f t="shared" ref="B191:J191" si="95">B187+B188</f>
        <v>0</v>
      </c>
      <c r="C191" s="20">
        <f t="shared" si="95"/>
        <v>20</v>
      </c>
      <c r="D191" s="20">
        <f t="shared" si="95"/>
        <v>0</v>
      </c>
      <c r="E191" s="20">
        <f t="shared" si="95"/>
        <v>0</v>
      </c>
      <c r="F191" s="20">
        <f t="shared" si="95"/>
        <v>0</v>
      </c>
      <c r="G191" s="20">
        <f t="shared" si="95"/>
        <v>0</v>
      </c>
      <c r="H191" s="20">
        <f t="shared" si="95"/>
        <v>0</v>
      </c>
      <c r="I191" s="20">
        <f t="shared" si="95"/>
        <v>0</v>
      </c>
      <c r="J191" s="20">
        <f t="shared" si="95"/>
        <v>0</v>
      </c>
      <c r="K191" s="21">
        <f>IFERROR(H191/31,0)</f>
        <v>0</v>
      </c>
      <c r="L191" s="21">
        <f>IFERROR(H191/(E191+F191),0)</f>
        <v>0</v>
      </c>
      <c r="M191" s="21">
        <f>IFERROR((C191*31-H191)/(E191+F191),0)</f>
        <v>0</v>
      </c>
      <c r="N191" s="21">
        <f>IFERROR((E191+F191)/C191,0)</f>
        <v>0</v>
      </c>
      <c r="O191" s="21">
        <f>IFERROR((H191/(C191*31))*100,0)</f>
        <v>0</v>
      </c>
      <c r="P191" s="21">
        <f>IFERROR((F191/(D191+B191))*100,0)</f>
        <v>0</v>
      </c>
    </row>
  </sheetData>
  <mergeCells count="24">
    <mergeCell ref="A178:P178"/>
    <mergeCell ref="A1:P1"/>
    <mergeCell ref="A146:P146"/>
    <mergeCell ref="A162:P162"/>
    <mergeCell ref="A65:P65"/>
    <mergeCell ref="A177:P177"/>
    <mergeCell ref="A66:P66"/>
    <mergeCell ref="A18:P18"/>
    <mergeCell ref="A50:P50"/>
    <mergeCell ref="A145:P145"/>
    <mergeCell ref="A33:P33"/>
    <mergeCell ref="A113:P113"/>
    <mergeCell ref="A2:P2"/>
    <mergeCell ref="A17:P17"/>
    <mergeCell ref="A129:P129"/>
    <mergeCell ref="A97:P97"/>
    <mergeCell ref="A81:P81"/>
    <mergeCell ref="A161:P161"/>
    <mergeCell ref="A114:P114"/>
    <mergeCell ref="A34:P34"/>
    <mergeCell ref="A130:P130"/>
    <mergeCell ref="A82:P82"/>
    <mergeCell ref="A98:P98"/>
    <mergeCell ref="A49:P49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CF16"/>
  <sheetViews>
    <sheetView tabSelected="1" workbookViewId="0">
      <selection activeCell="U22" sqref="U22"/>
    </sheetView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41" t="s">
        <v>60</v>
      </c>
      <c r="B1" s="29"/>
      <c r="C1" s="29"/>
      <c r="D1" s="29"/>
      <c r="E1" s="29"/>
      <c r="F1" s="29"/>
      <c r="G1" s="29"/>
      <c r="H1" s="41" t="s">
        <v>61</v>
      </c>
      <c r="I1" s="29"/>
      <c r="J1" s="29"/>
      <c r="K1" s="29"/>
      <c r="L1" s="29"/>
      <c r="M1" s="29"/>
      <c r="N1" s="29"/>
      <c r="O1" s="41" t="s">
        <v>62</v>
      </c>
      <c r="P1" s="29"/>
      <c r="Q1" s="29"/>
      <c r="R1" s="29"/>
      <c r="S1" s="29"/>
      <c r="T1" s="29"/>
      <c r="U1" s="29"/>
      <c r="V1" s="41" t="s">
        <v>63</v>
      </c>
      <c r="W1" s="29"/>
      <c r="X1" s="29"/>
      <c r="Y1" s="29"/>
      <c r="Z1" s="29"/>
      <c r="AA1" s="29"/>
      <c r="AB1" s="29"/>
      <c r="AC1" s="41" t="s">
        <v>64</v>
      </c>
      <c r="AD1" s="29"/>
      <c r="AE1" s="29"/>
      <c r="AF1" s="29"/>
      <c r="AG1" s="29"/>
      <c r="AH1" s="29"/>
      <c r="AI1" s="29"/>
      <c r="AJ1" s="41" t="s">
        <v>65</v>
      </c>
      <c r="AK1" s="29"/>
      <c r="AL1" s="29"/>
      <c r="AM1" s="29"/>
      <c r="AN1" s="29"/>
      <c r="AO1" s="29"/>
      <c r="AP1" s="29"/>
      <c r="AQ1" s="41" t="s">
        <v>66</v>
      </c>
      <c r="AR1" s="29"/>
      <c r="AS1" s="29"/>
      <c r="AT1" s="29"/>
      <c r="AU1" s="29"/>
      <c r="AV1" s="29"/>
      <c r="AW1" s="29"/>
      <c r="AX1" s="41" t="s">
        <v>67</v>
      </c>
      <c r="AY1" s="29"/>
      <c r="AZ1" s="29"/>
      <c r="BA1" s="29"/>
      <c r="BB1" s="29"/>
      <c r="BC1" s="29"/>
      <c r="BD1" s="29"/>
      <c r="BE1" s="41" t="s">
        <v>68</v>
      </c>
      <c r="BF1" s="29"/>
      <c r="BG1" s="29"/>
      <c r="BH1" s="29"/>
      <c r="BI1" s="29"/>
      <c r="BJ1" s="29"/>
      <c r="BK1" s="29"/>
      <c r="BL1" s="41" t="s">
        <v>69</v>
      </c>
      <c r="BM1" s="29"/>
      <c r="BN1" s="29"/>
      <c r="BO1" s="29"/>
      <c r="BP1" s="29"/>
      <c r="BQ1" s="29"/>
      <c r="BR1" s="29"/>
      <c r="BS1" s="41" t="s">
        <v>70</v>
      </c>
      <c r="BT1" s="29"/>
      <c r="BU1" s="29"/>
      <c r="BV1" s="29"/>
      <c r="BW1" s="29"/>
      <c r="BX1" s="29"/>
      <c r="BY1" s="29"/>
      <c r="BZ1" s="41" t="s">
        <v>71</v>
      </c>
      <c r="CA1" s="29"/>
      <c r="CB1" s="29"/>
      <c r="CC1" s="29"/>
      <c r="CD1" s="29"/>
      <c r="CE1" s="29"/>
      <c r="CF1" s="29"/>
    </row>
    <row r="2" spans="1:84" x14ac:dyDescent="0.25">
      <c r="B2" s="44" t="s">
        <v>157</v>
      </c>
      <c r="C2" s="29"/>
      <c r="D2" s="42" t="s">
        <v>158</v>
      </c>
      <c r="E2" s="29"/>
      <c r="F2" s="43" t="s">
        <v>159</v>
      </c>
      <c r="G2" s="29"/>
      <c r="I2" s="44" t="s">
        <v>157</v>
      </c>
      <c r="J2" s="29"/>
      <c r="K2" s="42" t="s">
        <v>158</v>
      </c>
      <c r="L2" s="29"/>
      <c r="M2" s="43" t="s">
        <v>159</v>
      </c>
      <c r="N2" s="29"/>
      <c r="P2" s="44" t="s">
        <v>157</v>
      </c>
      <c r="Q2" s="29"/>
      <c r="R2" s="42" t="s">
        <v>158</v>
      </c>
      <c r="S2" s="29"/>
      <c r="T2" s="43" t="s">
        <v>159</v>
      </c>
      <c r="U2" s="29"/>
      <c r="W2" s="44" t="s">
        <v>157</v>
      </c>
      <c r="X2" s="29"/>
      <c r="Y2" s="42" t="s">
        <v>158</v>
      </c>
      <c r="Z2" s="29"/>
      <c r="AA2" s="43" t="s">
        <v>159</v>
      </c>
      <c r="AB2" s="29"/>
      <c r="AD2" s="44" t="s">
        <v>157</v>
      </c>
      <c r="AE2" s="29"/>
      <c r="AF2" s="42" t="s">
        <v>158</v>
      </c>
      <c r="AG2" s="29"/>
      <c r="AH2" s="43" t="s">
        <v>159</v>
      </c>
      <c r="AI2" s="29"/>
      <c r="AK2" s="44" t="s">
        <v>157</v>
      </c>
      <c r="AL2" s="29"/>
      <c r="AM2" s="42" t="s">
        <v>158</v>
      </c>
      <c r="AN2" s="29"/>
      <c r="AO2" s="43" t="s">
        <v>159</v>
      </c>
      <c r="AP2" s="29"/>
      <c r="AR2" s="44" t="s">
        <v>157</v>
      </c>
      <c r="AS2" s="29"/>
      <c r="AT2" s="42" t="s">
        <v>158</v>
      </c>
      <c r="AU2" s="29"/>
      <c r="AV2" s="43" t="s">
        <v>159</v>
      </c>
      <c r="AW2" s="29"/>
      <c r="AY2" s="44" t="s">
        <v>157</v>
      </c>
      <c r="AZ2" s="29"/>
      <c r="BA2" s="42" t="s">
        <v>158</v>
      </c>
      <c r="BB2" s="29"/>
      <c r="BC2" s="43" t="s">
        <v>159</v>
      </c>
      <c r="BD2" s="29"/>
      <c r="BF2" s="44" t="s">
        <v>157</v>
      </c>
      <c r="BG2" s="29"/>
      <c r="BH2" s="42" t="s">
        <v>158</v>
      </c>
      <c r="BI2" s="29"/>
      <c r="BJ2" s="43" t="s">
        <v>159</v>
      </c>
      <c r="BK2" s="29"/>
      <c r="BM2" s="44" t="s">
        <v>157</v>
      </c>
      <c r="BN2" s="29"/>
      <c r="BO2" s="42" t="s">
        <v>158</v>
      </c>
      <c r="BP2" s="29"/>
      <c r="BQ2" s="43" t="s">
        <v>159</v>
      </c>
      <c r="BR2" s="29"/>
      <c r="BT2" s="44" t="s">
        <v>157</v>
      </c>
      <c r="BU2" s="29"/>
      <c r="BV2" s="42" t="s">
        <v>158</v>
      </c>
      <c r="BW2" s="29"/>
      <c r="BX2" s="43" t="s">
        <v>159</v>
      </c>
      <c r="BY2" s="29"/>
      <c r="CA2" s="44" t="s">
        <v>157</v>
      </c>
      <c r="CB2" s="29"/>
      <c r="CC2" s="42" t="s">
        <v>158</v>
      </c>
      <c r="CD2" s="29"/>
      <c r="CE2" s="43" t="s">
        <v>159</v>
      </c>
      <c r="CF2" s="29"/>
    </row>
    <row r="3" spans="1:84" x14ac:dyDescent="0.25">
      <c r="A3" s="15" t="s">
        <v>160</v>
      </c>
      <c r="B3" s="15" t="s">
        <v>161</v>
      </c>
      <c r="C3" s="15" t="s">
        <v>162</v>
      </c>
      <c r="D3" s="15" t="s">
        <v>163</v>
      </c>
      <c r="E3" s="15" t="s">
        <v>164</v>
      </c>
      <c r="F3" s="15" t="s">
        <v>163</v>
      </c>
      <c r="G3" s="15" t="s">
        <v>164</v>
      </c>
      <c r="H3" s="15" t="s">
        <v>160</v>
      </c>
      <c r="I3" s="15" t="s">
        <v>161</v>
      </c>
      <c r="J3" s="15" t="s">
        <v>162</v>
      </c>
      <c r="K3" s="15" t="s">
        <v>163</v>
      </c>
      <c r="L3" s="15" t="s">
        <v>164</v>
      </c>
      <c r="M3" s="15" t="s">
        <v>163</v>
      </c>
      <c r="N3" s="15" t="s">
        <v>164</v>
      </c>
      <c r="O3" s="15" t="s">
        <v>160</v>
      </c>
      <c r="P3" s="15" t="s">
        <v>161</v>
      </c>
      <c r="Q3" s="15" t="s">
        <v>162</v>
      </c>
      <c r="R3" s="15" t="s">
        <v>163</v>
      </c>
      <c r="S3" s="15" t="s">
        <v>164</v>
      </c>
      <c r="T3" s="15" t="s">
        <v>163</v>
      </c>
      <c r="U3" s="15" t="s">
        <v>164</v>
      </c>
      <c r="V3" s="15" t="s">
        <v>160</v>
      </c>
      <c r="W3" s="15" t="s">
        <v>161</v>
      </c>
      <c r="X3" s="15" t="s">
        <v>162</v>
      </c>
      <c r="Y3" s="15" t="s">
        <v>163</v>
      </c>
      <c r="Z3" s="15" t="s">
        <v>164</v>
      </c>
      <c r="AA3" s="15" t="s">
        <v>163</v>
      </c>
      <c r="AB3" s="15" t="s">
        <v>164</v>
      </c>
      <c r="AC3" s="15" t="s">
        <v>160</v>
      </c>
      <c r="AD3" s="15" t="s">
        <v>161</v>
      </c>
      <c r="AE3" s="15" t="s">
        <v>162</v>
      </c>
      <c r="AF3" s="15" t="s">
        <v>163</v>
      </c>
      <c r="AG3" s="15" t="s">
        <v>164</v>
      </c>
      <c r="AH3" s="15" t="s">
        <v>163</v>
      </c>
      <c r="AI3" s="15" t="s">
        <v>164</v>
      </c>
      <c r="AJ3" s="15" t="s">
        <v>160</v>
      </c>
      <c r="AK3" s="15" t="s">
        <v>161</v>
      </c>
      <c r="AL3" s="15" t="s">
        <v>162</v>
      </c>
      <c r="AM3" s="15" t="s">
        <v>163</v>
      </c>
      <c r="AN3" s="15" t="s">
        <v>164</v>
      </c>
      <c r="AO3" s="15" t="s">
        <v>163</v>
      </c>
      <c r="AP3" s="15" t="s">
        <v>164</v>
      </c>
      <c r="AQ3" s="15" t="s">
        <v>160</v>
      </c>
      <c r="AR3" s="15" t="s">
        <v>161</v>
      </c>
      <c r="AS3" s="15" t="s">
        <v>162</v>
      </c>
      <c r="AT3" s="15" t="s">
        <v>163</v>
      </c>
      <c r="AU3" s="15" t="s">
        <v>164</v>
      </c>
      <c r="AV3" s="15" t="s">
        <v>163</v>
      </c>
      <c r="AW3" s="15" t="s">
        <v>164</v>
      </c>
      <c r="AX3" s="15" t="s">
        <v>160</v>
      </c>
      <c r="AY3" s="15" t="s">
        <v>161</v>
      </c>
      <c r="AZ3" s="15" t="s">
        <v>162</v>
      </c>
      <c r="BA3" s="15" t="s">
        <v>163</v>
      </c>
      <c r="BB3" s="15" t="s">
        <v>164</v>
      </c>
      <c r="BC3" s="15" t="s">
        <v>163</v>
      </c>
      <c r="BD3" s="15" t="s">
        <v>164</v>
      </c>
      <c r="BE3" s="15" t="s">
        <v>160</v>
      </c>
      <c r="BF3" s="15" t="s">
        <v>161</v>
      </c>
      <c r="BG3" s="15" t="s">
        <v>162</v>
      </c>
      <c r="BH3" s="15" t="s">
        <v>163</v>
      </c>
      <c r="BI3" s="15" t="s">
        <v>164</v>
      </c>
      <c r="BJ3" s="15" t="s">
        <v>163</v>
      </c>
      <c r="BK3" s="15" t="s">
        <v>164</v>
      </c>
      <c r="BL3" s="15" t="s">
        <v>160</v>
      </c>
      <c r="BM3" s="15" t="s">
        <v>161</v>
      </c>
      <c r="BN3" s="15" t="s">
        <v>162</v>
      </c>
      <c r="BO3" s="15" t="s">
        <v>163</v>
      </c>
      <c r="BP3" s="15" t="s">
        <v>164</v>
      </c>
      <c r="BQ3" s="15" t="s">
        <v>163</v>
      </c>
      <c r="BR3" s="15" t="s">
        <v>164</v>
      </c>
      <c r="BS3" s="15" t="s">
        <v>160</v>
      </c>
      <c r="BT3" s="15" t="s">
        <v>161</v>
      </c>
      <c r="BU3" s="15" t="s">
        <v>162</v>
      </c>
      <c r="BV3" s="15" t="s">
        <v>163</v>
      </c>
      <c r="BW3" s="15" t="s">
        <v>164</v>
      </c>
      <c r="BX3" s="15" t="s">
        <v>163</v>
      </c>
      <c r="BY3" s="15" t="s">
        <v>164</v>
      </c>
      <c r="BZ3" s="15" t="s">
        <v>160</v>
      </c>
      <c r="CA3" s="15" t="s">
        <v>161</v>
      </c>
      <c r="CB3" s="15" t="s">
        <v>162</v>
      </c>
      <c r="CC3" s="15" t="s">
        <v>163</v>
      </c>
      <c r="CD3" s="15" t="s">
        <v>164</v>
      </c>
      <c r="CE3" s="15" t="s">
        <v>163</v>
      </c>
      <c r="CF3" s="15" t="s">
        <v>164</v>
      </c>
    </row>
    <row r="4" spans="1:84" x14ac:dyDescent="0.25">
      <c r="A4" s="4" t="s">
        <v>165</v>
      </c>
      <c r="B4" s="4">
        <f>COUNTIFS(tblAdmissions[Month],1,tblAdmissions[AgeUnit],"Days",tblAdmissions[Age],"&gt;="&amp;0,tblAdmissions[Age],"&lt;="&amp;28,tblAdmissions[Sex],"M")</f>
        <v>0</v>
      </c>
      <c r="C4" s="4">
        <f>COUNTIFS(tblAdmissions[Month],1,tblAdmissions[AgeUnit],"Days",tblAdmissions[Age],"&gt;="&amp;0,tblAdmissions[Age],"&lt;="&amp;28,tblAdmissions[Sex],"F")</f>
        <v>0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0</v>
      </c>
      <c r="G4" s="4">
        <f>COUNTIFS(tblAdmissions[Month],1,tblAdmissions[AgeUnit],"Days",tblAdmissions[Age],"&gt;="&amp;0,tblAdmissions[Age],"&lt;="&amp;28,tblAdmissions[Sex],"F",tblAdmissions[NHIS],"Insured")</f>
        <v>0</v>
      </c>
      <c r="H4" s="4" t="s">
        <v>165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165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165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165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165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165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165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165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165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165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165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166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166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166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166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166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166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166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166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166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166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166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166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167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0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0</v>
      </c>
      <c r="H6" s="4" t="s">
        <v>167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167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167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167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167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167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167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167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167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167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167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168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168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168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168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168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168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168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168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168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168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168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168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169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0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0</v>
      </c>
      <c r="H8" s="4" t="s">
        <v>169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169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169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169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169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169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169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169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169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169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169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170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0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0</v>
      </c>
      <c r="H9" s="4" t="s">
        <v>170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170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170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170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170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170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170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170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170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170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170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171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0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0</v>
      </c>
      <c r="H10" s="4" t="s">
        <v>171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171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171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171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171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171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171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171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171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171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171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172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0</v>
      </c>
      <c r="H11" s="4" t="s">
        <v>172</v>
      </c>
      <c r="I11" s="4">
        <f>COUNTIFS(tblAdmissions[Month],2,tblAdmissions[AgeUnit],"Years",tblAdmissions[Age],"&gt;="&amp;20,tblAdmissions[Age],"&lt;="&amp;34,tblAdmissions[Sex],"M")</f>
        <v>1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1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172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172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172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172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172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172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172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172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172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172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173</v>
      </c>
      <c r="B12" s="4">
        <f>COUNTIFS(tblAdmissions[Month],1,tblAdmissions[AgeUnit],"Years",tblAdmissions[Age],"&gt;="&amp;35,tblAdmissions[Age],"&lt;="&amp;49,tblAdmissions[Sex],"M")</f>
        <v>0</v>
      </c>
      <c r="C12" s="4">
        <f>COUNTIFS(tblAdmissions[Month],1,tblAdmissions[AgeUnit],"Years",tblAdmissions[Age],"&gt;="&amp;35,tblAdmissions[Age],"&lt;="&amp;49,tblAdmissions[Sex],"F")</f>
        <v>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0</v>
      </c>
      <c r="G12" s="4">
        <f>COUNTIFS(tblAdmissions[Month],1,tblAdmissions[AgeUnit],"Years",tblAdmissions[Age],"&gt;="&amp;35,tblAdmissions[Age],"&lt;="&amp;49,tblAdmissions[Sex],"F",tblAdmissions[NHIS],"Insured")</f>
        <v>0</v>
      </c>
      <c r="H12" s="4" t="s">
        <v>173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173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173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173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173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173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173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173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173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173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173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174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174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174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174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174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174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174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174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174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174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174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174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175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175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175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175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175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175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175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175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175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175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175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175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176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176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176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176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176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176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176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176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176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176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176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176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177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177</v>
      </c>
      <c r="I16" s="9">
        <f t="shared" ref="I16:N16" si="1">SUM(I4:I15)</f>
        <v>1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1</v>
      </c>
      <c r="N16" s="9">
        <f t="shared" si="1"/>
        <v>0</v>
      </c>
      <c r="O16" s="9" t="s">
        <v>177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177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177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177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177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177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177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177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177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177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C00000"/>
  </sheetPr>
  <dimension ref="A1:H464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14" customWidth="1"/>
    <col min="4" max="4" width="30" customWidth="1"/>
    <col min="5" max="5" width="8" customWidth="1"/>
    <col min="6" max="6" width="6" customWidth="1"/>
    <col min="7" max="8" width="10" customWidth="1"/>
  </cols>
  <sheetData>
    <row r="1" spans="1:8" ht="15.75" x14ac:dyDescent="0.25">
      <c r="A1" s="35" t="s">
        <v>178</v>
      </c>
      <c r="B1" s="29"/>
      <c r="C1" s="29"/>
      <c r="D1" s="29"/>
      <c r="E1" s="29"/>
      <c r="F1" s="29"/>
      <c r="G1" s="29"/>
      <c r="H1" s="29"/>
    </row>
    <row r="2" spans="1:8" x14ac:dyDescent="0.25">
      <c r="A2" s="3" t="s">
        <v>179</v>
      </c>
      <c r="B2" s="3" t="s">
        <v>180</v>
      </c>
      <c r="C2" s="3" t="s">
        <v>181</v>
      </c>
      <c r="D2" s="3" t="s">
        <v>182</v>
      </c>
      <c r="E2" s="3" t="s">
        <v>87</v>
      </c>
      <c r="F2" s="3" t="s">
        <v>89</v>
      </c>
      <c r="G2" s="3" t="s">
        <v>183</v>
      </c>
      <c r="H2" s="3" t="s">
        <v>90</v>
      </c>
    </row>
    <row r="43" spans="1:8" ht="15.75" x14ac:dyDescent="0.25">
      <c r="A43" s="35" t="s">
        <v>184</v>
      </c>
      <c r="B43" s="29"/>
      <c r="C43" s="29"/>
      <c r="D43" s="29"/>
      <c r="E43" s="29"/>
      <c r="F43" s="29"/>
      <c r="G43" s="29"/>
      <c r="H43" s="29"/>
    </row>
    <row r="44" spans="1:8" x14ac:dyDescent="0.25">
      <c r="A44" s="3" t="s">
        <v>179</v>
      </c>
      <c r="B44" s="3" t="s">
        <v>180</v>
      </c>
      <c r="C44" s="3" t="s">
        <v>181</v>
      </c>
      <c r="D44" s="3" t="s">
        <v>182</v>
      </c>
      <c r="E44" s="3" t="s">
        <v>87</v>
      </c>
      <c r="F44" s="3" t="s">
        <v>89</v>
      </c>
      <c r="G44" s="3" t="s">
        <v>183</v>
      </c>
      <c r="H44" s="3" t="s">
        <v>90</v>
      </c>
    </row>
    <row r="85" spans="1:8" ht="15.75" x14ac:dyDescent="0.25">
      <c r="A85" s="35" t="s">
        <v>185</v>
      </c>
      <c r="B85" s="29"/>
      <c r="C85" s="29"/>
      <c r="D85" s="29"/>
      <c r="E85" s="29"/>
      <c r="F85" s="29"/>
      <c r="G85" s="29"/>
      <c r="H85" s="29"/>
    </row>
    <row r="86" spans="1:8" x14ac:dyDescent="0.25">
      <c r="A86" s="3" t="s">
        <v>179</v>
      </c>
      <c r="B86" s="3" t="s">
        <v>180</v>
      </c>
      <c r="C86" s="3" t="s">
        <v>181</v>
      </c>
      <c r="D86" s="3" t="s">
        <v>182</v>
      </c>
      <c r="E86" s="3" t="s">
        <v>87</v>
      </c>
      <c r="F86" s="3" t="s">
        <v>89</v>
      </c>
      <c r="G86" s="3" t="s">
        <v>183</v>
      </c>
      <c r="H86" s="3" t="s">
        <v>90</v>
      </c>
    </row>
    <row r="127" spans="1:8" ht="15.75" x14ac:dyDescent="0.25">
      <c r="A127" s="35" t="s">
        <v>186</v>
      </c>
      <c r="B127" s="29"/>
      <c r="C127" s="29"/>
      <c r="D127" s="29"/>
      <c r="E127" s="29"/>
      <c r="F127" s="29"/>
      <c r="G127" s="29"/>
      <c r="H127" s="29"/>
    </row>
    <row r="128" spans="1:8" x14ac:dyDescent="0.25">
      <c r="A128" s="3" t="s">
        <v>179</v>
      </c>
      <c r="B128" s="3" t="s">
        <v>180</v>
      </c>
      <c r="C128" s="3" t="s">
        <v>181</v>
      </c>
      <c r="D128" s="3" t="s">
        <v>182</v>
      </c>
      <c r="E128" s="3" t="s">
        <v>87</v>
      </c>
      <c r="F128" s="3" t="s">
        <v>89</v>
      </c>
      <c r="G128" s="3" t="s">
        <v>183</v>
      </c>
      <c r="H128" s="3" t="s">
        <v>90</v>
      </c>
    </row>
    <row r="169" spans="1:8" ht="15.75" x14ac:dyDescent="0.25">
      <c r="A169" s="35" t="s">
        <v>187</v>
      </c>
      <c r="B169" s="29"/>
      <c r="C169" s="29"/>
      <c r="D169" s="29"/>
      <c r="E169" s="29"/>
      <c r="F169" s="29"/>
      <c r="G169" s="29"/>
      <c r="H169" s="29"/>
    </row>
    <row r="170" spans="1:8" x14ac:dyDescent="0.25">
      <c r="A170" s="3" t="s">
        <v>179</v>
      </c>
      <c r="B170" s="3" t="s">
        <v>180</v>
      </c>
      <c r="C170" s="3" t="s">
        <v>181</v>
      </c>
      <c r="D170" s="3" t="s">
        <v>182</v>
      </c>
      <c r="E170" s="3" t="s">
        <v>87</v>
      </c>
      <c r="F170" s="3" t="s">
        <v>89</v>
      </c>
      <c r="G170" s="3" t="s">
        <v>183</v>
      </c>
      <c r="H170" s="3" t="s">
        <v>90</v>
      </c>
    </row>
    <row r="211" spans="1:8" ht="15.75" x14ac:dyDescent="0.25">
      <c r="A211" s="35" t="s">
        <v>188</v>
      </c>
      <c r="B211" s="29"/>
      <c r="C211" s="29"/>
      <c r="D211" s="29"/>
      <c r="E211" s="29"/>
      <c r="F211" s="29"/>
      <c r="G211" s="29"/>
      <c r="H211" s="29"/>
    </row>
    <row r="212" spans="1:8" x14ac:dyDescent="0.25">
      <c r="A212" s="3" t="s">
        <v>179</v>
      </c>
      <c r="B212" s="3" t="s">
        <v>180</v>
      </c>
      <c r="C212" s="3" t="s">
        <v>181</v>
      </c>
      <c r="D212" s="3" t="s">
        <v>182</v>
      </c>
      <c r="E212" s="3" t="s">
        <v>87</v>
      </c>
      <c r="F212" s="3" t="s">
        <v>89</v>
      </c>
      <c r="G212" s="3" t="s">
        <v>183</v>
      </c>
      <c r="H212" s="3" t="s">
        <v>90</v>
      </c>
    </row>
    <row r="253" spans="1:8" ht="15.75" x14ac:dyDescent="0.25">
      <c r="A253" s="35" t="s">
        <v>189</v>
      </c>
      <c r="B253" s="29"/>
      <c r="C253" s="29"/>
      <c r="D253" s="29"/>
      <c r="E253" s="29"/>
      <c r="F253" s="29"/>
      <c r="G253" s="29"/>
      <c r="H253" s="29"/>
    </row>
    <row r="254" spans="1:8" x14ac:dyDescent="0.25">
      <c r="A254" s="3" t="s">
        <v>179</v>
      </c>
      <c r="B254" s="3" t="s">
        <v>180</v>
      </c>
      <c r="C254" s="3" t="s">
        <v>181</v>
      </c>
      <c r="D254" s="3" t="s">
        <v>182</v>
      </c>
      <c r="E254" s="3" t="s">
        <v>87</v>
      </c>
      <c r="F254" s="3" t="s">
        <v>89</v>
      </c>
      <c r="G254" s="3" t="s">
        <v>183</v>
      </c>
      <c r="H254" s="3" t="s">
        <v>90</v>
      </c>
    </row>
    <row r="295" spans="1:8" ht="15.75" x14ac:dyDescent="0.25">
      <c r="A295" s="35" t="s">
        <v>190</v>
      </c>
      <c r="B295" s="29"/>
      <c r="C295" s="29"/>
      <c r="D295" s="29"/>
      <c r="E295" s="29"/>
      <c r="F295" s="29"/>
      <c r="G295" s="29"/>
      <c r="H295" s="29"/>
    </row>
    <row r="296" spans="1:8" x14ac:dyDescent="0.25">
      <c r="A296" s="3" t="s">
        <v>179</v>
      </c>
      <c r="B296" s="3" t="s">
        <v>180</v>
      </c>
      <c r="C296" s="3" t="s">
        <v>181</v>
      </c>
      <c r="D296" s="3" t="s">
        <v>182</v>
      </c>
      <c r="E296" s="3" t="s">
        <v>87</v>
      </c>
      <c r="F296" s="3" t="s">
        <v>89</v>
      </c>
      <c r="G296" s="3" t="s">
        <v>183</v>
      </c>
      <c r="H296" s="3" t="s">
        <v>90</v>
      </c>
    </row>
    <row r="337" spans="1:8" ht="15.75" x14ac:dyDescent="0.25">
      <c r="A337" s="35" t="s">
        <v>191</v>
      </c>
      <c r="B337" s="29"/>
      <c r="C337" s="29"/>
      <c r="D337" s="29"/>
      <c r="E337" s="29"/>
      <c r="F337" s="29"/>
      <c r="G337" s="29"/>
      <c r="H337" s="29"/>
    </row>
    <row r="338" spans="1:8" x14ac:dyDescent="0.25">
      <c r="A338" s="3" t="s">
        <v>179</v>
      </c>
      <c r="B338" s="3" t="s">
        <v>180</v>
      </c>
      <c r="C338" s="3" t="s">
        <v>181</v>
      </c>
      <c r="D338" s="3" t="s">
        <v>182</v>
      </c>
      <c r="E338" s="3" t="s">
        <v>87</v>
      </c>
      <c r="F338" s="3" t="s">
        <v>89</v>
      </c>
      <c r="G338" s="3" t="s">
        <v>183</v>
      </c>
      <c r="H338" s="3" t="s">
        <v>90</v>
      </c>
    </row>
    <row r="379" spans="1:8" ht="15.75" x14ac:dyDescent="0.25">
      <c r="A379" s="35" t="s">
        <v>192</v>
      </c>
      <c r="B379" s="29"/>
      <c r="C379" s="29"/>
      <c r="D379" s="29"/>
      <c r="E379" s="29"/>
      <c r="F379" s="29"/>
      <c r="G379" s="29"/>
      <c r="H379" s="29"/>
    </row>
    <row r="380" spans="1:8" x14ac:dyDescent="0.25">
      <c r="A380" s="3" t="s">
        <v>179</v>
      </c>
      <c r="B380" s="3" t="s">
        <v>180</v>
      </c>
      <c r="C380" s="3" t="s">
        <v>181</v>
      </c>
      <c r="D380" s="3" t="s">
        <v>182</v>
      </c>
      <c r="E380" s="3" t="s">
        <v>87</v>
      </c>
      <c r="F380" s="3" t="s">
        <v>89</v>
      </c>
      <c r="G380" s="3" t="s">
        <v>183</v>
      </c>
      <c r="H380" s="3" t="s">
        <v>90</v>
      </c>
    </row>
    <row r="421" spans="1:8" ht="15.75" x14ac:dyDescent="0.25">
      <c r="A421" s="35" t="s">
        <v>193</v>
      </c>
      <c r="B421" s="29"/>
      <c r="C421" s="29"/>
      <c r="D421" s="29"/>
      <c r="E421" s="29"/>
      <c r="F421" s="29"/>
      <c r="G421" s="29"/>
      <c r="H421" s="29"/>
    </row>
    <row r="422" spans="1:8" x14ac:dyDescent="0.25">
      <c r="A422" s="3" t="s">
        <v>179</v>
      </c>
      <c r="B422" s="3" t="s">
        <v>180</v>
      </c>
      <c r="C422" s="3" t="s">
        <v>181</v>
      </c>
      <c r="D422" s="3" t="s">
        <v>182</v>
      </c>
      <c r="E422" s="3" t="s">
        <v>87</v>
      </c>
      <c r="F422" s="3" t="s">
        <v>89</v>
      </c>
      <c r="G422" s="3" t="s">
        <v>183</v>
      </c>
      <c r="H422" s="3" t="s">
        <v>90</v>
      </c>
    </row>
    <row r="463" spans="1:8" ht="15.75" x14ac:dyDescent="0.25">
      <c r="A463" s="35" t="s">
        <v>194</v>
      </c>
      <c r="B463" s="29"/>
      <c r="C463" s="29"/>
      <c r="D463" s="29"/>
      <c r="E463" s="29"/>
      <c r="F463" s="29"/>
      <c r="G463" s="29"/>
      <c r="H463" s="29"/>
    </row>
    <row r="464" spans="1:8" x14ac:dyDescent="0.25">
      <c r="A464" s="3" t="s">
        <v>179</v>
      </c>
      <c r="B464" s="3" t="s">
        <v>180</v>
      </c>
      <c r="C464" s="3" t="s">
        <v>181</v>
      </c>
      <c r="D464" s="3" t="s">
        <v>182</v>
      </c>
      <c r="E464" s="3" t="s">
        <v>87</v>
      </c>
      <c r="F464" s="3" t="s">
        <v>89</v>
      </c>
      <c r="G464" s="3" t="s">
        <v>183</v>
      </c>
      <c r="H464" s="3" t="s">
        <v>90</v>
      </c>
    </row>
  </sheetData>
  <mergeCells count="12">
    <mergeCell ref="A463:H463"/>
    <mergeCell ref="A169:H169"/>
    <mergeCell ref="A1:H1"/>
    <mergeCell ref="A211:H211"/>
    <mergeCell ref="A295:H295"/>
    <mergeCell ref="A127:H127"/>
    <mergeCell ref="A253:H253"/>
    <mergeCell ref="A421:H421"/>
    <mergeCell ref="A337:H337"/>
    <mergeCell ref="A43:H43"/>
    <mergeCell ref="A85:H85"/>
    <mergeCell ref="A379:H379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28" t="s">
        <v>195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</row>
    <row r="2" spans="1:14" x14ac:dyDescent="0.25">
      <c r="A2" s="3" t="s">
        <v>196</v>
      </c>
      <c r="B2" s="3" t="s">
        <v>60</v>
      </c>
      <c r="C2" s="3" t="s">
        <v>61</v>
      </c>
      <c r="D2" s="3" t="s">
        <v>62</v>
      </c>
      <c r="E2" s="3" t="s">
        <v>63</v>
      </c>
      <c r="F2" s="3" t="s">
        <v>64</v>
      </c>
      <c r="G2" s="3" t="s">
        <v>65</v>
      </c>
      <c r="H2" s="3" t="s">
        <v>66</v>
      </c>
      <c r="I2" s="3" t="s">
        <v>67</v>
      </c>
      <c r="J2" s="3" t="s">
        <v>68</v>
      </c>
      <c r="K2" s="3" t="s">
        <v>69</v>
      </c>
      <c r="L2" s="3" t="s">
        <v>70</v>
      </c>
      <c r="M2" s="3" t="s">
        <v>71</v>
      </c>
      <c r="N2" s="3" t="s">
        <v>112</v>
      </c>
    </row>
    <row r="3" spans="1:14" x14ac:dyDescent="0.25">
      <c r="A3" s="2" t="s">
        <v>197</v>
      </c>
    </row>
  </sheetData>
  <mergeCells count="1">
    <mergeCell ref="A1:N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28" t="s">
        <v>198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3" spans="1:16" ht="51" x14ac:dyDescent="0.25">
      <c r="A3" s="8" t="s">
        <v>132</v>
      </c>
      <c r="B3" s="8" t="s">
        <v>199</v>
      </c>
      <c r="C3" s="8" t="s">
        <v>134</v>
      </c>
      <c r="D3" s="8" t="s">
        <v>74</v>
      </c>
      <c r="E3" s="8" t="s">
        <v>75</v>
      </c>
      <c r="F3" s="8" t="s">
        <v>76</v>
      </c>
      <c r="G3" s="8" t="s">
        <v>108</v>
      </c>
      <c r="H3" s="8" t="s">
        <v>135</v>
      </c>
      <c r="I3" s="8" t="s">
        <v>136</v>
      </c>
      <c r="J3" s="8" t="s">
        <v>137</v>
      </c>
      <c r="K3" s="8" t="s">
        <v>138</v>
      </c>
      <c r="L3" s="8" t="s">
        <v>139</v>
      </c>
      <c r="M3" s="8" t="s">
        <v>140</v>
      </c>
      <c r="N3" s="8" t="s">
        <v>141</v>
      </c>
      <c r="O3" s="8" t="s">
        <v>142</v>
      </c>
      <c r="P3" s="8" t="s">
        <v>143</v>
      </c>
    </row>
    <row r="4" spans="1:16" x14ac:dyDescent="0.25">
      <c r="A4" s="22" t="s">
        <v>31</v>
      </c>
      <c r="B4" s="23">
        <f>IFERROR(INDEX(tblWardConfig[PrevYearRemaining],MATCH("MW",tblWardConfig[WardCode],0)),0)</f>
        <v>25</v>
      </c>
      <c r="C4" s="23">
        <f>IFERROR(INDEX(tblWardConfig[BedComplement],MATCH("MW",tblWardConfig[WardCode],0)),0)</f>
        <v>32</v>
      </c>
      <c r="D4" s="24">
        <f>SUMIFS(tblDaily[Admissions],tblDaily[WardCode],"MW") - SUMIFS(tblDaily[DeathsUnder24Hrs],tblDaily[WardCode],"MW")</f>
        <v>97</v>
      </c>
      <c r="E4" s="24">
        <f>SUMIFS(tblDaily[Discharges],tblDaily[WardCode],"MW")</f>
        <v>141</v>
      </c>
      <c r="F4" s="24">
        <f>SUMIFS(tblDaily[Deaths],tblDaily[WardCode],"MW")</f>
        <v>19</v>
      </c>
      <c r="G4" s="24">
        <f>SUMIFS(tblDaily[DeathsUnder24Hrs],tblDaily[WardCode],"MW")</f>
        <v>0</v>
      </c>
      <c r="H4" s="24">
        <f>SUMIFS(tblDaily[Remaining],tblDaily[WardCode],"MW")</f>
        <v>902</v>
      </c>
      <c r="I4" s="24">
        <f>SUMIFS(tblDaily[TransfersIn],tblDaily[WardCode],"MW")</f>
        <v>57</v>
      </c>
      <c r="J4" s="24">
        <f>SUMIFS(tblDaily[TransfersOut],tblDaily[WardCode],"MW")</f>
        <v>0</v>
      </c>
      <c r="K4" s="25">
        <f t="shared" ref="K4:K12" si="0">IFERROR(H4/365,0)</f>
        <v>2.4712328767123286</v>
      </c>
      <c r="L4" s="25">
        <f t="shared" ref="L4:L12" si="1">IFERROR(H4/(E4+F4),0)</f>
        <v>5.6375000000000002</v>
      </c>
      <c r="M4" s="25">
        <f t="shared" ref="M4:M12" si="2">IFERROR((C4*365-H4)/(E4+F4),0)</f>
        <v>67.362499999999997</v>
      </c>
      <c r="N4" s="25">
        <f t="shared" ref="N4:N12" si="3">IFERROR((E4+F4)/C4,0)</f>
        <v>5</v>
      </c>
      <c r="O4" s="25">
        <f t="shared" ref="O4:O12" si="4">IFERROR((H4/(C4*365))*100,0)</f>
        <v>7.7226027397260273</v>
      </c>
      <c r="P4" s="25">
        <f t="shared" ref="P4:P12" si="5">IFERROR((F4/(D4+B4))*100,0)</f>
        <v>15.573770491803279</v>
      </c>
    </row>
    <row r="5" spans="1:16" x14ac:dyDescent="0.25">
      <c r="A5" s="22" t="s">
        <v>33</v>
      </c>
      <c r="B5" s="23">
        <f>IFERROR(INDEX(tblWardConfig[PrevYearRemaining],MATCH("FW",tblWardConfig[WardCode],0)),0)</f>
        <v>16</v>
      </c>
      <c r="C5" s="23">
        <f>IFERROR(INDEX(tblWardConfig[BedComplement],MATCH("FW",tblWardConfig[WardCode],0)),0)</f>
        <v>28</v>
      </c>
      <c r="D5" s="24">
        <f>SUMIFS(tblDaily[Admissions],tblDaily[WardCode],"FW") - SUMIFS(tblDaily[DeathsUnder24Hrs],tblDaily[WardCode],"FW")</f>
        <v>83</v>
      </c>
      <c r="E5" s="24">
        <f>SUMIFS(tblDaily[Discharges],tblDaily[WardCode],"FW")</f>
        <v>102</v>
      </c>
      <c r="F5" s="24">
        <f>SUMIFS(tblDaily[Deaths],tblDaily[WardCode],"FW")</f>
        <v>10</v>
      </c>
      <c r="G5" s="24">
        <f>SUMIFS(tblDaily[DeathsUnder24Hrs],tblDaily[WardCode],"FW")</f>
        <v>0</v>
      </c>
      <c r="H5" s="24">
        <f>SUMIFS(tblDaily[Remaining],tblDaily[WardCode],"FW")</f>
        <v>555</v>
      </c>
      <c r="I5" s="24">
        <f>SUMIFS(tblDaily[TransfersIn],tblDaily[WardCode],"FW")</f>
        <v>28</v>
      </c>
      <c r="J5" s="24">
        <f>SUMIFS(tblDaily[TransfersOut],tblDaily[WardCode],"FW")</f>
        <v>0</v>
      </c>
      <c r="K5" s="25">
        <f t="shared" si="0"/>
        <v>1.5205479452054795</v>
      </c>
      <c r="L5" s="25">
        <f t="shared" si="1"/>
        <v>4.9553571428571432</v>
      </c>
      <c r="M5" s="25">
        <f t="shared" si="2"/>
        <v>86.294642857142861</v>
      </c>
      <c r="N5" s="25">
        <f t="shared" si="3"/>
        <v>4</v>
      </c>
      <c r="O5" s="25">
        <f t="shared" si="4"/>
        <v>5.4305283757338545</v>
      </c>
      <c r="P5" s="25">
        <f t="shared" si="5"/>
        <v>10.1010101010101</v>
      </c>
    </row>
    <row r="6" spans="1:16" x14ac:dyDescent="0.25">
      <c r="A6" s="22" t="s">
        <v>35</v>
      </c>
      <c r="B6" s="23">
        <f>IFERROR(INDEX(tblWardConfig[PrevYearRemaining],MATCH("CW",tblWardConfig[WardCode],0)),0)</f>
        <v>7</v>
      </c>
      <c r="C6" s="23">
        <f>IFERROR(INDEX(tblWardConfig[BedComplement],MATCH("CW",tblWardConfig[WardCode],0)),0)</f>
        <v>27</v>
      </c>
      <c r="D6" s="24">
        <f>SUMIFS(tblDaily[Admissions],tblDaily[WardCode],"CW") - SUMIFS(tblDaily[DeathsUnder24Hrs],tblDaily[WardCode],"CW")</f>
        <v>80</v>
      </c>
      <c r="E6" s="24">
        <f>SUMIFS(tblDaily[Discharges],tblDaily[WardCode],"CW")</f>
        <v>80</v>
      </c>
      <c r="F6" s="24">
        <f>SUMIFS(tblDaily[Deaths],tblDaily[WardCode],"CW")</f>
        <v>0</v>
      </c>
      <c r="G6" s="24">
        <f>SUMIFS(tblDaily[DeathsUnder24Hrs],tblDaily[WardCode],"CW")</f>
        <v>0</v>
      </c>
      <c r="H6" s="24">
        <f>SUMIFS(tblDaily[Remaining],tblDaily[WardCode],"CW")</f>
        <v>309</v>
      </c>
      <c r="I6" s="24">
        <f>SUMIFS(tblDaily[TransfersIn],tblDaily[WardCode],"CW")</f>
        <v>5</v>
      </c>
      <c r="J6" s="24">
        <f>SUMIFS(tblDaily[TransfersOut],tblDaily[WardCode],"CW")</f>
        <v>0</v>
      </c>
      <c r="K6" s="25">
        <f t="shared" si="0"/>
        <v>0.84657534246575339</v>
      </c>
      <c r="L6" s="25">
        <f t="shared" si="1"/>
        <v>3.8624999999999998</v>
      </c>
      <c r="M6" s="25">
        <f t="shared" si="2"/>
        <v>119.325</v>
      </c>
      <c r="N6" s="25">
        <f t="shared" si="3"/>
        <v>2.9629629629629628</v>
      </c>
      <c r="O6" s="25">
        <f t="shared" si="4"/>
        <v>3.1354642313546419</v>
      </c>
      <c r="P6" s="25">
        <f t="shared" si="5"/>
        <v>0</v>
      </c>
    </row>
    <row r="7" spans="1:16" x14ac:dyDescent="0.25">
      <c r="A7" s="22" t="s">
        <v>37</v>
      </c>
      <c r="B7" s="23">
        <f>IFERROR(INDEX(tblWardConfig[PrevYearRemaining],MATCH("BF",tblWardConfig[WardCode],0)),0)</f>
        <v>9</v>
      </c>
      <c r="C7" s="23">
        <f>IFERROR(INDEX(tblWardConfig[BedComplement],MATCH("BF",tblWardConfig[WardCode],0)),0)</f>
        <v>20</v>
      </c>
      <c r="D7" s="24">
        <f>SUMIFS(tblDaily[Admissions],tblDaily[WardCode],"BF") - SUMIFS(tblDaily[DeathsUnder24Hrs],tblDaily[WardCode],"BF")</f>
        <v>65</v>
      </c>
      <c r="E7" s="24">
        <f>SUMIFS(tblDaily[Discharges],tblDaily[WardCode],"BF")</f>
        <v>66</v>
      </c>
      <c r="F7" s="24">
        <f>SUMIFS(tblDaily[Deaths],tblDaily[WardCode],"BF")</f>
        <v>0</v>
      </c>
      <c r="G7" s="24">
        <f>SUMIFS(tblDaily[DeathsUnder24Hrs],tblDaily[WardCode],"BF")</f>
        <v>0</v>
      </c>
      <c r="H7" s="24">
        <f>SUMIFS(tblDaily[Remaining],tblDaily[WardCode],"BF")</f>
        <v>209</v>
      </c>
      <c r="I7" s="24">
        <f>SUMIFS(tblDaily[TransfersIn],tblDaily[WardCode],"BF")</f>
        <v>1</v>
      </c>
      <c r="J7" s="24">
        <f>SUMIFS(tblDaily[TransfersOut],tblDaily[WardCode],"BF")</f>
        <v>1</v>
      </c>
      <c r="K7" s="25">
        <f t="shared" si="0"/>
        <v>0.57260273972602738</v>
      </c>
      <c r="L7" s="25">
        <f t="shared" si="1"/>
        <v>3.1666666666666665</v>
      </c>
      <c r="M7" s="25">
        <f t="shared" si="2"/>
        <v>107.43939393939394</v>
      </c>
      <c r="N7" s="25">
        <f t="shared" si="3"/>
        <v>3.3</v>
      </c>
      <c r="O7" s="25">
        <f t="shared" si="4"/>
        <v>2.8630136986301369</v>
      </c>
      <c r="P7" s="25">
        <f t="shared" si="5"/>
        <v>0</v>
      </c>
    </row>
    <row r="8" spans="1:16" x14ac:dyDescent="0.25">
      <c r="A8" s="22" t="s">
        <v>39</v>
      </c>
      <c r="B8" s="23">
        <f>IFERROR(INDEX(tblWardConfig[PrevYearRemaining],MATCH("BG",tblWardConfig[WardCode],0)),0)</f>
        <v>9</v>
      </c>
      <c r="C8" s="23">
        <f>IFERROR(INDEX(tblWardConfig[BedComplement],MATCH("BG",tblWardConfig[WardCode],0)),0)</f>
        <v>14</v>
      </c>
      <c r="D8" s="24">
        <f>SUMIFS(tblDaily[Admissions],tblDaily[WardCode],"BG") - SUMIFS(tblDaily[DeathsUnder24Hrs],tblDaily[WardCode],"BG")</f>
        <v>125</v>
      </c>
      <c r="E8" s="24">
        <f>SUMIFS(tblDaily[Discharges],tblDaily[WardCode],"BG")</f>
        <v>122</v>
      </c>
      <c r="F8" s="24">
        <f>SUMIFS(tblDaily[Deaths],tblDaily[WardCode],"BG")</f>
        <v>0</v>
      </c>
      <c r="G8" s="24">
        <f>SUMIFS(tblDaily[DeathsUnder24Hrs],tblDaily[WardCode],"BG")</f>
        <v>0</v>
      </c>
      <c r="H8" s="24">
        <f>SUMIFS(tblDaily[Remaining],tblDaily[WardCode],"BG")</f>
        <v>354</v>
      </c>
      <c r="I8" s="24">
        <f>SUMIFS(tblDaily[TransfersIn],tblDaily[WardCode],"BG")</f>
        <v>27</v>
      </c>
      <c r="J8" s="24">
        <f>SUMIFS(tblDaily[TransfersOut],tblDaily[WardCode],"BG")</f>
        <v>27</v>
      </c>
      <c r="K8" s="25">
        <f t="shared" si="0"/>
        <v>0.96986301369863015</v>
      </c>
      <c r="L8" s="25">
        <f t="shared" si="1"/>
        <v>2.901639344262295</v>
      </c>
      <c r="M8" s="25">
        <f t="shared" si="2"/>
        <v>38.983606557377051</v>
      </c>
      <c r="N8" s="25">
        <f t="shared" si="3"/>
        <v>8.7142857142857135</v>
      </c>
      <c r="O8" s="25">
        <f t="shared" si="4"/>
        <v>6.9275929549902155</v>
      </c>
      <c r="P8" s="25">
        <f t="shared" si="5"/>
        <v>0</v>
      </c>
    </row>
    <row r="9" spans="1:16" x14ac:dyDescent="0.25">
      <c r="A9" s="22" t="s">
        <v>41</v>
      </c>
      <c r="B9" s="23">
        <f>IFERROR(INDEX(tblWardConfig[PrevYearRemaining],MATCH("BH",tblWardConfig[WardCode],0)),0)</f>
        <v>12</v>
      </c>
      <c r="C9" s="23">
        <f>IFERROR(INDEX(tblWardConfig[BedComplement],MATCH("BH",tblWardConfig[WardCode],0)),0)</f>
        <v>22</v>
      </c>
      <c r="D9" s="24">
        <f>SUMIFS(tblDaily[Admissions],tblDaily[WardCode],"BH") - SUMIFS(tblDaily[DeathsUnder24Hrs],tblDaily[WardCode],"BH")</f>
        <v>74</v>
      </c>
      <c r="E9" s="24">
        <f>SUMIFS(tblDaily[Discharges],tblDaily[WardCode],"BH")</f>
        <v>81</v>
      </c>
      <c r="F9" s="24">
        <f>SUMIFS(tblDaily[Deaths],tblDaily[WardCode],"BH")</f>
        <v>0</v>
      </c>
      <c r="G9" s="24">
        <f>SUMIFS(tblDaily[DeathsUnder24Hrs],tblDaily[WardCode],"BH")</f>
        <v>0</v>
      </c>
      <c r="H9" s="24">
        <f>SUMIFS(tblDaily[Remaining],tblDaily[WardCode],"BH")</f>
        <v>376</v>
      </c>
      <c r="I9" s="24">
        <f>SUMIFS(tblDaily[TransfersIn],tblDaily[WardCode],"BH")</f>
        <v>28</v>
      </c>
      <c r="J9" s="24">
        <f>SUMIFS(tblDaily[TransfersOut],tblDaily[WardCode],"BH")</f>
        <v>26</v>
      </c>
      <c r="K9" s="25">
        <f t="shared" si="0"/>
        <v>1.0301369863013699</v>
      </c>
      <c r="L9" s="25">
        <f t="shared" si="1"/>
        <v>4.6419753086419755</v>
      </c>
      <c r="M9" s="25">
        <f t="shared" si="2"/>
        <v>94.493827160493822</v>
      </c>
      <c r="N9" s="25">
        <f t="shared" si="3"/>
        <v>3.6818181818181817</v>
      </c>
      <c r="O9" s="25">
        <f t="shared" si="4"/>
        <v>4.6824408468244085</v>
      </c>
      <c r="P9" s="25">
        <f t="shared" si="5"/>
        <v>0</v>
      </c>
    </row>
    <row r="10" spans="1:16" x14ac:dyDescent="0.25">
      <c r="A10" s="22" t="s">
        <v>43</v>
      </c>
      <c r="B10" s="23">
        <f>IFERROR(INDEX(tblWardConfig[PrevYearRemaining],MATCH("NICU",tblWardConfig[WardCode],0)),0)</f>
        <v>14</v>
      </c>
      <c r="C10" s="23">
        <f>IFERROR(INDEX(tblWardConfig[BedComplement],MATCH("NICU",tblWardConfig[WardCode],0)),0)</f>
        <v>15</v>
      </c>
      <c r="D10" s="24">
        <f>SUMIFS(tblDaily[Admissions],tblDaily[WardCode],"NICU") - SUMIFS(tblDaily[DeathsUnder24Hrs],tblDaily[WardCode],"NICU")</f>
        <v>47</v>
      </c>
      <c r="E10" s="24">
        <f>SUMIFS(tblDaily[Discharges],tblDaily[WardCode],"NICU")</f>
        <v>50</v>
      </c>
      <c r="F10" s="24">
        <f>SUMIFS(tblDaily[Deaths],tblDaily[WardCode],"NICU")</f>
        <v>8</v>
      </c>
      <c r="G10" s="24">
        <f>SUMIFS(tblDaily[DeathsUnder24Hrs],tblDaily[WardCode],"NICU")</f>
        <v>0</v>
      </c>
      <c r="H10" s="24">
        <f>SUMIFS(tblDaily[Remaining],tblDaily[WardCode],"NICU")</f>
        <v>418</v>
      </c>
      <c r="I10" s="24">
        <f>SUMIFS(tblDaily[TransfersIn],tblDaily[WardCode],"NICU")</f>
        <v>0</v>
      </c>
      <c r="J10" s="24">
        <f>SUMIFS(tblDaily[TransfersOut],tblDaily[WardCode],"NICU")</f>
        <v>0</v>
      </c>
      <c r="K10" s="25">
        <f t="shared" si="0"/>
        <v>1.1452054794520548</v>
      </c>
      <c r="L10" s="25">
        <f t="shared" si="1"/>
        <v>7.2068965517241379</v>
      </c>
      <c r="M10" s="25">
        <f t="shared" si="2"/>
        <v>87.189655172413794</v>
      </c>
      <c r="N10" s="25">
        <f t="shared" si="3"/>
        <v>3.8666666666666667</v>
      </c>
      <c r="O10" s="25">
        <f t="shared" si="4"/>
        <v>7.6347031963470311</v>
      </c>
      <c r="P10" s="25">
        <f t="shared" si="5"/>
        <v>13.114754098360656</v>
      </c>
    </row>
    <row r="11" spans="1:16" x14ac:dyDescent="0.25">
      <c r="A11" s="22" t="s">
        <v>45</v>
      </c>
      <c r="B11" s="23">
        <f>IFERROR(INDEX(tblWardConfig[PrevYearRemaining],MATCH("MAE",tblWardConfig[WardCode],0)),0)</f>
        <v>9</v>
      </c>
      <c r="C11" s="23">
        <f>IFERROR(INDEX(tblWardConfig[BedComplement],MATCH("MAE",tblWardConfig[WardCode],0)),0)</f>
        <v>10</v>
      </c>
      <c r="D11" s="24">
        <f>SUMIFS(tblDaily[Admissions],tblDaily[WardCode],"MAE") - SUMIFS(tblDaily[DeathsUnder24Hrs],tblDaily[WardCode],"MAE")</f>
        <v>89</v>
      </c>
      <c r="E11" s="24">
        <f>SUMIFS(tblDaily[Discharges],tblDaily[WardCode],"MAE")</f>
        <v>46</v>
      </c>
      <c r="F11" s="24">
        <f>SUMIFS(tblDaily[Deaths],tblDaily[WardCode],"MAE")</f>
        <v>4</v>
      </c>
      <c r="G11" s="24">
        <f>SUMIFS(tblDaily[DeathsUnder24Hrs],tblDaily[WardCode],"MAE")</f>
        <v>5</v>
      </c>
      <c r="H11" s="24">
        <f>SUMIFS(tblDaily[Remaining],tblDaily[WardCode],"MAE")</f>
        <v>151</v>
      </c>
      <c r="I11" s="24">
        <f>SUMIFS(tblDaily[TransfersIn],tblDaily[WardCode],"MAE")</f>
        <v>2</v>
      </c>
      <c r="J11" s="24">
        <f>SUMIFS(tblDaily[TransfersOut],tblDaily[WardCode],"MAE")</f>
        <v>47</v>
      </c>
      <c r="K11" s="25">
        <f t="shared" si="0"/>
        <v>0.41369863013698632</v>
      </c>
      <c r="L11" s="25">
        <f t="shared" si="1"/>
        <v>3.02</v>
      </c>
      <c r="M11" s="25">
        <f t="shared" si="2"/>
        <v>69.98</v>
      </c>
      <c r="N11" s="25">
        <f t="shared" si="3"/>
        <v>5</v>
      </c>
      <c r="O11" s="25">
        <f t="shared" si="4"/>
        <v>4.1369863013698636</v>
      </c>
      <c r="P11" s="25">
        <f t="shared" si="5"/>
        <v>4.0816326530612246</v>
      </c>
    </row>
    <row r="12" spans="1:16" x14ac:dyDescent="0.25">
      <c r="A12" s="22" t="s">
        <v>47</v>
      </c>
      <c r="B12" s="23">
        <f>IFERROR(INDEX(tblWardConfig[PrevYearRemaining],MATCH("FAE",tblWardConfig[WardCode],0)),0)</f>
        <v>1</v>
      </c>
      <c r="C12" s="23">
        <f>IFERROR(INDEX(tblWardConfig[BedComplement],MATCH("FAE",tblWardConfig[WardCode],0)),0)</f>
        <v>10</v>
      </c>
      <c r="D12" s="24">
        <f>SUMIFS(tblDaily[Admissions],tblDaily[WardCode],"FAE") - SUMIFS(tblDaily[DeathsUnder24Hrs],tblDaily[WardCode],"FAE")</f>
        <v>46</v>
      </c>
      <c r="E12" s="24">
        <f>SUMIFS(tblDaily[Discharges],tblDaily[WardCode],"FAE")</f>
        <v>13</v>
      </c>
      <c r="F12" s="24">
        <f>SUMIFS(tblDaily[Deaths],tblDaily[WardCode],"FAE")</f>
        <v>0</v>
      </c>
      <c r="G12" s="24">
        <f>SUMIFS(tblDaily[DeathsUnder24Hrs],tblDaily[WardCode],"FAE")</f>
        <v>1</v>
      </c>
      <c r="H12" s="24">
        <f>SUMIFS(tblDaily[Remaining],tblDaily[WardCode],"FAE")</f>
        <v>55</v>
      </c>
      <c r="I12" s="24">
        <f>SUMIFS(tblDaily[TransfersIn],tblDaily[WardCode],"FAE")</f>
        <v>0</v>
      </c>
      <c r="J12" s="24">
        <f>SUMIFS(tblDaily[TransfersOut],tblDaily[WardCode],"FAE")</f>
        <v>30</v>
      </c>
      <c r="K12" s="25">
        <f t="shared" si="0"/>
        <v>0.15068493150684931</v>
      </c>
      <c r="L12" s="25">
        <f t="shared" si="1"/>
        <v>4.2307692307692308</v>
      </c>
      <c r="M12" s="25">
        <f t="shared" si="2"/>
        <v>276.53846153846155</v>
      </c>
      <c r="N12" s="25">
        <f t="shared" si="3"/>
        <v>1.3</v>
      </c>
      <c r="O12" s="25">
        <f t="shared" si="4"/>
        <v>1.5068493150684932</v>
      </c>
      <c r="P12" s="25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28" t="s">
        <v>200</v>
      </c>
      <c r="B1" s="29"/>
      <c r="C1" s="29"/>
      <c r="D1" s="29"/>
      <c r="E1" s="29"/>
      <c r="F1" s="29"/>
      <c r="G1" s="29"/>
      <c r="H1" s="29"/>
      <c r="I1" s="29"/>
      <c r="J1" s="29"/>
    </row>
    <row r="2" spans="1:10" x14ac:dyDescent="0.25">
      <c r="A2" s="3" t="s">
        <v>179</v>
      </c>
      <c r="B2" s="3" t="s">
        <v>201</v>
      </c>
      <c r="C2" s="3" t="s">
        <v>73</v>
      </c>
      <c r="D2" s="3" t="s">
        <v>183</v>
      </c>
      <c r="E2" s="3" t="s">
        <v>202</v>
      </c>
      <c r="F2" s="3" t="s">
        <v>203</v>
      </c>
      <c r="G2" s="3" t="s">
        <v>87</v>
      </c>
      <c r="H2" s="3" t="s">
        <v>89</v>
      </c>
      <c r="I2" s="3" t="s">
        <v>204</v>
      </c>
      <c r="J2" s="3" t="s">
        <v>205</v>
      </c>
    </row>
    <row r="3" spans="1:10" x14ac:dyDescent="0.25">
      <c r="A3" s="2" t="s">
        <v>197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Ages Summary</vt:lpstr>
      <vt:lpstr>Deaths Report</vt:lpstr>
      <vt:lpstr>COD Summary</vt:lpstr>
      <vt:lpstr>Statement of Inpatient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dcterms:created xsi:type="dcterms:W3CDTF">2026-02-13T11:35:30Z</dcterms:created>
  <dcterms:modified xsi:type="dcterms:W3CDTF">2026-02-13T11:46:30Z</dcterms:modified>
</cp:coreProperties>
</file>